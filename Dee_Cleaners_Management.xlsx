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Customers" sheetId="4" state="visible" r:id="rId4"/>
    <sheet xmlns:r="http://schemas.openxmlformats.org/officeDocument/2006/relationships" name="Expenses" sheetId="5" state="visible" r:id="rId5"/>
    <sheet xmlns:r="http://schemas.openxmlformats.org/officeDocument/2006/relationships" name="Payments" sheetId="6" state="visible" r:id="rId6"/>
    <sheet xmlns:r="http://schemas.openxmlformats.org/officeDocument/2006/relationships" name="Househelps" sheetId="7" state="visible" r:id="rId7"/>
    <sheet xmlns:r="http://schemas.openxmlformats.org/officeDocument/2006/relationships" name="Employers" sheetId="8" state="visible" r:id="rId8"/>
    <sheet xmlns:r="http://schemas.openxmlformats.org/officeDocument/2006/relationships" name="Placements" sheetId="9" state="visible" r:id="rId9"/>
    <sheet xmlns:r="http://schemas.openxmlformats.org/officeDocument/2006/relationships" name="Househelp Payments" sheetId="10" state="visible" r:id="rId10"/>
    <sheet xmlns:r="http://schemas.openxmlformats.org/officeDocument/2006/relationships" name="Contracts" sheetId="11" state="visible" r:id="rId11"/>
    <sheet xmlns:r="http://schemas.openxmlformats.org/officeDocument/2006/relationships" name="Complaints" sheetId="12" state="visible" r:id="rId12"/>
    <sheet xmlns:r="http://schemas.openxmlformats.org/officeDocument/2006/relationships" name="Replacements" sheetId="13" state="visible" r:id="rId13"/>
    <sheet xmlns:r="http://schemas.openxmlformats.org/officeDocument/2006/relationships" name="Attendance" sheetId="14" state="visible" r:id="rId14"/>
    <sheet xmlns:r="http://schemas.openxmlformats.org/officeDocument/2006/relationships" name="Archive" sheetId="15" state="visible" r:id="rId15"/>
  </sheets>
  <definedNames>
    <definedName name="BusinessName">'Settings'!$B$4</definedName>
    <definedName name="Currency">'Settings'!$B$11</definedName>
    <definedName name="ServiceList">'Settings'!$A$22:$A$35</definedName>
    <definedName name="SofaServiceList">'Settings'!$A$39:$A$48</definedName>
    <definedName name="LaundryServiceList">'Settings'!$A$52:$A$61</definedName>
    <definedName name="SpecializedServiceList">'Settings'!$A$65:$A$69</definedName>
    <definedName name="HousehelpCategoryList">'Settings'!$A$73:$A$76</definedName>
    <definedName name="PaymentMethods">'Settings'!$A$80:$A$84</definedName>
    <definedName name="OrderStatuses">'Settings'!$A$88:$A$92</definedName>
    <definedName name="PaymentStatuses">'Settings'!$A$96:$A$98</definedName>
    <definedName name="ExpenseCategories">'Settings'!$A$102:$A$112</definedName>
    <definedName name="HousehelpStatuses">'Settings'!$A$116:$A$120</definedName>
    <definedName name="ContractStatuses">'Settings'!$A$124:$A$127</definedName>
    <definedName name="PlacementStatuses">'Settings'!$A$131:$A$137</definedName>
    <definedName name="ComplaintStatuses">'Settings'!$A$141:$A$145</definedName>
    <definedName name="ComplaintTypes">'Settings'!$A$149:$A$157</definedName>
    <definedName name="EmployeeWorkerTypes">'Settings'!$A$161:$A$163</definedName>
    <definedName name="SeverityLevels">'Settings'!$A$167:$A$169</definedName>
    <definedName name="PaymentFrequencies">'Settings'!$A$173:$A$174</definedName>
    <definedName name="AttendanceStatuses">'Settings'!$A$178:$A$181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213668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color rgb="001A1A1A"/>
      <sz val="11"/>
    </font>
    <font>
      <name val="Calibri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213668"/>
      </patternFill>
    </fill>
    <fill>
      <patternFill patternType="solid">
        <fgColor rgb="00EAF3FA"/>
      </patternFill>
    </fill>
    <fill>
      <patternFill patternType="solid">
        <fgColor rgb="002E69A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9D4E4"/>
      </left>
      <right style="thin">
        <color rgb="00C9D4E4"/>
      </right>
      <top style="thin">
        <color rgb="00C9D4E4"/>
      </top>
      <bottom style="thin">
        <color rgb="00C9D4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5" fillId="4" borderId="0" pivotButton="0" quotePrefix="0" xfId="0"/>
    <xf numFmtId="0" fontId="0" fillId="4" borderId="0" pivotButton="0" quotePrefix="0" xfId="0"/>
    <xf numFmtId="3" fontId="4" fillId="0" borderId="1" pivotButton="0" quotePrefix="0" xfId="0"/>
    <xf numFmtId="49" fontId="4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0" fillId="5" borderId="1" pivotButton="0" quotePrefix="0" xfId="0"/>
    <xf numFmtId="1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3668"/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cols>
    <col width="34" customWidth="1" min="1" max="1"/>
    <col width="66" customWidth="1" min="2" max="2"/>
    <col width="22" customWidth="1" min="3" max="3"/>
    <col width="22" customWidth="1" min="4" max="4"/>
    <col width="22" customWidth="1" min="5" max="5"/>
    <col width="12" customWidth="1" min="6" max="6"/>
    <col width="60" customWidth="1" min="7" max="7"/>
  </cols>
  <sheetData>
    <row r="1">
      <c r="A1" s="1" t="inlineStr">
        <is>
          <t>DEE CLEANERS — SETTINGS</t>
        </is>
      </c>
    </row>
    <row r="2">
      <c r="A2" s="2" t="inlineStr">
        <is>
          <t>Edit values below, or manage them from the app:  Services / Settings pages.</t>
        </is>
      </c>
    </row>
    <row r="3">
      <c r="A3" s="3" t="inlineStr">
        <is>
          <t>Setting</t>
        </is>
      </c>
      <c r="B3" s="3" t="inlineStr">
        <is>
          <t>Value</t>
        </is>
      </c>
    </row>
    <row r="4">
      <c r="A4" s="4" t="inlineStr">
        <is>
          <t>Business Name</t>
        </is>
      </c>
      <c r="B4" s="5" t="inlineStr">
        <is>
          <t>Dee Cleaners</t>
        </is>
      </c>
    </row>
    <row r="5">
      <c r="A5" s="4" t="inlineStr">
        <is>
          <t>Phone 1</t>
        </is>
      </c>
      <c r="B5" s="5" t="inlineStr">
        <is>
          <t>+255 693 806 051</t>
        </is>
      </c>
    </row>
    <row r="6">
      <c r="A6" s="4" t="inlineStr">
        <is>
          <t>Phone 2</t>
        </is>
      </c>
      <c r="B6" s="5" t="inlineStr">
        <is>
          <t>+255 762 292 439</t>
        </is>
      </c>
    </row>
    <row r="7">
      <c r="A7" s="4" t="inlineStr">
        <is>
          <t>Email</t>
        </is>
      </c>
      <c r="B7" s="5" t="inlineStr">
        <is>
          <t>deecleanerscleaningservices@gmail.com</t>
        </is>
      </c>
    </row>
    <row r="8">
      <c r="A8" s="4" t="inlineStr">
        <is>
          <t>Address</t>
        </is>
      </c>
      <c r="B8" s="5" t="inlineStr">
        <is>
          <t>Magomeni, Mikumi</t>
        </is>
      </c>
    </row>
    <row r="9">
      <c r="A9" s="4" t="inlineStr">
        <is>
          <t>Website</t>
        </is>
      </c>
      <c r="B9" s="5" t="inlineStr"/>
    </row>
    <row r="10">
      <c r="A10" s="4" t="inlineStr">
        <is>
          <t>Social Media</t>
        </is>
      </c>
      <c r="B10" s="5" t="inlineStr"/>
    </row>
    <row r="11">
      <c r="A11" s="4" t="inlineStr">
        <is>
          <t>Currency</t>
        </is>
      </c>
      <c r="B11" s="5" t="inlineStr">
        <is>
          <t>TZS</t>
        </is>
      </c>
    </row>
    <row r="12">
      <c r="A12" s="4" t="inlineStr">
        <is>
          <t>Default Transport Policy</t>
        </is>
      </c>
      <c r="B12" s="5" t="inlineStr">
        <is>
          <t>Customer pays transport fees (Transport fees ni juu ya mteja)</t>
        </is>
      </c>
    </row>
    <row r="13">
      <c r="A13" s="4" t="inlineStr">
        <is>
          <t>Room Pricing Note</t>
        </is>
      </c>
      <c r="B13" s="5" t="inlineStr">
        <is>
          <t>Bei zinapungua au Kuongezeka kulingana na ukubwa wa chumba (prices may decrease or increase depending on room size)</t>
        </is>
      </c>
    </row>
    <row r="14">
      <c r="A14" s="4" t="inlineStr">
        <is>
          <t>Live-in Working Hours</t>
        </is>
      </c>
      <c r="B14" s="5" t="inlineStr">
        <is>
          <t>5:00 a.m. - 6:30 p.m.</t>
        </is>
      </c>
    </row>
    <row r="15">
      <c r="A15" s="4" t="inlineStr">
        <is>
          <t>Minimum Work Duration (months)</t>
        </is>
      </c>
      <c r="B15" s="5" t="n">
        <v>3</v>
      </c>
    </row>
    <row r="16">
      <c r="A16" s="4" t="inlineStr">
        <is>
          <t>Agency Fee Note</t>
        </is>
      </c>
      <c r="B16" s="5" t="inlineStr">
        <is>
          <t>One-time agency fee paid by the employer upon contract initiation</t>
        </is>
      </c>
    </row>
    <row r="17">
      <c r="A17" s="4" t="inlineStr">
        <is>
          <t>Payment Policy Note</t>
        </is>
      </c>
      <c r="B17" s="5" t="inlineStr">
        <is>
          <t>All househelp service payments are made directly to Dee Cleaners, which handles salary disbursement</t>
        </is>
      </c>
    </row>
    <row r="18">
      <c r="A18" s="4" t="inlineStr">
        <is>
          <t>Logo Reference</t>
        </is>
      </c>
      <c r="B18" s="5" t="inlineStr">
        <is>
          <t>assets/dee_cleaners_logo/dee_cleaners_logo.png</t>
        </is>
      </c>
    </row>
    <row r="20">
      <c r="A20" s="6" t="inlineStr">
        <is>
          <t>CLEANING SERVICES</t>
        </is>
      </c>
      <c r="B20" s="7" t="n"/>
      <c r="C20" s="7" t="n"/>
      <c r="D20" s="7" t="n"/>
      <c r="E20" s="7" t="n"/>
      <c r="F20" s="7" t="n"/>
    </row>
    <row r="21">
      <c r="A21" s="3" t="inlineStr">
        <is>
          <t>Name</t>
        </is>
      </c>
      <c r="B21" s="3" t="inlineStr">
        <is>
          <t>Min Price</t>
        </is>
      </c>
      <c r="C21" s="3" t="inlineStr">
        <is>
          <t>Max Price</t>
        </is>
      </c>
      <c r="D21" s="3" t="inlineStr">
        <is>
          <t>Category</t>
        </is>
      </c>
      <c r="E21" s="3" t="inlineStr">
        <is>
          <t>Active</t>
        </is>
      </c>
      <c r="F21" s="3" t="inlineStr">
        <is>
          <t>Description</t>
        </is>
      </c>
    </row>
    <row r="22">
      <c r="A22" s="5" t="inlineStr">
        <is>
          <t>Toilet Cleaning</t>
        </is>
      </c>
      <c r="B22" s="8" t="n">
        <v>30000</v>
      </c>
      <c r="C22" s="8" t="n">
        <v>40000</v>
      </c>
      <c r="D22" s="9" t="inlineStr">
        <is>
          <t>Cleaning</t>
        </is>
      </c>
      <c r="E22" s="9" t="inlineStr">
        <is>
          <t>Yes</t>
        </is>
      </c>
      <c r="F22" s="9" t="inlineStr"/>
    </row>
    <row r="23">
      <c r="A23" s="5" t="inlineStr">
        <is>
          <t>Kitchen Cleaning</t>
        </is>
      </c>
      <c r="B23" s="8" t="n">
        <v>50000</v>
      </c>
      <c r="C23" s="8" t="n">
        <v>150000</v>
      </c>
      <c r="D23" s="9" t="inlineStr">
        <is>
          <t>Cleaning</t>
        </is>
      </c>
      <c r="E23" s="9" t="inlineStr">
        <is>
          <t>Yes</t>
        </is>
      </c>
      <c r="F23" s="9" t="inlineStr"/>
    </row>
    <row r="24">
      <c r="A24" s="5" t="inlineStr">
        <is>
          <t>Chumba Kimoja (One Room)</t>
        </is>
      </c>
      <c r="B24" s="8" t="n">
        <v>50000</v>
      </c>
      <c r="C24" s="8" t="n">
        <v>50000</v>
      </c>
      <c r="D24" s="9" t="inlineStr">
        <is>
          <t>Cleaning</t>
        </is>
      </c>
      <c r="E24" s="9" t="inlineStr">
        <is>
          <t>Yes</t>
        </is>
      </c>
      <c r="F24" s="9" t="inlineStr"/>
    </row>
    <row r="25">
      <c r="A25" s="5" t="inlineStr">
        <is>
          <t>Window Cleaning</t>
        </is>
      </c>
      <c r="B25" s="8" t="n">
        <v>15000</v>
      </c>
      <c r="C25" s="8" t="n">
        <v>20000</v>
      </c>
      <c r="D25" s="9" t="inlineStr">
        <is>
          <t>Cleaning</t>
        </is>
      </c>
      <c r="E25" s="9" t="inlineStr">
        <is>
          <t>Yes</t>
        </is>
      </c>
      <c r="F25" s="9" t="inlineStr"/>
    </row>
    <row r="26">
      <c r="A26" s="5" t="inlineStr">
        <is>
          <t>Sitting Room &amp; 2 Bedrooms</t>
        </is>
      </c>
      <c r="B26" s="8" t="n">
        <v>150000</v>
      </c>
      <c r="C26" s="8" t="n">
        <v>150000</v>
      </c>
      <c r="D26" s="9" t="inlineStr">
        <is>
          <t>Empty Rooms</t>
        </is>
      </c>
      <c r="E26" s="9" t="inlineStr">
        <is>
          <t>Yes</t>
        </is>
      </c>
      <c r="F26" s="9" t="inlineStr"/>
    </row>
    <row r="27">
      <c r="A27" s="5" t="inlineStr">
        <is>
          <t>Sitting Room &amp; 3 Bedrooms</t>
        </is>
      </c>
      <c r="B27" s="8" t="n">
        <v>200000</v>
      </c>
      <c r="C27" s="8" t="n">
        <v>200000</v>
      </c>
      <c r="D27" s="9" t="inlineStr">
        <is>
          <t>Empty Rooms</t>
        </is>
      </c>
      <c r="E27" s="9" t="inlineStr">
        <is>
          <t>Yes</t>
        </is>
      </c>
      <c r="F27" s="9" t="inlineStr"/>
    </row>
    <row r="28">
      <c r="A28" s="5" t="inlineStr">
        <is>
          <t>Sitting Room &amp; 4 Bedrooms</t>
        </is>
      </c>
      <c r="B28" s="8" t="n">
        <v>250000</v>
      </c>
      <c r="C28" s="8" t="n">
        <v>250000</v>
      </c>
      <c r="D28" s="9" t="inlineStr">
        <is>
          <t>Empty Rooms</t>
        </is>
      </c>
      <c r="E28" s="9" t="inlineStr">
        <is>
          <t>Yes</t>
        </is>
      </c>
      <c r="F28" s="9" t="inlineStr"/>
    </row>
    <row r="29">
      <c r="A29" s="5" t="inlineStr">
        <is>
          <t>Sitting Room &amp; 5 Bedrooms</t>
        </is>
      </c>
      <c r="B29" s="8" t="n">
        <v>350000</v>
      </c>
      <c r="C29" s="8" t="n">
        <v>350000</v>
      </c>
      <c r="D29" s="9" t="inlineStr">
        <is>
          <t>Empty Rooms</t>
        </is>
      </c>
      <c r="E29" s="9" t="inlineStr">
        <is>
          <t>Yes</t>
        </is>
      </c>
      <c r="F29" s="9" t="inlineStr"/>
    </row>
    <row r="30">
      <c r="A30" s="5" t="inlineStr">
        <is>
          <t>Sitting Room &amp; 6 Bedrooms</t>
        </is>
      </c>
      <c r="B30" s="8" t="n">
        <v>450000</v>
      </c>
      <c r="C30" s="8" t="n">
        <v>450000</v>
      </c>
      <c r="D30" s="9" t="inlineStr">
        <is>
          <t>Empty Rooms</t>
        </is>
      </c>
      <c r="E30" s="9" t="inlineStr">
        <is>
          <t>Yes</t>
        </is>
      </c>
      <c r="F30" s="9" t="inlineStr"/>
    </row>
    <row r="31">
      <c r="A31" s="5" t="inlineStr">
        <is>
          <t>Sitting Room &amp; 2 Bedrooms</t>
        </is>
      </c>
      <c r="B31" s="8" t="n">
        <v>200000</v>
      </c>
      <c r="C31" s="8" t="n">
        <v>200000</v>
      </c>
      <c r="D31" s="9" t="inlineStr">
        <is>
          <t>Rooms With Furniture Cleaning</t>
        </is>
      </c>
      <c r="E31" s="9" t="inlineStr">
        <is>
          <t>Yes</t>
        </is>
      </c>
      <c r="F31" s="9" t="inlineStr"/>
    </row>
    <row r="32">
      <c r="A32" s="5" t="inlineStr">
        <is>
          <t>Sitting Room &amp; 3 Bedrooms</t>
        </is>
      </c>
      <c r="B32" s="8" t="n">
        <v>250000</v>
      </c>
      <c r="C32" s="8" t="n">
        <v>250000</v>
      </c>
      <c r="D32" s="9" t="inlineStr">
        <is>
          <t>Rooms With Furniture Cleaning</t>
        </is>
      </c>
      <c r="E32" s="9" t="inlineStr">
        <is>
          <t>Yes</t>
        </is>
      </c>
      <c r="F32" s="9" t="inlineStr"/>
    </row>
    <row r="33">
      <c r="A33" s="5" t="inlineStr">
        <is>
          <t>Sitting Room &amp; 4 Bedrooms</t>
        </is>
      </c>
      <c r="B33" s="8" t="n">
        <v>300000</v>
      </c>
      <c r="C33" s="8" t="n">
        <v>300000</v>
      </c>
      <c r="D33" s="9" t="inlineStr">
        <is>
          <t>Rooms With Furniture Cleaning</t>
        </is>
      </c>
      <c r="E33" s="9" t="inlineStr">
        <is>
          <t>Yes</t>
        </is>
      </c>
      <c r="F33" s="9" t="inlineStr"/>
    </row>
    <row r="34">
      <c r="A34" s="5" t="inlineStr">
        <is>
          <t>Sitting Room &amp; 5 Bedrooms</t>
        </is>
      </c>
      <c r="B34" s="8" t="n">
        <v>350000</v>
      </c>
      <c r="C34" s="8" t="n">
        <v>350000</v>
      </c>
      <c r="D34" s="9" t="inlineStr">
        <is>
          <t>Rooms With Furniture Cleaning</t>
        </is>
      </c>
      <c r="E34" s="9" t="inlineStr">
        <is>
          <t>Yes</t>
        </is>
      </c>
      <c r="F34" s="9" t="inlineStr"/>
    </row>
    <row r="35">
      <c r="A35" s="5" t="inlineStr">
        <is>
          <t>Sitting Room &amp; 6 Bedrooms</t>
        </is>
      </c>
      <c r="B35" s="8" t="n">
        <v>450000</v>
      </c>
      <c r="C35" s="8" t="n">
        <v>450000</v>
      </c>
      <c r="D35" s="9" t="inlineStr">
        <is>
          <t>Rooms With Furniture Cleaning</t>
        </is>
      </c>
      <c r="E35" s="9" t="inlineStr">
        <is>
          <t>Yes</t>
        </is>
      </c>
      <c r="F35" s="9" t="inlineStr"/>
    </row>
    <row r="37">
      <c r="A37" s="6" t="inlineStr">
        <is>
          <t>SOFA SERVICES</t>
        </is>
      </c>
      <c r="B37" s="7" t="n"/>
      <c r="C37" s="7" t="n"/>
      <c r="D37" s="7" t="n"/>
    </row>
    <row r="38">
      <c r="A38" s="3" t="inlineStr">
        <is>
          <t>Name</t>
        </is>
      </c>
      <c r="B38" s="3" t="inlineStr">
        <is>
          <t>Min Price</t>
        </is>
      </c>
      <c r="C38" s="3" t="inlineStr">
        <is>
          <t>Max Price</t>
        </is>
      </c>
      <c r="D38" s="3" t="inlineStr">
        <is>
          <t>Active</t>
        </is>
      </c>
    </row>
    <row r="39">
      <c r="A39" s="5" t="inlineStr">
        <is>
          <t>One Seater Sofa Set</t>
        </is>
      </c>
      <c r="B39" s="8" t="n">
        <v>15000</v>
      </c>
      <c r="C39" s="8" t="n">
        <v>15000</v>
      </c>
      <c r="D39" s="9" t="inlineStr">
        <is>
          <t>Yes</t>
        </is>
      </c>
    </row>
    <row r="40">
      <c r="A40" s="5" t="inlineStr">
        <is>
          <t>Two Seater Sofa Set</t>
        </is>
      </c>
      <c r="B40" s="8" t="n">
        <v>30000</v>
      </c>
      <c r="C40" s="8" t="n">
        <v>30000</v>
      </c>
      <c r="D40" s="9" t="inlineStr">
        <is>
          <t>Yes</t>
        </is>
      </c>
    </row>
    <row r="41">
      <c r="A41" s="5" t="inlineStr">
        <is>
          <t>Three Seater Sofa Set</t>
        </is>
      </c>
      <c r="B41" s="8" t="n">
        <v>45000</v>
      </c>
      <c r="C41" s="8" t="n">
        <v>45000</v>
      </c>
      <c r="D41" s="9" t="inlineStr">
        <is>
          <t>Yes</t>
        </is>
      </c>
    </row>
    <row r="42">
      <c r="A42" s="5" t="inlineStr">
        <is>
          <t>Four Seater Sofa Set</t>
        </is>
      </c>
      <c r="B42" s="8" t="n">
        <v>60000</v>
      </c>
      <c r="C42" s="8" t="n">
        <v>60000</v>
      </c>
      <c r="D42" s="9" t="inlineStr">
        <is>
          <t>Yes</t>
        </is>
      </c>
    </row>
    <row r="43">
      <c r="A43" s="5" t="inlineStr">
        <is>
          <t>Five Seater Sofa Set</t>
        </is>
      </c>
      <c r="B43" s="8" t="n">
        <v>75000</v>
      </c>
      <c r="C43" s="8" t="n">
        <v>75000</v>
      </c>
      <c r="D43" s="9" t="inlineStr">
        <is>
          <t>Yes</t>
        </is>
      </c>
    </row>
    <row r="44">
      <c r="A44" s="5" t="inlineStr">
        <is>
          <t>Six Seater Sofa Set</t>
        </is>
      </c>
      <c r="B44" s="8" t="n">
        <v>90000</v>
      </c>
      <c r="C44" s="8" t="n">
        <v>90000</v>
      </c>
      <c r="D44" s="9" t="inlineStr">
        <is>
          <t>Yes</t>
        </is>
      </c>
    </row>
    <row r="45">
      <c r="A45" s="5" t="inlineStr">
        <is>
          <t>Seven Seater Sofa Set</t>
        </is>
      </c>
      <c r="B45" s="8" t="n">
        <v>105000</v>
      </c>
      <c r="C45" s="8" t="n">
        <v>105000</v>
      </c>
      <c r="D45" s="9" t="inlineStr">
        <is>
          <t>Yes</t>
        </is>
      </c>
    </row>
    <row r="46">
      <c r="A46" s="5" t="inlineStr">
        <is>
          <t>Eight Seater Sofa Set</t>
        </is>
      </c>
      <c r="B46" s="8" t="n">
        <v>120000</v>
      </c>
      <c r="C46" s="8" t="n">
        <v>120000</v>
      </c>
      <c r="D46" s="9" t="inlineStr">
        <is>
          <t>Yes</t>
        </is>
      </c>
    </row>
    <row r="47">
      <c r="A47" s="5" t="inlineStr">
        <is>
          <t>Nine Seater Sofa Set</t>
        </is>
      </c>
      <c r="B47" s="8" t="n">
        <v>135000</v>
      </c>
      <c r="C47" s="8" t="n">
        <v>135000</v>
      </c>
      <c r="D47" s="9" t="inlineStr">
        <is>
          <t>Yes</t>
        </is>
      </c>
    </row>
    <row r="48">
      <c r="A48" s="5" t="inlineStr">
        <is>
          <t>Ten Seater Sofa Set</t>
        </is>
      </c>
      <c r="B48" s="8" t="n">
        <v>150000</v>
      </c>
      <c r="C48" s="8" t="n">
        <v>150000</v>
      </c>
      <c r="D48" s="9" t="inlineStr">
        <is>
          <t>Yes</t>
        </is>
      </c>
    </row>
    <row r="50">
      <c r="A50" s="6" t="inlineStr">
        <is>
          <t>LAUNDRY SERVICES</t>
        </is>
      </c>
      <c r="B50" s="7" t="n"/>
      <c r="C50" s="7" t="n"/>
      <c r="D50" s="7" t="n"/>
      <c r="E50" s="7" t="n"/>
      <c r="F50" s="7" t="n"/>
      <c r="G50" s="7" t="n"/>
    </row>
    <row r="51">
      <c r="A51" s="3" t="inlineStr">
        <is>
          <t>Name</t>
        </is>
      </c>
      <c r="B51" s="3" t="inlineStr">
        <is>
          <t>Unit</t>
        </is>
      </c>
      <c r="C51" s="3" t="inlineStr">
        <is>
          <t>Light Price</t>
        </is>
      </c>
      <c r="D51" s="3" t="inlineStr">
        <is>
          <t>Heavy Price</t>
        </is>
      </c>
      <c r="E51" s="3" t="inlineStr">
        <is>
          <t>Ironing Price</t>
        </is>
      </c>
      <c r="F51" s="3" t="inlineStr">
        <is>
          <t>Active</t>
        </is>
      </c>
      <c r="G51" s="3" t="inlineStr">
        <is>
          <t>Description</t>
        </is>
      </c>
    </row>
    <row r="52">
      <c r="A52" s="5" t="inlineStr">
        <is>
          <t>Ties</t>
        </is>
      </c>
      <c r="B52" s="9" t="inlineStr">
        <is>
          <t>Piece</t>
        </is>
      </c>
      <c r="C52" s="8" t="n">
        <v>1000</v>
      </c>
      <c r="D52" s="9" t="inlineStr"/>
      <c r="E52" s="9" t="inlineStr"/>
      <c r="F52" s="9" t="inlineStr">
        <is>
          <t>Yes</t>
        </is>
      </c>
      <c r="G52" s="9" t="inlineStr">
        <is>
          <t>1-4 pieces: 1,000 | 5-9 pieces: 900 | 10+ pieces: 800 (per piece)</t>
        </is>
      </c>
    </row>
    <row r="53">
      <c r="A53" s="5" t="inlineStr">
        <is>
          <t>Socks</t>
        </is>
      </c>
      <c r="B53" s="9" t="inlineStr">
        <is>
          <t>Pair</t>
        </is>
      </c>
      <c r="C53" s="8" t="n">
        <v>500</v>
      </c>
      <c r="D53" s="9" t="inlineStr"/>
      <c r="E53" s="9" t="inlineStr"/>
      <c r="F53" s="9" t="inlineStr">
        <is>
          <t>Yes</t>
        </is>
      </c>
      <c r="G53" s="9" t="inlineStr">
        <is>
          <t>1-4 pairs: 500 | 5-9 pairs: 400 | 10+ pairs: 300 (per pair)</t>
        </is>
      </c>
    </row>
    <row r="54">
      <c r="A54" s="5" t="inlineStr">
        <is>
          <t>Jeans / Cargo / Formal Trousers</t>
        </is>
      </c>
      <c r="B54" s="9" t="inlineStr">
        <is>
          <t>Piece</t>
        </is>
      </c>
      <c r="C54" s="8" t="n">
        <v>500</v>
      </c>
      <c r="D54" s="8" t="n">
        <v>1000</v>
      </c>
      <c r="E54" s="9" t="inlineStr"/>
      <c r="F54" s="9" t="inlineStr">
        <is>
          <t>Yes</t>
        </is>
      </c>
      <c r="G54" s="9" t="inlineStr">
        <is>
          <t>Light: 500 | Heavy: 1,000</t>
        </is>
      </c>
    </row>
    <row r="55">
      <c r="A55" s="5" t="inlineStr">
        <is>
          <t>Bazee / Kikoi / Lace / Kitenge</t>
        </is>
      </c>
      <c r="B55" s="9" t="inlineStr">
        <is>
          <t>Piece</t>
        </is>
      </c>
      <c r="C55" s="8" t="n">
        <v>2000</v>
      </c>
      <c r="D55" s="8" t="n">
        <v>3000</v>
      </c>
      <c r="E55" s="9" t="inlineStr"/>
      <c r="F55" s="9" t="inlineStr">
        <is>
          <t>Yes</t>
        </is>
      </c>
      <c r="G55" s="9" t="inlineStr">
        <is>
          <t>Light: 2,000 | Heavy: 3,000</t>
        </is>
      </c>
    </row>
    <row r="56">
      <c r="A56" s="5" t="inlineStr">
        <is>
          <t>Curtains</t>
        </is>
      </c>
      <c r="B56" s="9" t="inlineStr">
        <is>
          <t>Piece</t>
        </is>
      </c>
      <c r="C56" s="8" t="n">
        <v>5000</v>
      </c>
      <c r="D56" s="9" t="inlineStr"/>
      <c r="E56" s="9" t="inlineStr"/>
      <c r="F56" s="9" t="inlineStr">
        <is>
          <t>Yes</t>
        </is>
      </c>
      <c r="G56" s="9" t="inlineStr">
        <is>
          <t>5,000 per curtain</t>
        </is>
      </c>
    </row>
    <row r="57">
      <c r="A57" s="5" t="inlineStr">
        <is>
          <t>Bundle of Clothes</t>
        </is>
      </c>
      <c r="B57" s="9" t="inlineStr">
        <is>
          <t>Bundle</t>
        </is>
      </c>
      <c r="C57" s="8" t="n">
        <v>20000</v>
      </c>
      <c r="D57" s="8" t="n">
        <v>30000</v>
      </c>
      <c r="E57" s="9" t="inlineStr"/>
      <c r="F57" s="9" t="inlineStr">
        <is>
          <t>Yes</t>
        </is>
      </c>
      <c r="G57" s="9" t="inlineStr">
        <is>
          <t>30-clothes bundle: Light 20,000 | Heavy 30,000</t>
        </is>
      </c>
    </row>
    <row r="58">
      <c r="A58" s="5" t="inlineStr">
        <is>
          <t>Graduation Gown</t>
        </is>
      </c>
      <c r="B58" s="9" t="inlineStr">
        <is>
          <t>Piece</t>
        </is>
      </c>
      <c r="C58" s="9" t="inlineStr"/>
      <c r="D58" s="9" t="inlineStr"/>
      <c r="E58" s="8" t="n">
        <v>10000</v>
      </c>
      <c r="F58" s="9" t="inlineStr">
        <is>
          <t>Yes</t>
        </is>
      </c>
      <c r="G58" s="9" t="inlineStr">
        <is>
          <t>+ Ironing: 10,000</t>
        </is>
      </c>
    </row>
    <row r="59">
      <c r="A59" s="5" t="inlineStr">
        <is>
          <t>Wedding Gown</t>
        </is>
      </c>
      <c r="B59" s="9" t="inlineStr">
        <is>
          <t>Piece</t>
        </is>
      </c>
      <c r="C59" s="9" t="inlineStr"/>
      <c r="D59" s="9" t="inlineStr"/>
      <c r="E59" s="8" t="n">
        <v>29900</v>
      </c>
      <c r="F59" s="9" t="inlineStr">
        <is>
          <t>Yes</t>
        </is>
      </c>
      <c r="G59" s="9" t="inlineStr">
        <is>
          <t>+ Ironing: 29,900</t>
        </is>
      </c>
    </row>
    <row r="60">
      <c r="A60" s="5" t="inlineStr">
        <is>
          <t>Blanket</t>
        </is>
      </c>
      <c r="B60" s="9" t="inlineStr">
        <is>
          <t>Piece</t>
        </is>
      </c>
      <c r="C60" s="8" t="n">
        <v>15000</v>
      </c>
      <c r="D60" s="8" t="n">
        <v>29900</v>
      </c>
      <c r="E60" s="9" t="inlineStr"/>
      <c r="F60" s="9" t="inlineStr">
        <is>
          <t>Yes</t>
        </is>
      </c>
      <c r="G60" s="9" t="inlineStr">
        <is>
          <t>Light: 15,000 | Heavy: 29,900</t>
        </is>
      </c>
    </row>
    <row r="61">
      <c r="A61" s="5" t="inlineStr">
        <is>
          <t>Ironing</t>
        </is>
      </c>
      <c r="B61" s="9" t="inlineStr">
        <is>
          <t>Piece</t>
        </is>
      </c>
      <c r="C61" s="9" t="inlineStr"/>
      <c r="D61" s="9" t="inlineStr"/>
      <c r="E61" s="9" t="inlineStr"/>
      <c r="F61" s="9" t="inlineStr">
        <is>
          <t>Yes</t>
        </is>
      </c>
      <c r="G61" s="9" t="inlineStr">
        <is>
          <t>Price set by the administrator</t>
        </is>
      </c>
    </row>
    <row r="63">
      <c r="A63" s="6" t="inlineStr">
        <is>
          <t>SPECIALIZED SERVICES</t>
        </is>
      </c>
      <c r="B63" s="7" t="n"/>
      <c r="C63" s="7" t="n"/>
      <c r="D63" s="7" t="n"/>
      <c r="E63" s="7" t="n"/>
    </row>
    <row r="64">
      <c r="A64" s="3" t="inlineStr">
        <is>
          <t>Name</t>
        </is>
      </c>
      <c r="B64" s="3" t="inlineStr">
        <is>
          <t>Min Price</t>
        </is>
      </c>
      <c r="C64" s="3" t="inlineStr">
        <is>
          <t>Max Price</t>
        </is>
      </c>
      <c r="D64" s="3" t="inlineStr">
        <is>
          <t>Active</t>
        </is>
      </c>
      <c r="E64" s="3" t="inlineStr">
        <is>
          <t>Description</t>
        </is>
      </c>
    </row>
    <row r="65">
      <c r="A65" s="5" t="inlineStr">
        <is>
          <t>Shoe Cleaning</t>
        </is>
      </c>
      <c r="B65" s="8" t="n">
        <v>2000</v>
      </c>
      <c r="C65" s="8" t="n">
        <v>2000</v>
      </c>
      <c r="D65" s="9" t="inlineStr">
        <is>
          <t>Yes</t>
        </is>
      </c>
      <c r="E65" s="9" t="inlineStr"/>
    </row>
    <row r="66">
      <c r="A66" s="5" t="inlineStr">
        <is>
          <t>Sewer Cleaning</t>
        </is>
      </c>
      <c r="B66" s="8" t="n">
        <v>20000</v>
      </c>
      <c r="C66" s="8" t="n">
        <v>20000</v>
      </c>
      <c r="D66" s="9" t="inlineStr">
        <is>
          <t>Yes</t>
        </is>
      </c>
      <c r="E66" s="9" t="inlineStr"/>
    </row>
    <row r="67">
      <c r="A67" s="5" t="inlineStr">
        <is>
          <t>Carpet Cleaning</t>
        </is>
      </c>
      <c r="B67" s="8" t="n">
        <v>15000</v>
      </c>
      <c r="C67" s="8" t="n">
        <v>30000</v>
      </c>
      <c r="D67" s="9" t="inlineStr">
        <is>
          <t>Yes</t>
        </is>
      </c>
      <c r="E67" s="9" t="inlineStr"/>
    </row>
    <row r="68">
      <c r="A68" s="5" t="inlineStr">
        <is>
          <t>Fumigation Service</t>
        </is>
      </c>
      <c r="B68" s="8" t="n">
        <v>10000</v>
      </c>
      <c r="C68" s="8" t="n">
        <v>500000</v>
      </c>
      <c r="D68" s="9" t="inlineStr">
        <is>
          <t>Yes</t>
        </is>
      </c>
      <c r="E68" s="9" t="inlineStr"/>
    </row>
    <row r="69">
      <c r="A69" s="5" t="inlineStr">
        <is>
          <t>Gardening &amp; Maintenance</t>
        </is>
      </c>
      <c r="B69" s="8" t="n">
        <v>100000</v>
      </c>
      <c r="C69" s="8" t="n">
        <v>1000000</v>
      </c>
      <c r="D69" s="9" t="inlineStr">
        <is>
          <t>Yes</t>
        </is>
      </c>
      <c r="E69" s="9" t="inlineStr"/>
    </row>
    <row r="71">
      <c r="A71" s="6" t="inlineStr">
        <is>
          <t>HOUSEHELP CATEGORIES</t>
        </is>
      </c>
      <c r="B71" s="7" t="n"/>
      <c r="C71" s="7" t="n"/>
      <c r="D71" s="7" t="n"/>
      <c r="E71" s="7" t="n"/>
    </row>
    <row r="72">
      <c r="A72" s="3" t="inlineStr">
        <is>
          <t>Name</t>
        </is>
      </c>
      <c r="B72" s="3" t="inlineStr">
        <is>
          <t>Min Price</t>
        </is>
      </c>
      <c r="C72" s="3" t="inlineStr">
        <is>
          <t>Max Price</t>
        </is>
      </c>
      <c r="D72" s="3" t="inlineStr">
        <is>
          <t>Active</t>
        </is>
      </c>
      <c r="E72" s="3" t="inlineStr">
        <is>
          <t>Description</t>
        </is>
      </c>
    </row>
    <row r="73">
      <c r="A73" s="5" t="inlineStr">
        <is>
          <t>Single Parent Family</t>
        </is>
      </c>
      <c r="B73" s="8" t="n">
        <v>80000</v>
      </c>
      <c r="C73" s="8" t="n">
        <v>100000</v>
      </c>
      <c r="D73" s="9" t="inlineStr">
        <is>
          <t>Yes</t>
        </is>
      </c>
      <c r="E73" s="9" t="inlineStr">
        <is>
          <t>Family with only one parent</t>
        </is>
      </c>
    </row>
    <row r="74">
      <c r="A74" s="5" t="inlineStr">
        <is>
          <t>Nuclear Family</t>
        </is>
      </c>
      <c r="B74" s="8" t="n">
        <v>150000</v>
      </c>
      <c r="C74" s="8" t="n">
        <v>200000</v>
      </c>
      <c r="D74" s="9" t="inlineStr">
        <is>
          <t>Yes</t>
        </is>
      </c>
      <c r="E74" s="9" t="inlineStr">
        <is>
          <t>Family with both parents</t>
        </is>
      </c>
    </row>
    <row r="75">
      <c r="A75" s="5" t="inlineStr">
        <is>
          <t>Extended Family</t>
        </is>
      </c>
      <c r="B75" s="8" t="n">
        <v>250000</v>
      </c>
      <c r="C75" s="8" t="n">
        <v>500000</v>
      </c>
      <c r="D75" s="9" t="inlineStr">
        <is>
          <t>Yes</t>
        </is>
      </c>
      <c r="E75" s="9" t="inlineStr"/>
    </row>
    <row r="76">
      <c r="A76" s="5" t="inlineStr">
        <is>
          <t>Family Including Relative</t>
        </is>
      </c>
      <c r="B76" s="8" t="n">
        <v>250000</v>
      </c>
      <c r="C76" s="8" t="n">
        <v>500000</v>
      </c>
      <c r="D76" s="9" t="inlineStr">
        <is>
          <t>Yes</t>
        </is>
      </c>
      <c r="E76" s="9" t="inlineStr"/>
    </row>
    <row r="78">
      <c r="A78" s="6" t="inlineStr">
        <is>
          <t>PAYMENT METHODS</t>
        </is>
      </c>
      <c r="B78" s="7" t="n"/>
    </row>
    <row r="79">
      <c r="A79" s="3" t="inlineStr">
        <is>
          <t>Name</t>
        </is>
      </c>
      <c r="B79" s="3" t="inlineStr">
        <is>
          <t>Details</t>
        </is>
      </c>
    </row>
    <row r="80">
      <c r="A80" s="5" t="inlineStr">
        <is>
          <t>Cash</t>
        </is>
      </c>
      <c r="B80" s="9" t="inlineStr"/>
    </row>
    <row r="81">
      <c r="A81" s="5" t="inlineStr">
        <is>
          <t>M-Pesa</t>
        </is>
      </c>
      <c r="B81" s="9" t="inlineStr"/>
    </row>
    <row r="82">
      <c r="A82" s="5" t="inlineStr">
        <is>
          <t>Tigo Pesa</t>
        </is>
      </c>
      <c r="B82" s="9" t="inlineStr"/>
    </row>
    <row r="83">
      <c r="A83" s="5" t="inlineStr">
        <is>
          <t>Airtel Money</t>
        </is>
      </c>
      <c r="B83" s="9" t="inlineStr"/>
    </row>
    <row r="84">
      <c r="A84" s="5" t="inlineStr">
        <is>
          <t>Bank Transfer</t>
        </is>
      </c>
      <c r="B84" s="9" t="inlineStr"/>
    </row>
    <row r="86">
      <c r="A86" s="6" t="inlineStr">
        <is>
          <t>ORDER STATUSES</t>
        </is>
      </c>
    </row>
    <row r="87">
      <c r="A87" s="3" t="inlineStr">
        <is>
          <t>Name</t>
        </is>
      </c>
    </row>
    <row r="88">
      <c r="A88" s="5" t="inlineStr">
        <is>
          <t>Pending</t>
        </is>
      </c>
    </row>
    <row r="89">
      <c r="A89" s="5" t="inlineStr">
        <is>
          <t>Confirmed</t>
        </is>
      </c>
    </row>
    <row r="90">
      <c r="A90" s="5" t="inlineStr">
        <is>
          <t>In Progress</t>
        </is>
      </c>
    </row>
    <row r="91">
      <c r="A91" s="5" t="inlineStr">
        <is>
          <t>Completed</t>
        </is>
      </c>
    </row>
    <row r="92">
      <c r="A92" s="5" t="inlineStr">
        <is>
          <t>Cancelled</t>
        </is>
      </c>
    </row>
    <row r="94">
      <c r="A94" s="6" t="inlineStr">
        <is>
          <t>PAYMENT STATUSES</t>
        </is>
      </c>
    </row>
    <row r="95">
      <c r="A95" s="3" t="inlineStr">
        <is>
          <t>Name</t>
        </is>
      </c>
    </row>
    <row r="96">
      <c r="A96" s="5" t="inlineStr">
        <is>
          <t>Paid</t>
        </is>
      </c>
    </row>
    <row r="97">
      <c r="A97" s="5" t="inlineStr">
        <is>
          <t>Partial</t>
        </is>
      </c>
    </row>
    <row r="98">
      <c r="A98" s="5" t="inlineStr">
        <is>
          <t>Unpaid</t>
        </is>
      </c>
    </row>
    <row r="100">
      <c r="A100" s="6" t="inlineStr">
        <is>
          <t>EXPENSE CATEGORIES</t>
        </is>
      </c>
    </row>
    <row r="101">
      <c r="A101" s="3" t="inlineStr">
        <is>
          <t>Name</t>
        </is>
      </c>
    </row>
    <row r="102">
      <c r="A102" s="5" t="inlineStr">
        <is>
          <t>Transport</t>
        </is>
      </c>
    </row>
    <row r="103">
      <c r="A103" s="5" t="inlineStr">
        <is>
          <t>Cleaning Materials</t>
        </is>
      </c>
    </row>
    <row r="104">
      <c r="A104" s="5" t="inlineStr">
        <is>
          <t>Laundry Materials</t>
        </is>
      </c>
    </row>
    <row r="105">
      <c r="A105" s="5" t="inlineStr">
        <is>
          <t>Equipment</t>
        </is>
      </c>
    </row>
    <row r="106">
      <c r="A106" s="5" t="inlineStr">
        <is>
          <t>Fuel</t>
        </is>
      </c>
    </row>
    <row r="107">
      <c r="A107" s="5" t="inlineStr">
        <is>
          <t>Utilities</t>
        </is>
      </c>
    </row>
    <row r="108">
      <c r="A108" s="5" t="inlineStr">
        <is>
          <t>Salaries</t>
        </is>
      </c>
    </row>
    <row r="109">
      <c r="A109" s="5" t="inlineStr">
        <is>
          <t>Househelp Payments</t>
        </is>
      </c>
    </row>
    <row r="110">
      <c r="A110" s="5" t="inlineStr">
        <is>
          <t>Marketing</t>
        </is>
      </c>
    </row>
    <row r="111">
      <c r="A111" s="5" t="inlineStr">
        <is>
          <t>Maintenance</t>
        </is>
      </c>
    </row>
    <row r="112">
      <c r="A112" s="5" t="inlineStr">
        <is>
          <t>Other</t>
        </is>
      </c>
    </row>
    <row r="114">
      <c r="A114" s="6" t="inlineStr">
        <is>
          <t>HOUSEHELP STATUSES</t>
        </is>
      </c>
    </row>
    <row r="115">
      <c r="A115" s="3" t="inlineStr">
        <is>
          <t>Name</t>
        </is>
      </c>
    </row>
    <row r="116">
      <c r="A116" s="5" t="inlineStr">
        <is>
          <t>Available</t>
        </is>
      </c>
    </row>
    <row r="117">
      <c r="A117" s="5" t="inlineStr">
        <is>
          <t>Placed</t>
        </is>
      </c>
    </row>
    <row r="118">
      <c r="A118" s="5" t="inlineStr">
        <is>
          <t>On Contract</t>
        </is>
      </c>
    </row>
    <row r="119">
      <c r="A119" s="5" t="inlineStr">
        <is>
          <t>Inactive</t>
        </is>
      </c>
    </row>
    <row r="120">
      <c r="A120" s="5" t="inlineStr">
        <is>
          <t>Replacement Required</t>
        </is>
      </c>
    </row>
    <row r="122">
      <c r="A122" s="6" t="inlineStr">
        <is>
          <t>CONTRACT STATUSES</t>
        </is>
      </c>
    </row>
    <row r="123">
      <c r="A123" s="3" t="inlineStr">
        <is>
          <t>Name</t>
        </is>
      </c>
    </row>
    <row r="124">
      <c r="A124" s="5" t="inlineStr">
        <is>
          <t>Pending</t>
        </is>
      </c>
    </row>
    <row r="125">
      <c r="A125" s="5" t="inlineStr">
        <is>
          <t>Active</t>
        </is>
      </c>
    </row>
    <row r="126">
      <c r="A126" s="5" t="inlineStr">
        <is>
          <t>Completed</t>
        </is>
      </c>
    </row>
    <row r="127">
      <c r="A127" s="5" t="inlineStr">
        <is>
          <t>Terminated</t>
        </is>
      </c>
    </row>
    <row r="129">
      <c r="A129" s="6" t="inlineStr">
        <is>
          <t>PLACEMENT STATUSES</t>
        </is>
      </c>
    </row>
    <row r="130">
      <c r="A130" s="3" t="inlineStr">
        <is>
          <t>Name</t>
        </is>
      </c>
    </row>
    <row r="131">
      <c r="A131" s="5" t="inlineStr">
        <is>
          <t>Pending</t>
        </is>
      </c>
    </row>
    <row r="132">
      <c r="A132" s="5" t="inlineStr">
        <is>
          <t>Matching</t>
        </is>
      </c>
    </row>
    <row r="133">
      <c r="A133" s="5" t="inlineStr">
        <is>
          <t>Contract Pending</t>
        </is>
      </c>
    </row>
    <row r="134">
      <c r="A134" s="5" t="inlineStr">
        <is>
          <t>Active</t>
        </is>
      </c>
    </row>
    <row r="135">
      <c r="A135" s="5" t="inlineStr">
        <is>
          <t>Completed</t>
        </is>
      </c>
    </row>
    <row r="136">
      <c r="A136" s="5" t="inlineStr">
        <is>
          <t>Terminated</t>
        </is>
      </c>
    </row>
    <row r="137">
      <c r="A137" s="5" t="inlineStr">
        <is>
          <t>Replacement Required</t>
        </is>
      </c>
    </row>
    <row r="139">
      <c r="A139" s="6" t="inlineStr">
        <is>
          <t>COMPLAINT STATUSES</t>
        </is>
      </c>
    </row>
    <row r="140">
      <c r="A140" s="3" t="inlineStr">
        <is>
          <t>Name</t>
        </is>
      </c>
    </row>
    <row r="141">
      <c r="A141" s="5" t="inlineStr">
        <is>
          <t>Reported</t>
        </is>
      </c>
    </row>
    <row r="142">
      <c r="A142" s="5" t="inlineStr">
        <is>
          <t>Under Review</t>
        </is>
      </c>
    </row>
    <row r="143">
      <c r="A143" s="5" t="inlineStr">
        <is>
          <t>Mediation</t>
        </is>
      </c>
    </row>
    <row r="144">
      <c r="A144" s="5" t="inlineStr">
        <is>
          <t>Resolved</t>
        </is>
      </c>
    </row>
    <row r="145">
      <c r="A145" s="5" t="inlineStr">
        <is>
          <t>Escalated</t>
        </is>
      </c>
    </row>
    <row r="147">
      <c r="A147" s="6" t="inlineStr">
        <is>
          <t>COMPLAINT TYPES</t>
        </is>
      </c>
    </row>
    <row r="148">
      <c r="A148" s="3" t="inlineStr">
        <is>
          <t>Name</t>
        </is>
      </c>
    </row>
    <row r="149">
      <c r="A149" s="5" t="inlineStr">
        <is>
          <t>Salary/payment</t>
        </is>
      </c>
    </row>
    <row r="150">
      <c r="A150" s="5" t="inlineStr">
        <is>
          <t>Mistreatment</t>
        </is>
      </c>
    </row>
    <row r="151">
      <c r="A151" s="5" t="inlineStr">
        <is>
          <t>Abuse</t>
        </is>
      </c>
    </row>
    <row r="152">
      <c r="A152" s="5" t="inlineStr">
        <is>
          <t>Working conditions</t>
        </is>
      </c>
    </row>
    <row r="153">
      <c r="A153" s="5" t="inlineStr">
        <is>
          <t>Accommodation</t>
        </is>
      </c>
    </row>
    <row r="154">
      <c r="A154" s="5" t="inlineStr">
        <is>
          <t>Food</t>
        </is>
      </c>
    </row>
    <row r="155">
      <c r="A155" s="5" t="inlineStr">
        <is>
          <t>Misconduct</t>
        </is>
      </c>
    </row>
    <row r="156">
      <c r="A156" s="5" t="inlineStr">
        <is>
          <t>Property/damage</t>
        </is>
      </c>
    </row>
    <row r="157">
      <c r="A157" s="5" t="inlineStr">
        <is>
          <t>Other</t>
        </is>
      </c>
    </row>
    <row r="159">
      <c r="A159" s="6" t="inlineStr">
        <is>
          <t>EMPLOYEE/WORKER TYPES</t>
        </is>
      </c>
    </row>
    <row r="160">
      <c r="A160" s="3" t="inlineStr">
        <is>
          <t>Name</t>
        </is>
      </c>
    </row>
    <row r="161">
      <c r="A161" s="5" t="inlineStr">
        <is>
          <t>Staff</t>
        </is>
      </c>
    </row>
    <row r="162">
      <c r="A162" s="5" t="inlineStr">
        <is>
          <t>Worker</t>
        </is>
      </c>
    </row>
    <row r="163">
      <c r="A163" s="5" t="inlineStr">
        <is>
          <t>Househelp</t>
        </is>
      </c>
    </row>
    <row r="165">
      <c r="A165" s="6" t="inlineStr">
        <is>
          <t>SEVERITY LEVELS</t>
        </is>
      </c>
    </row>
    <row r="166">
      <c r="A166" s="3" t="inlineStr">
        <is>
          <t>Name</t>
        </is>
      </c>
    </row>
    <row r="167">
      <c r="A167" s="5" t="inlineStr">
        <is>
          <t>Low</t>
        </is>
      </c>
    </row>
    <row r="168">
      <c r="A168" s="5" t="inlineStr">
        <is>
          <t>Medium</t>
        </is>
      </c>
    </row>
    <row r="169">
      <c r="A169" s="5" t="inlineStr">
        <is>
          <t>High</t>
        </is>
      </c>
    </row>
    <row r="171">
      <c r="A171" s="6" t="inlineStr">
        <is>
          <t>PAYMENT FREQUENCIES</t>
        </is>
      </c>
    </row>
    <row r="172">
      <c r="A172" s="3" t="inlineStr">
        <is>
          <t>Name</t>
        </is>
      </c>
    </row>
    <row r="173">
      <c r="A173" s="5" t="inlineStr">
        <is>
          <t>Monthly</t>
        </is>
      </c>
    </row>
    <row r="174">
      <c r="A174" s="5" t="inlineStr">
        <is>
          <t>Weekly</t>
        </is>
      </c>
    </row>
    <row r="176">
      <c r="A176" s="6" t="inlineStr">
        <is>
          <t>ATTENDANCE STATUSES</t>
        </is>
      </c>
    </row>
    <row r="177">
      <c r="A177" s="3" t="inlineStr">
        <is>
          <t>Name</t>
        </is>
      </c>
    </row>
    <row r="178">
      <c r="A178" s="5" t="inlineStr">
        <is>
          <t>Present</t>
        </is>
      </c>
    </row>
    <row r="179">
      <c r="A179" s="5" t="inlineStr">
        <is>
          <t>Absent</t>
        </is>
      </c>
    </row>
    <row r="180">
      <c r="A180" s="5" t="inlineStr">
        <is>
          <t>Half Day</t>
        </is>
      </c>
    </row>
    <row r="181">
      <c r="A181" s="5" t="inlineStr">
        <is>
          <t>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69A2"/>
    <outlinePr summaryBelow="1" summaryRight="1"/>
    <pageSetUpPr/>
  </sheetPr>
  <dimension ref="A1:U20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6" customWidth="1" min="4" max="4"/>
    <col width="26" customWidth="1" min="5" max="5"/>
    <col width="26" customWidth="1" min="6" max="6"/>
    <col width="28" customWidth="1" min="7" max="7"/>
    <col width="10" customWidth="1" min="8" max="8"/>
    <col width="13" customWidth="1" min="9" max="9"/>
    <col width="12" customWidth="1" min="10" max="10"/>
    <col width="13" customWidth="1" min="11" max="11"/>
    <col width="13" customWidth="1" min="12" max="12"/>
    <col width="13" customWidth="1" min="13" max="13"/>
    <col width="14" customWidth="1" min="14" max="14"/>
    <col width="14" customWidth="1" min="15" max="15"/>
    <col width="13" customWidth="1" min="16" max="16"/>
    <col width="13" customWidth="1" min="17" max="17"/>
    <col width="15" customWidth="1" min="18" max="18"/>
    <col width="30" customWidth="1" min="19" max="19"/>
    <col width="40" customWidth="1" min="20" max="20"/>
    <col width="30" customWidth="1" min="21" max="21"/>
  </cols>
  <sheetData>
    <row r="1">
      <c r="A1" s="1" t="inlineStr">
        <is>
          <t>DEE CLEANERS — ORDERS</t>
        </is>
      </c>
    </row>
    <row r="2">
      <c r="A2" s="2" t="inlineStr">
        <is>
          <t>Grey columns are formulas — do not edit them. Fill white columns or use the app. Transport fee is paid by the customer.</t>
        </is>
      </c>
    </row>
    <row r="3">
      <c r="A3" s="10" t="inlineStr">
        <is>
          <t>Order ID</t>
        </is>
      </c>
      <c r="B3" s="10" t="inlineStr">
        <is>
          <t>Date</t>
        </is>
      </c>
      <c r="C3" s="10" t="inlineStr">
        <is>
          <t>Customer Name</t>
        </is>
      </c>
      <c r="D3" s="10" t="inlineStr">
        <is>
          <t>Phone</t>
        </is>
      </c>
      <c r="E3" s="10" t="inlineStr">
        <is>
          <t>Email</t>
        </is>
      </c>
      <c r="F3" s="10" t="inlineStr">
        <is>
          <t>Service</t>
        </is>
      </c>
      <c r="G3" s="10" t="inlineStr">
        <is>
          <t>Description</t>
        </is>
      </c>
      <c r="H3" s="10" t="inlineStr">
        <is>
          <t>Quantity</t>
        </is>
      </c>
      <c r="I3" s="10" t="inlineStr">
        <is>
          <t>Unit Price</t>
        </is>
      </c>
      <c r="J3" s="10" t="inlineStr">
        <is>
          <t>Discount</t>
        </is>
      </c>
      <c r="K3" s="10" t="inlineStr">
        <is>
          <t>Total*</t>
        </is>
      </c>
      <c r="L3" s="10" t="inlineStr">
        <is>
          <t>Amount Paid</t>
        </is>
      </c>
      <c r="M3" s="10" t="inlineStr">
        <is>
          <t>Balance*</t>
        </is>
      </c>
      <c r="N3" s="10" t="inlineStr">
        <is>
          <t>Payment Status*</t>
        </is>
      </c>
      <c r="O3" s="10" t="inlineStr">
        <is>
          <t>Order Status</t>
        </is>
      </c>
      <c r="P3" s="10" t="inlineStr">
        <is>
          <t>Transport Fee</t>
        </is>
      </c>
      <c r="Q3" s="10" t="inlineStr">
        <is>
          <t>Direct Expense</t>
        </is>
      </c>
      <c r="R3" s="10" t="inlineStr">
        <is>
          <t>Net Service Profit*</t>
        </is>
      </c>
      <c r="S3" s="10" t="inlineStr">
        <is>
          <t>Notes</t>
        </is>
      </c>
      <c r="T3" s="10" t="inlineStr">
        <is>
          <t>Line Items JSON</t>
        </is>
      </c>
      <c r="U3" s="10" t="inlineStr">
        <is>
          <t>Unique Customer Helper*</t>
        </is>
      </c>
    </row>
    <row r="4">
      <c r="A4" s="11">
        <f>IF(B4="","",TEXT(ROW()-3,"""DC-""0000"))</f>
        <v/>
      </c>
      <c r="B4" s="5" t="n"/>
      <c r="C4" s="5" t="n"/>
      <c r="D4" s="5" t="n"/>
      <c r="E4" s="5" t="n"/>
      <c r="F4" s="5" t="n"/>
      <c r="G4" s="5" t="n"/>
      <c r="H4" s="8" t="n"/>
      <c r="I4" s="8" t="n"/>
      <c r="J4" s="8" t="n"/>
      <c r="K4" s="11">
        <f>IF(B4="","",MAX(0,IFERROR(I4,0)*IFERROR(H4,0)-IFERROR(J4,0)))</f>
        <v/>
      </c>
      <c r="L4" s="8" t="n"/>
      <c r="M4" s="11">
        <f>IF(B4="","",MAX(0,K4-L4))</f>
        <v/>
      </c>
      <c r="N4" s="11">
        <f>IF(B4="","",IF(L4&gt;=K4,"Paid",IF(L4&gt;0,"Partial","Unpaid")))</f>
        <v/>
      </c>
      <c r="O4" s="5" t="n"/>
      <c r="P4" s="8" t="n"/>
      <c r="Q4" s="8" t="n"/>
      <c r="R4" s="11">
        <f>IF(B4="","",IFERROR(K4,0)+IFERROR(P4,0)-IFERROR(Q4,0))</f>
        <v/>
      </c>
      <c r="S4" s="5" t="n"/>
      <c r="T4" s="5" t="n"/>
      <c r="U4" s="11">
        <f>IF(B4="","",TRIM(LOWER(C4)&amp;"|"&amp;LOWER(D4)))</f>
        <v/>
      </c>
    </row>
    <row r="5">
      <c r="A5" s="11">
        <f>IF(B5="","",TEXT(ROW()-3,"""DC-""0000"))</f>
        <v/>
      </c>
      <c r="B5" s="5" t="n"/>
      <c r="C5" s="5" t="n"/>
      <c r="D5" s="5" t="n"/>
      <c r="E5" s="5" t="n"/>
      <c r="F5" s="5" t="n"/>
      <c r="G5" s="5" t="n"/>
      <c r="H5" s="8" t="n"/>
      <c r="I5" s="8" t="n"/>
      <c r="J5" s="8" t="n"/>
      <c r="K5" s="11">
        <f>IF(B5="","",MAX(0,IFERROR(I5,0)*IFERROR(H5,0)-IFERROR(J5,0)))</f>
        <v/>
      </c>
      <c r="L5" s="8" t="n"/>
      <c r="M5" s="11">
        <f>IF(B5="","",MAX(0,K5-L5))</f>
        <v/>
      </c>
      <c r="N5" s="11">
        <f>IF(B5="","",IF(L5&gt;=K5,"Paid",IF(L5&gt;0,"Partial","Unpaid")))</f>
        <v/>
      </c>
      <c r="O5" s="5" t="n"/>
      <c r="P5" s="8" t="n"/>
      <c r="Q5" s="8" t="n"/>
      <c r="R5" s="11">
        <f>IF(B5="","",IFERROR(K5,0)+IFERROR(P5,0)-IFERROR(Q5,0))</f>
        <v/>
      </c>
      <c r="S5" s="5" t="n"/>
      <c r="T5" s="5" t="n"/>
      <c r="U5" s="11">
        <f>IF(B5="","",TRIM(LOWER(C5)&amp;"|"&amp;LOWER(D5)))</f>
        <v/>
      </c>
    </row>
    <row r="6">
      <c r="A6" s="11">
        <f>IF(B6="","",TEXT(ROW()-3,"""DC-""0000"))</f>
        <v/>
      </c>
      <c r="B6" s="5" t="n"/>
      <c r="C6" s="5" t="n"/>
      <c r="D6" s="5" t="n"/>
      <c r="E6" s="5" t="n"/>
      <c r="F6" s="5" t="n"/>
      <c r="G6" s="5" t="n"/>
      <c r="H6" s="8" t="n"/>
      <c r="I6" s="8" t="n"/>
      <c r="J6" s="8" t="n"/>
      <c r="K6" s="11">
        <f>IF(B6="","",MAX(0,IFERROR(I6,0)*IFERROR(H6,0)-IFERROR(J6,0)))</f>
        <v/>
      </c>
      <c r="L6" s="8" t="n"/>
      <c r="M6" s="11">
        <f>IF(B6="","",MAX(0,K6-L6))</f>
        <v/>
      </c>
      <c r="N6" s="11">
        <f>IF(B6="","",IF(L6&gt;=K6,"Paid",IF(L6&gt;0,"Partial","Unpaid")))</f>
        <v/>
      </c>
      <c r="O6" s="5" t="n"/>
      <c r="P6" s="8" t="n"/>
      <c r="Q6" s="8" t="n"/>
      <c r="R6" s="11">
        <f>IF(B6="","",IFERROR(K6,0)+IFERROR(P6,0)-IFERROR(Q6,0))</f>
        <v/>
      </c>
      <c r="S6" s="5" t="n"/>
      <c r="T6" s="5" t="n"/>
      <c r="U6" s="11">
        <f>IF(B6="","",TRIM(LOWER(C6)&amp;"|"&amp;LOWER(D6)))</f>
        <v/>
      </c>
    </row>
    <row r="7">
      <c r="A7" s="11">
        <f>IF(B7="","",TEXT(ROW()-3,"""DC-""0000"))</f>
        <v/>
      </c>
      <c r="B7" s="5" t="n"/>
      <c r="C7" s="5" t="n"/>
      <c r="D7" s="5" t="n"/>
      <c r="E7" s="5" t="n"/>
      <c r="F7" s="5" t="n"/>
      <c r="G7" s="5" t="n"/>
      <c r="H7" s="8" t="n"/>
      <c r="I7" s="8" t="n"/>
      <c r="J7" s="8" t="n"/>
      <c r="K7" s="11">
        <f>IF(B7="","",MAX(0,IFERROR(I7,0)*IFERROR(H7,0)-IFERROR(J7,0)))</f>
        <v/>
      </c>
      <c r="L7" s="8" t="n"/>
      <c r="M7" s="11">
        <f>IF(B7="","",MAX(0,K7-L7))</f>
        <v/>
      </c>
      <c r="N7" s="11">
        <f>IF(B7="","",IF(L7&gt;=K7,"Paid",IF(L7&gt;0,"Partial","Unpaid")))</f>
        <v/>
      </c>
      <c r="O7" s="5" t="n"/>
      <c r="P7" s="8" t="n"/>
      <c r="Q7" s="8" t="n"/>
      <c r="R7" s="11">
        <f>IF(B7="","",IFERROR(K7,0)+IFERROR(P7,0)-IFERROR(Q7,0))</f>
        <v/>
      </c>
      <c r="S7" s="5" t="n"/>
      <c r="T7" s="5" t="n"/>
      <c r="U7" s="11">
        <f>IF(B7="","",TRIM(LOWER(C7)&amp;"|"&amp;LOWER(D7)))</f>
        <v/>
      </c>
    </row>
    <row r="8">
      <c r="A8" s="11">
        <f>IF(B8="","",TEXT(ROW()-3,"""DC-""0000"))</f>
        <v/>
      </c>
      <c r="B8" s="5" t="n"/>
      <c r="C8" s="5" t="n"/>
      <c r="D8" s="5" t="n"/>
      <c r="E8" s="5" t="n"/>
      <c r="F8" s="5" t="n"/>
      <c r="G8" s="5" t="n"/>
      <c r="H8" s="8" t="n"/>
      <c r="I8" s="8" t="n"/>
      <c r="J8" s="8" t="n"/>
      <c r="K8" s="11">
        <f>IF(B8="","",MAX(0,IFERROR(I8,0)*IFERROR(H8,0)-IFERROR(J8,0)))</f>
        <v/>
      </c>
      <c r="L8" s="8" t="n"/>
      <c r="M8" s="11">
        <f>IF(B8="","",MAX(0,K8-L8))</f>
        <v/>
      </c>
      <c r="N8" s="11">
        <f>IF(B8="","",IF(L8&gt;=K8,"Paid",IF(L8&gt;0,"Partial","Unpaid")))</f>
        <v/>
      </c>
      <c r="O8" s="5" t="n"/>
      <c r="P8" s="8" t="n"/>
      <c r="Q8" s="8" t="n"/>
      <c r="R8" s="11">
        <f>IF(B8="","",IFERROR(K8,0)+IFERROR(P8,0)-IFERROR(Q8,0))</f>
        <v/>
      </c>
      <c r="S8" s="5" t="n"/>
      <c r="T8" s="5" t="n"/>
      <c r="U8" s="11">
        <f>IF(B8="","",TRIM(LOWER(C8)&amp;"|"&amp;LOWER(D8)))</f>
        <v/>
      </c>
    </row>
    <row r="9">
      <c r="A9" s="11">
        <f>IF(B9="","",TEXT(ROW()-3,"""DC-""0000"))</f>
        <v/>
      </c>
      <c r="B9" s="5" t="n"/>
      <c r="C9" s="5" t="n"/>
      <c r="D9" s="5" t="n"/>
      <c r="E9" s="5" t="n"/>
      <c r="F9" s="5" t="n"/>
      <c r="G9" s="5" t="n"/>
      <c r="H9" s="8" t="n"/>
      <c r="I9" s="8" t="n"/>
      <c r="J9" s="8" t="n"/>
      <c r="K9" s="11">
        <f>IF(B9="","",MAX(0,IFERROR(I9,0)*IFERROR(H9,0)-IFERROR(J9,0)))</f>
        <v/>
      </c>
      <c r="L9" s="8" t="n"/>
      <c r="M9" s="11">
        <f>IF(B9="","",MAX(0,K9-L9))</f>
        <v/>
      </c>
      <c r="N9" s="11">
        <f>IF(B9="","",IF(L9&gt;=K9,"Paid",IF(L9&gt;0,"Partial","Unpaid")))</f>
        <v/>
      </c>
      <c r="O9" s="5" t="n"/>
      <c r="P9" s="8" t="n"/>
      <c r="Q9" s="8" t="n"/>
      <c r="R9" s="11">
        <f>IF(B9="","",IFERROR(K9,0)+IFERROR(P9,0)-IFERROR(Q9,0))</f>
        <v/>
      </c>
      <c r="S9" s="5" t="n"/>
      <c r="T9" s="5" t="n"/>
      <c r="U9" s="11">
        <f>IF(B9="","",TRIM(LOWER(C9)&amp;"|"&amp;LOWER(D9)))</f>
        <v/>
      </c>
    </row>
    <row r="10">
      <c r="A10" s="11">
        <f>IF(B10="","",TEXT(ROW()-3,"""DC-""0000"))</f>
        <v/>
      </c>
      <c r="B10" s="5" t="n"/>
      <c r="C10" s="5" t="n"/>
      <c r="D10" s="5" t="n"/>
      <c r="E10" s="5" t="n"/>
      <c r="F10" s="5" t="n"/>
      <c r="G10" s="5" t="n"/>
      <c r="H10" s="8" t="n"/>
      <c r="I10" s="8" t="n"/>
      <c r="J10" s="8" t="n"/>
      <c r="K10" s="11">
        <f>IF(B10="","",MAX(0,IFERROR(I10,0)*IFERROR(H10,0)-IFERROR(J10,0)))</f>
        <v/>
      </c>
      <c r="L10" s="8" t="n"/>
      <c r="M10" s="11">
        <f>IF(B10="","",MAX(0,K10-L10))</f>
        <v/>
      </c>
      <c r="N10" s="11">
        <f>IF(B10="","",IF(L10&gt;=K10,"Paid",IF(L10&gt;0,"Partial","Unpaid")))</f>
        <v/>
      </c>
      <c r="O10" s="5" t="n"/>
      <c r="P10" s="8" t="n"/>
      <c r="Q10" s="8" t="n"/>
      <c r="R10" s="11">
        <f>IF(B10="","",IFERROR(K10,0)+IFERROR(P10,0)-IFERROR(Q10,0))</f>
        <v/>
      </c>
      <c r="S10" s="5" t="n"/>
      <c r="T10" s="5" t="n"/>
      <c r="U10" s="11">
        <f>IF(B10="","",TRIM(LOWER(C10)&amp;"|"&amp;LOWER(D10)))</f>
        <v/>
      </c>
    </row>
    <row r="11">
      <c r="A11" s="11">
        <f>IF(B11="","",TEXT(ROW()-3,"""DC-""0000"))</f>
        <v/>
      </c>
      <c r="B11" s="5" t="n"/>
      <c r="C11" s="5" t="n"/>
      <c r="D11" s="5" t="n"/>
      <c r="E11" s="5" t="n"/>
      <c r="F11" s="5" t="n"/>
      <c r="G11" s="5" t="n"/>
      <c r="H11" s="8" t="n"/>
      <c r="I11" s="8" t="n"/>
      <c r="J11" s="8" t="n"/>
      <c r="K11" s="11">
        <f>IF(B11="","",MAX(0,IFERROR(I11,0)*IFERROR(H11,0)-IFERROR(J11,0)))</f>
        <v/>
      </c>
      <c r="L11" s="8" t="n"/>
      <c r="M11" s="11">
        <f>IF(B11="","",MAX(0,K11-L11))</f>
        <v/>
      </c>
      <c r="N11" s="11">
        <f>IF(B11="","",IF(L11&gt;=K11,"Paid",IF(L11&gt;0,"Partial","Unpaid")))</f>
        <v/>
      </c>
      <c r="O11" s="5" t="n"/>
      <c r="P11" s="8" t="n"/>
      <c r="Q11" s="8" t="n"/>
      <c r="R11" s="11">
        <f>IF(B11="","",IFERROR(K11,0)+IFERROR(P11,0)-IFERROR(Q11,0))</f>
        <v/>
      </c>
      <c r="S11" s="5" t="n"/>
      <c r="T11" s="5" t="n"/>
      <c r="U11" s="11">
        <f>IF(B11="","",TRIM(LOWER(C11)&amp;"|"&amp;LOWER(D11)))</f>
        <v/>
      </c>
    </row>
    <row r="12">
      <c r="A12" s="11">
        <f>IF(B12="","",TEXT(ROW()-3,"""DC-""0000"))</f>
        <v/>
      </c>
      <c r="B12" s="5" t="n"/>
      <c r="C12" s="5" t="n"/>
      <c r="D12" s="5" t="n"/>
      <c r="E12" s="5" t="n"/>
      <c r="F12" s="5" t="n"/>
      <c r="G12" s="5" t="n"/>
      <c r="H12" s="8" t="n"/>
      <c r="I12" s="8" t="n"/>
      <c r="J12" s="8" t="n"/>
      <c r="K12" s="11">
        <f>IF(B12="","",MAX(0,IFERROR(I12,0)*IFERROR(H12,0)-IFERROR(J12,0)))</f>
        <v/>
      </c>
      <c r="L12" s="8" t="n"/>
      <c r="M12" s="11">
        <f>IF(B12="","",MAX(0,K12-L12))</f>
        <v/>
      </c>
      <c r="N12" s="11">
        <f>IF(B12="","",IF(L12&gt;=K12,"Paid",IF(L12&gt;0,"Partial","Unpaid")))</f>
        <v/>
      </c>
      <c r="O12" s="5" t="n"/>
      <c r="P12" s="8" t="n"/>
      <c r="Q12" s="8" t="n"/>
      <c r="R12" s="11">
        <f>IF(B12="","",IFERROR(K12,0)+IFERROR(P12,0)-IFERROR(Q12,0))</f>
        <v/>
      </c>
      <c r="S12" s="5" t="n"/>
      <c r="T12" s="5" t="n"/>
      <c r="U12" s="11">
        <f>IF(B12="","",TRIM(LOWER(C12)&amp;"|"&amp;LOWER(D12)))</f>
        <v/>
      </c>
    </row>
    <row r="13">
      <c r="A13" s="11">
        <f>IF(B13="","",TEXT(ROW()-3,"""DC-""0000"))</f>
        <v/>
      </c>
      <c r="B13" s="5" t="n"/>
      <c r="C13" s="5" t="n"/>
      <c r="D13" s="5" t="n"/>
      <c r="E13" s="5" t="n"/>
      <c r="F13" s="5" t="n"/>
      <c r="G13" s="5" t="n"/>
      <c r="H13" s="8" t="n"/>
      <c r="I13" s="8" t="n"/>
      <c r="J13" s="8" t="n"/>
      <c r="K13" s="11">
        <f>IF(B13="","",MAX(0,IFERROR(I13,0)*IFERROR(H13,0)-IFERROR(J13,0)))</f>
        <v/>
      </c>
      <c r="L13" s="8" t="n"/>
      <c r="M13" s="11">
        <f>IF(B13="","",MAX(0,K13-L13))</f>
        <v/>
      </c>
      <c r="N13" s="11">
        <f>IF(B13="","",IF(L13&gt;=K13,"Paid",IF(L13&gt;0,"Partial","Unpaid")))</f>
        <v/>
      </c>
      <c r="O13" s="5" t="n"/>
      <c r="P13" s="8" t="n"/>
      <c r="Q13" s="8" t="n"/>
      <c r="R13" s="11">
        <f>IF(B13="","",IFERROR(K13,0)+IFERROR(P13,0)-IFERROR(Q13,0))</f>
        <v/>
      </c>
      <c r="S13" s="5" t="n"/>
      <c r="T13" s="5" t="n"/>
      <c r="U13" s="11">
        <f>IF(B13="","",TRIM(LOWER(C13)&amp;"|"&amp;LOWER(D13)))</f>
        <v/>
      </c>
    </row>
    <row r="14">
      <c r="A14" s="11">
        <f>IF(B14="","",TEXT(ROW()-3,"""DC-""0000"))</f>
        <v/>
      </c>
      <c r="B14" s="5" t="n"/>
      <c r="C14" s="5" t="n"/>
      <c r="D14" s="5" t="n"/>
      <c r="E14" s="5" t="n"/>
      <c r="F14" s="5" t="n"/>
      <c r="G14" s="5" t="n"/>
      <c r="H14" s="8" t="n"/>
      <c r="I14" s="8" t="n"/>
      <c r="J14" s="8" t="n"/>
      <c r="K14" s="11">
        <f>IF(B14="","",MAX(0,IFERROR(I14,0)*IFERROR(H14,0)-IFERROR(J14,0)))</f>
        <v/>
      </c>
      <c r="L14" s="8" t="n"/>
      <c r="M14" s="11">
        <f>IF(B14="","",MAX(0,K14-L14))</f>
        <v/>
      </c>
      <c r="N14" s="11">
        <f>IF(B14="","",IF(L14&gt;=K14,"Paid",IF(L14&gt;0,"Partial","Unpaid")))</f>
        <v/>
      </c>
      <c r="O14" s="5" t="n"/>
      <c r="P14" s="8" t="n"/>
      <c r="Q14" s="8" t="n"/>
      <c r="R14" s="11">
        <f>IF(B14="","",IFERROR(K14,0)+IFERROR(P14,0)-IFERROR(Q14,0))</f>
        <v/>
      </c>
      <c r="S14" s="5" t="n"/>
      <c r="T14" s="5" t="n"/>
      <c r="U14" s="11">
        <f>IF(B14="","",TRIM(LOWER(C14)&amp;"|"&amp;LOWER(D14)))</f>
        <v/>
      </c>
    </row>
    <row r="15">
      <c r="A15" s="11">
        <f>IF(B15="","",TEXT(ROW()-3,"""DC-""0000"))</f>
        <v/>
      </c>
      <c r="B15" s="5" t="n"/>
      <c r="C15" s="5" t="n"/>
      <c r="D15" s="5" t="n"/>
      <c r="E15" s="5" t="n"/>
      <c r="F15" s="5" t="n"/>
      <c r="G15" s="5" t="n"/>
      <c r="H15" s="8" t="n"/>
      <c r="I15" s="8" t="n"/>
      <c r="J15" s="8" t="n"/>
      <c r="K15" s="11">
        <f>IF(B15="","",MAX(0,IFERROR(I15,0)*IFERROR(H15,0)-IFERROR(J15,0)))</f>
        <v/>
      </c>
      <c r="L15" s="8" t="n"/>
      <c r="M15" s="11">
        <f>IF(B15="","",MAX(0,K15-L15))</f>
        <v/>
      </c>
      <c r="N15" s="11">
        <f>IF(B15="","",IF(L15&gt;=K15,"Paid",IF(L15&gt;0,"Partial","Unpaid")))</f>
        <v/>
      </c>
      <c r="O15" s="5" t="n"/>
      <c r="P15" s="8" t="n"/>
      <c r="Q15" s="8" t="n"/>
      <c r="R15" s="11">
        <f>IF(B15="","",IFERROR(K15,0)+IFERROR(P15,0)-IFERROR(Q15,0))</f>
        <v/>
      </c>
      <c r="S15" s="5" t="n"/>
      <c r="T15" s="5" t="n"/>
      <c r="U15" s="11">
        <f>IF(B15="","",TRIM(LOWER(C15)&amp;"|"&amp;LOWER(D15)))</f>
        <v/>
      </c>
    </row>
    <row r="16">
      <c r="A16" s="11">
        <f>IF(B16="","",TEXT(ROW()-3,"""DC-""0000"))</f>
        <v/>
      </c>
      <c r="B16" s="5" t="n"/>
      <c r="C16" s="5" t="n"/>
      <c r="D16" s="5" t="n"/>
      <c r="E16" s="5" t="n"/>
      <c r="F16" s="5" t="n"/>
      <c r="G16" s="5" t="n"/>
      <c r="H16" s="8" t="n"/>
      <c r="I16" s="8" t="n"/>
      <c r="J16" s="8" t="n"/>
      <c r="K16" s="11">
        <f>IF(B16="","",MAX(0,IFERROR(I16,0)*IFERROR(H16,0)-IFERROR(J16,0)))</f>
        <v/>
      </c>
      <c r="L16" s="8" t="n"/>
      <c r="M16" s="11">
        <f>IF(B16="","",MAX(0,K16-L16))</f>
        <v/>
      </c>
      <c r="N16" s="11">
        <f>IF(B16="","",IF(L16&gt;=K16,"Paid",IF(L16&gt;0,"Partial","Unpaid")))</f>
        <v/>
      </c>
      <c r="O16" s="5" t="n"/>
      <c r="P16" s="8" t="n"/>
      <c r="Q16" s="8" t="n"/>
      <c r="R16" s="11">
        <f>IF(B16="","",IFERROR(K16,0)+IFERROR(P16,0)-IFERROR(Q16,0))</f>
        <v/>
      </c>
      <c r="S16" s="5" t="n"/>
      <c r="T16" s="5" t="n"/>
      <c r="U16" s="11">
        <f>IF(B16="","",TRIM(LOWER(C16)&amp;"|"&amp;LOWER(D16)))</f>
        <v/>
      </c>
    </row>
    <row r="17">
      <c r="A17" s="11">
        <f>IF(B17="","",TEXT(ROW()-3,"""DC-""0000"))</f>
        <v/>
      </c>
      <c r="B17" s="5" t="n"/>
      <c r="C17" s="5" t="n"/>
      <c r="D17" s="5" t="n"/>
      <c r="E17" s="5" t="n"/>
      <c r="F17" s="5" t="n"/>
      <c r="G17" s="5" t="n"/>
      <c r="H17" s="8" t="n"/>
      <c r="I17" s="8" t="n"/>
      <c r="J17" s="8" t="n"/>
      <c r="K17" s="11">
        <f>IF(B17="","",MAX(0,IFERROR(I17,0)*IFERROR(H17,0)-IFERROR(J17,0)))</f>
        <v/>
      </c>
      <c r="L17" s="8" t="n"/>
      <c r="M17" s="11">
        <f>IF(B17="","",MAX(0,K17-L17))</f>
        <v/>
      </c>
      <c r="N17" s="11">
        <f>IF(B17="","",IF(L17&gt;=K17,"Paid",IF(L17&gt;0,"Partial","Unpaid")))</f>
        <v/>
      </c>
      <c r="O17" s="5" t="n"/>
      <c r="P17" s="8" t="n"/>
      <c r="Q17" s="8" t="n"/>
      <c r="R17" s="11">
        <f>IF(B17="","",IFERROR(K17,0)+IFERROR(P17,0)-IFERROR(Q17,0))</f>
        <v/>
      </c>
      <c r="S17" s="5" t="n"/>
      <c r="T17" s="5" t="n"/>
      <c r="U17" s="11">
        <f>IF(B17="","",TRIM(LOWER(C17)&amp;"|"&amp;LOWER(D17)))</f>
        <v/>
      </c>
    </row>
    <row r="18">
      <c r="A18" s="11">
        <f>IF(B18="","",TEXT(ROW()-3,"""DC-""0000"))</f>
        <v/>
      </c>
      <c r="B18" s="5" t="n"/>
      <c r="C18" s="5" t="n"/>
      <c r="D18" s="5" t="n"/>
      <c r="E18" s="5" t="n"/>
      <c r="F18" s="5" t="n"/>
      <c r="G18" s="5" t="n"/>
      <c r="H18" s="8" t="n"/>
      <c r="I18" s="8" t="n"/>
      <c r="J18" s="8" t="n"/>
      <c r="K18" s="11">
        <f>IF(B18="","",MAX(0,IFERROR(I18,0)*IFERROR(H18,0)-IFERROR(J18,0)))</f>
        <v/>
      </c>
      <c r="L18" s="8" t="n"/>
      <c r="M18" s="11">
        <f>IF(B18="","",MAX(0,K18-L18))</f>
        <v/>
      </c>
      <c r="N18" s="11">
        <f>IF(B18="","",IF(L18&gt;=K18,"Paid",IF(L18&gt;0,"Partial","Unpaid")))</f>
        <v/>
      </c>
      <c r="O18" s="5" t="n"/>
      <c r="P18" s="8" t="n"/>
      <c r="Q18" s="8" t="n"/>
      <c r="R18" s="11">
        <f>IF(B18="","",IFERROR(K18,0)+IFERROR(P18,0)-IFERROR(Q18,0))</f>
        <v/>
      </c>
      <c r="S18" s="5" t="n"/>
      <c r="T18" s="5" t="n"/>
      <c r="U18" s="11">
        <f>IF(B18="","",TRIM(LOWER(C18)&amp;"|"&amp;LOWER(D18)))</f>
        <v/>
      </c>
    </row>
    <row r="19">
      <c r="A19" s="11">
        <f>IF(B19="","",TEXT(ROW()-3,"""DC-""0000"))</f>
        <v/>
      </c>
      <c r="B19" s="5" t="n"/>
      <c r="C19" s="5" t="n"/>
      <c r="D19" s="5" t="n"/>
      <c r="E19" s="5" t="n"/>
      <c r="F19" s="5" t="n"/>
      <c r="G19" s="5" t="n"/>
      <c r="H19" s="8" t="n"/>
      <c r="I19" s="8" t="n"/>
      <c r="J19" s="8" t="n"/>
      <c r="K19" s="11">
        <f>IF(B19="","",MAX(0,IFERROR(I19,0)*IFERROR(H19,0)-IFERROR(J19,0)))</f>
        <v/>
      </c>
      <c r="L19" s="8" t="n"/>
      <c r="M19" s="11">
        <f>IF(B19="","",MAX(0,K19-L19))</f>
        <v/>
      </c>
      <c r="N19" s="11">
        <f>IF(B19="","",IF(L19&gt;=K19,"Paid",IF(L19&gt;0,"Partial","Unpaid")))</f>
        <v/>
      </c>
      <c r="O19" s="5" t="n"/>
      <c r="P19" s="8" t="n"/>
      <c r="Q19" s="8" t="n"/>
      <c r="R19" s="11">
        <f>IF(B19="","",IFERROR(K19,0)+IFERROR(P19,0)-IFERROR(Q19,0))</f>
        <v/>
      </c>
      <c r="S19" s="5" t="n"/>
      <c r="T19" s="5" t="n"/>
      <c r="U19" s="11">
        <f>IF(B19="","",TRIM(LOWER(C19)&amp;"|"&amp;LOWER(D19)))</f>
        <v/>
      </c>
    </row>
    <row r="20">
      <c r="A20" s="11">
        <f>IF(B20="","",TEXT(ROW()-3,"""DC-""0000"))</f>
        <v/>
      </c>
      <c r="B20" s="5" t="n"/>
      <c r="C20" s="5" t="n"/>
      <c r="D20" s="5" t="n"/>
      <c r="E20" s="5" t="n"/>
      <c r="F20" s="5" t="n"/>
      <c r="G20" s="5" t="n"/>
      <c r="H20" s="8" t="n"/>
      <c r="I20" s="8" t="n"/>
      <c r="J20" s="8" t="n"/>
      <c r="K20" s="11">
        <f>IF(B20="","",MAX(0,IFERROR(I20,0)*IFERROR(H20,0)-IFERROR(J20,0)))</f>
        <v/>
      </c>
      <c r="L20" s="8" t="n"/>
      <c r="M20" s="11">
        <f>IF(B20="","",MAX(0,K20-L20))</f>
        <v/>
      </c>
      <c r="N20" s="11">
        <f>IF(B20="","",IF(L20&gt;=K20,"Paid",IF(L20&gt;0,"Partial","Unpaid")))</f>
        <v/>
      </c>
      <c r="O20" s="5" t="n"/>
      <c r="P20" s="8" t="n"/>
      <c r="Q20" s="8" t="n"/>
      <c r="R20" s="11">
        <f>IF(B20="","",IFERROR(K20,0)+IFERROR(P20,0)-IFERROR(Q20,0))</f>
        <v/>
      </c>
      <c r="S20" s="5" t="n"/>
      <c r="T20" s="5" t="n"/>
      <c r="U20" s="11">
        <f>IF(B20="","",TRIM(LOWER(C20)&amp;"|"&amp;LOWER(D20)))</f>
        <v/>
      </c>
    </row>
    <row r="21">
      <c r="A21" s="11">
        <f>IF(B21="","",TEXT(ROW()-3,"""DC-""0000"))</f>
        <v/>
      </c>
      <c r="B21" s="5" t="n"/>
      <c r="C21" s="5" t="n"/>
      <c r="D21" s="5" t="n"/>
      <c r="E21" s="5" t="n"/>
      <c r="F21" s="5" t="n"/>
      <c r="G21" s="5" t="n"/>
      <c r="H21" s="8" t="n"/>
      <c r="I21" s="8" t="n"/>
      <c r="J21" s="8" t="n"/>
      <c r="K21" s="11">
        <f>IF(B21="","",MAX(0,IFERROR(I21,0)*IFERROR(H21,0)-IFERROR(J21,0)))</f>
        <v/>
      </c>
      <c r="L21" s="8" t="n"/>
      <c r="M21" s="11">
        <f>IF(B21="","",MAX(0,K21-L21))</f>
        <v/>
      </c>
      <c r="N21" s="11">
        <f>IF(B21="","",IF(L21&gt;=K21,"Paid",IF(L21&gt;0,"Partial","Unpaid")))</f>
        <v/>
      </c>
      <c r="O21" s="5" t="n"/>
      <c r="P21" s="8" t="n"/>
      <c r="Q21" s="8" t="n"/>
      <c r="R21" s="11">
        <f>IF(B21="","",IFERROR(K21,0)+IFERROR(P21,0)-IFERROR(Q21,0))</f>
        <v/>
      </c>
      <c r="S21" s="5" t="n"/>
      <c r="T21" s="5" t="n"/>
      <c r="U21" s="11">
        <f>IF(B21="","",TRIM(LOWER(C21)&amp;"|"&amp;LOWER(D21)))</f>
        <v/>
      </c>
    </row>
    <row r="22">
      <c r="A22" s="11">
        <f>IF(B22="","",TEXT(ROW()-3,"""DC-""0000"))</f>
        <v/>
      </c>
      <c r="B22" s="5" t="n"/>
      <c r="C22" s="5" t="n"/>
      <c r="D22" s="5" t="n"/>
      <c r="E22" s="5" t="n"/>
      <c r="F22" s="5" t="n"/>
      <c r="G22" s="5" t="n"/>
      <c r="H22" s="8" t="n"/>
      <c r="I22" s="8" t="n"/>
      <c r="J22" s="8" t="n"/>
      <c r="K22" s="11">
        <f>IF(B22="","",MAX(0,IFERROR(I22,0)*IFERROR(H22,0)-IFERROR(J22,0)))</f>
        <v/>
      </c>
      <c r="L22" s="8" t="n"/>
      <c r="M22" s="11">
        <f>IF(B22="","",MAX(0,K22-L22))</f>
        <v/>
      </c>
      <c r="N22" s="11">
        <f>IF(B22="","",IF(L22&gt;=K22,"Paid",IF(L22&gt;0,"Partial","Unpaid")))</f>
        <v/>
      </c>
      <c r="O22" s="5" t="n"/>
      <c r="P22" s="8" t="n"/>
      <c r="Q22" s="8" t="n"/>
      <c r="R22" s="11">
        <f>IF(B22="","",IFERROR(K22,0)+IFERROR(P22,0)-IFERROR(Q22,0))</f>
        <v/>
      </c>
      <c r="S22" s="5" t="n"/>
      <c r="T22" s="5" t="n"/>
      <c r="U22" s="11">
        <f>IF(B22="","",TRIM(LOWER(C22)&amp;"|"&amp;LOWER(D22)))</f>
        <v/>
      </c>
    </row>
    <row r="23">
      <c r="A23" s="11">
        <f>IF(B23="","",TEXT(ROW()-3,"""DC-""0000"))</f>
        <v/>
      </c>
      <c r="B23" s="5" t="n"/>
      <c r="C23" s="5" t="n"/>
      <c r="D23" s="5" t="n"/>
      <c r="E23" s="5" t="n"/>
      <c r="F23" s="5" t="n"/>
      <c r="G23" s="5" t="n"/>
      <c r="H23" s="8" t="n"/>
      <c r="I23" s="8" t="n"/>
      <c r="J23" s="8" t="n"/>
      <c r="K23" s="11">
        <f>IF(B23="","",MAX(0,IFERROR(I23,0)*IFERROR(H23,0)-IFERROR(J23,0)))</f>
        <v/>
      </c>
      <c r="L23" s="8" t="n"/>
      <c r="M23" s="11">
        <f>IF(B23="","",MAX(0,K23-L23))</f>
        <v/>
      </c>
      <c r="N23" s="11">
        <f>IF(B23="","",IF(L23&gt;=K23,"Paid",IF(L23&gt;0,"Partial","Unpaid")))</f>
        <v/>
      </c>
      <c r="O23" s="5" t="n"/>
      <c r="P23" s="8" t="n"/>
      <c r="Q23" s="8" t="n"/>
      <c r="R23" s="11">
        <f>IF(B23="","",IFERROR(K23,0)+IFERROR(P23,0)-IFERROR(Q23,0))</f>
        <v/>
      </c>
      <c r="S23" s="5" t="n"/>
      <c r="T23" s="5" t="n"/>
      <c r="U23" s="11">
        <f>IF(B23="","",TRIM(LOWER(C23)&amp;"|"&amp;LOWER(D23)))</f>
        <v/>
      </c>
    </row>
    <row r="24">
      <c r="A24" s="11">
        <f>IF(B24="","",TEXT(ROW()-3,"""DC-""0000"))</f>
        <v/>
      </c>
      <c r="B24" s="5" t="n"/>
      <c r="C24" s="5" t="n"/>
      <c r="D24" s="5" t="n"/>
      <c r="E24" s="5" t="n"/>
      <c r="F24" s="5" t="n"/>
      <c r="G24" s="5" t="n"/>
      <c r="H24" s="8" t="n"/>
      <c r="I24" s="8" t="n"/>
      <c r="J24" s="8" t="n"/>
      <c r="K24" s="11">
        <f>IF(B24="","",MAX(0,IFERROR(I24,0)*IFERROR(H24,0)-IFERROR(J24,0)))</f>
        <v/>
      </c>
      <c r="L24" s="8" t="n"/>
      <c r="M24" s="11">
        <f>IF(B24="","",MAX(0,K24-L24))</f>
        <v/>
      </c>
      <c r="N24" s="11">
        <f>IF(B24="","",IF(L24&gt;=K24,"Paid",IF(L24&gt;0,"Partial","Unpaid")))</f>
        <v/>
      </c>
      <c r="O24" s="5" t="n"/>
      <c r="P24" s="8" t="n"/>
      <c r="Q24" s="8" t="n"/>
      <c r="R24" s="11">
        <f>IF(B24="","",IFERROR(K24,0)+IFERROR(P24,0)-IFERROR(Q24,0))</f>
        <v/>
      </c>
      <c r="S24" s="5" t="n"/>
      <c r="T24" s="5" t="n"/>
      <c r="U24" s="11">
        <f>IF(B24="","",TRIM(LOWER(C24)&amp;"|"&amp;LOWER(D24)))</f>
        <v/>
      </c>
    </row>
    <row r="25">
      <c r="A25" s="11">
        <f>IF(B25="","",TEXT(ROW()-3,"""DC-""0000"))</f>
        <v/>
      </c>
      <c r="B25" s="5" t="n"/>
      <c r="C25" s="5" t="n"/>
      <c r="D25" s="5" t="n"/>
      <c r="E25" s="5" t="n"/>
      <c r="F25" s="5" t="n"/>
      <c r="G25" s="5" t="n"/>
      <c r="H25" s="8" t="n"/>
      <c r="I25" s="8" t="n"/>
      <c r="J25" s="8" t="n"/>
      <c r="K25" s="11">
        <f>IF(B25="","",MAX(0,IFERROR(I25,0)*IFERROR(H25,0)-IFERROR(J25,0)))</f>
        <v/>
      </c>
      <c r="L25" s="8" t="n"/>
      <c r="M25" s="11">
        <f>IF(B25="","",MAX(0,K25-L25))</f>
        <v/>
      </c>
      <c r="N25" s="11">
        <f>IF(B25="","",IF(L25&gt;=K25,"Paid",IF(L25&gt;0,"Partial","Unpaid")))</f>
        <v/>
      </c>
      <c r="O25" s="5" t="n"/>
      <c r="P25" s="8" t="n"/>
      <c r="Q25" s="8" t="n"/>
      <c r="R25" s="11">
        <f>IF(B25="","",IFERROR(K25,0)+IFERROR(P25,0)-IFERROR(Q25,0))</f>
        <v/>
      </c>
      <c r="S25" s="5" t="n"/>
      <c r="T25" s="5" t="n"/>
      <c r="U25" s="11">
        <f>IF(B25="","",TRIM(LOWER(C25)&amp;"|"&amp;LOWER(D25)))</f>
        <v/>
      </c>
    </row>
    <row r="26">
      <c r="A26" s="11">
        <f>IF(B26="","",TEXT(ROW()-3,"""DC-""0000"))</f>
        <v/>
      </c>
      <c r="B26" s="5" t="n"/>
      <c r="C26" s="5" t="n"/>
      <c r="D26" s="5" t="n"/>
      <c r="E26" s="5" t="n"/>
      <c r="F26" s="5" t="n"/>
      <c r="G26" s="5" t="n"/>
      <c r="H26" s="8" t="n"/>
      <c r="I26" s="8" t="n"/>
      <c r="J26" s="8" t="n"/>
      <c r="K26" s="11">
        <f>IF(B26="","",MAX(0,IFERROR(I26,0)*IFERROR(H26,0)-IFERROR(J26,0)))</f>
        <v/>
      </c>
      <c r="L26" s="8" t="n"/>
      <c r="M26" s="11">
        <f>IF(B26="","",MAX(0,K26-L26))</f>
        <v/>
      </c>
      <c r="N26" s="11">
        <f>IF(B26="","",IF(L26&gt;=K26,"Paid",IF(L26&gt;0,"Partial","Unpaid")))</f>
        <v/>
      </c>
      <c r="O26" s="5" t="n"/>
      <c r="P26" s="8" t="n"/>
      <c r="Q26" s="8" t="n"/>
      <c r="R26" s="11">
        <f>IF(B26="","",IFERROR(K26,0)+IFERROR(P26,0)-IFERROR(Q26,0))</f>
        <v/>
      </c>
      <c r="S26" s="5" t="n"/>
      <c r="T26" s="5" t="n"/>
      <c r="U26" s="11">
        <f>IF(B26="","",TRIM(LOWER(C26)&amp;"|"&amp;LOWER(D26)))</f>
        <v/>
      </c>
    </row>
    <row r="27">
      <c r="A27" s="11">
        <f>IF(B27="","",TEXT(ROW()-3,"""DC-""0000"))</f>
        <v/>
      </c>
      <c r="B27" s="5" t="n"/>
      <c r="C27" s="5" t="n"/>
      <c r="D27" s="5" t="n"/>
      <c r="E27" s="5" t="n"/>
      <c r="F27" s="5" t="n"/>
      <c r="G27" s="5" t="n"/>
      <c r="H27" s="8" t="n"/>
      <c r="I27" s="8" t="n"/>
      <c r="J27" s="8" t="n"/>
      <c r="K27" s="11">
        <f>IF(B27="","",MAX(0,IFERROR(I27,0)*IFERROR(H27,0)-IFERROR(J27,0)))</f>
        <v/>
      </c>
      <c r="L27" s="8" t="n"/>
      <c r="M27" s="11">
        <f>IF(B27="","",MAX(0,K27-L27))</f>
        <v/>
      </c>
      <c r="N27" s="11">
        <f>IF(B27="","",IF(L27&gt;=K27,"Paid",IF(L27&gt;0,"Partial","Unpaid")))</f>
        <v/>
      </c>
      <c r="O27" s="5" t="n"/>
      <c r="P27" s="8" t="n"/>
      <c r="Q27" s="8" t="n"/>
      <c r="R27" s="11">
        <f>IF(B27="","",IFERROR(K27,0)+IFERROR(P27,0)-IFERROR(Q27,0))</f>
        <v/>
      </c>
      <c r="S27" s="5" t="n"/>
      <c r="T27" s="5" t="n"/>
      <c r="U27" s="11">
        <f>IF(B27="","",TRIM(LOWER(C27)&amp;"|"&amp;LOWER(D27)))</f>
        <v/>
      </c>
    </row>
    <row r="28">
      <c r="A28" s="11">
        <f>IF(B28="","",TEXT(ROW()-3,"""DC-""0000"))</f>
        <v/>
      </c>
      <c r="B28" s="5" t="n"/>
      <c r="C28" s="5" t="n"/>
      <c r="D28" s="5" t="n"/>
      <c r="E28" s="5" t="n"/>
      <c r="F28" s="5" t="n"/>
      <c r="G28" s="5" t="n"/>
      <c r="H28" s="8" t="n"/>
      <c r="I28" s="8" t="n"/>
      <c r="J28" s="8" t="n"/>
      <c r="K28" s="11">
        <f>IF(B28="","",MAX(0,IFERROR(I28,0)*IFERROR(H28,0)-IFERROR(J28,0)))</f>
        <v/>
      </c>
      <c r="L28" s="8" t="n"/>
      <c r="M28" s="11">
        <f>IF(B28="","",MAX(0,K28-L28))</f>
        <v/>
      </c>
      <c r="N28" s="11">
        <f>IF(B28="","",IF(L28&gt;=K28,"Paid",IF(L28&gt;0,"Partial","Unpaid")))</f>
        <v/>
      </c>
      <c r="O28" s="5" t="n"/>
      <c r="P28" s="8" t="n"/>
      <c r="Q28" s="8" t="n"/>
      <c r="R28" s="11">
        <f>IF(B28="","",IFERROR(K28,0)+IFERROR(P28,0)-IFERROR(Q28,0))</f>
        <v/>
      </c>
      <c r="S28" s="5" t="n"/>
      <c r="T28" s="5" t="n"/>
      <c r="U28" s="11">
        <f>IF(B28="","",TRIM(LOWER(C28)&amp;"|"&amp;LOWER(D28)))</f>
        <v/>
      </c>
    </row>
    <row r="29">
      <c r="A29" s="11">
        <f>IF(B29="","",TEXT(ROW()-3,"""DC-""0000"))</f>
        <v/>
      </c>
      <c r="B29" s="5" t="n"/>
      <c r="C29" s="5" t="n"/>
      <c r="D29" s="5" t="n"/>
      <c r="E29" s="5" t="n"/>
      <c r="F29" s="5" t="n"/>
      <c r="G29" s="5" t="n"/>
      <c r="H29" s="8" t="n"/>
      <c r="I29" s="8" t="n"/>
      <c r="J29" s="8" t="n"/>
      <c r="K29" s="11">
        <f>IF(B29="","",MAX(0,IFERROR(I29,0)*IFERROR(H29,0)-IFERROR(J29,0)))</f>
        <v/>
      </c>
      <c r="L29" s="8" t="n"/>
      <c r="M29" s="11">
        <f>IF(B29="","",MAX(0,K29-L29))</f>
        <v/>
      </c>
      <c r="N29" s="11">
        <f>IF(B29="","",IF(L29&gt;=K29,"Paid",IF(L29&gt;0,"Partial","Unpaid")))</f>
        <v/>
      </c>
      <c r="O29" s="5" t="n"/>
      <c r="P29" s="8" t="n"/>
      <c r="Q29" s="8" t="n"/>
      <c r="R29" s="11">
        <f>IF(B29="","",IFERROR(K29,0)+IFERROR(P29,0)-IFERROR(Q29,0))</f>
        <v/>
      </c>
      <c r="S29" s="5" t="n"/>
      <c r="T29" s="5" t="n"/>
      <c r="U29" s="11">
        <f>IF(B29="","",TRIM(LOWER(C29)&amp;"|"&amp;LOWER(D29)))</f>
        <v/>
      </c>
    </row>
    <row r="30">
      <c r="A30" s="11">
        <f>IF(B30="","",TEXT(ROW()-3,"""DC-""0000"))</f>
        <v/>
      </c>
      <c r="B30" s="5" t="n"/>
      <c r="C30" s="5" t="n"/>
      <c r="D30" s="5" t="n"/>
      <c r="E30" s="5" t="n"/>
      <c r="F30" s="5" t="n"/>
      <c r="G30" s="5" t="n"/>
      <c r="H30" s="8" t="n"/>
      <c r="I30" s="8" t="n"/>
      <c r="J30" s="8" t="n"/>
      <c r="K30" s="11">
        <f>IF(B30="","",MAX(0,IFERROR(I30,0)*IFERROR(H30,0)-IFERROR(J30,0)))</f>
        <v/>
      </c>
      <c r="L30" s="8" t="n"/>
      <c r="M30" s="11">
        <f>IF(B30="","",MAX(0,K30-L30))</f>
        <v/>
      </c>
      <c r="N30" s="11">
        <f>IF(B30="","",IF(L30&gt;=K30,"Paid",IF(L30&gt;0,"Partial","Unpaid")))</f>
        <v/>
      </c>
      <c r="O30" s="5" t="n"/>
      <c r="P30" s="8" t="n"/>
      <c r="Q30" s="8" t="n"/>
      <c r="R30" s="11">
        <f>IF(B30="","",IFERROR(K30,0)+IFERROR(P30,0)-IFERROR(Q30,0))</f>
        <v/>
      </c>
      <c r="S30" s="5" t="n"/>
      <c r="T30" s="5" t="n"/>
      <c r="U30" s="11">
        <f>IF(B30="","",TRIM(LOWER(C30)&amp;"|"&amp;LOWER(D30)))</f>
        <v/>
      </c>
    </row>
    <row r="31">
      <c r="A31" s="11">
        <f>IF(B31="","",TEXT(ROW()-3,"""DC-""0000"))</f>
        <v/>
      </c>
      <c r="B31" s="5" t="n"/>
      <c r="C31" s="5" t="n"/>
      <c r="D31" s="5" t="n"/>
      <c r="E31" s="5" t="n"/>
      <c r="F31" s="5" t="n"/>
      <c r="G31" s="5" t="n"/>
      <c r="H31" s="8" t="n"/>
      <c r="I31" s="8" t="n"/>
      <c r="J31" s="8" t="n"/>
      <c r="K31" s="11">
        <f>IF(B31="","",MAX(0,IFERROR(I31,0)*IFERROR(H31,0)-IFERROR(J31,0)))</f>
        <v/>
      </c>
      <c r="L31" s="8" t="n"/>
      <c r="M31" s="11">
        <f>IF(B31="","",MAX(0,K31-L31))</f>
        <v/>
      </c>
      <c r="N31" s="11">
        <f>IF(B31="","",IF(L31&gt;=K31,"Paid",IF(L31&gt;0,"Partial","Unpaid")))</f>
        <v/>
      </c>
      <c r="O31" s="5" t="n"/>
      <c r="P31" s="8" t="n"/>
      <c r="Q31" s="8" t="n"/>
      <c r="R31" s="11">
        <f>IF(B31="","",IFERROR(K31,0)+IFERROR(P31,0)-IFERROR(Q31,0))</f>
        <v/>
      </c>
      <c r="S31" s="5" t="n"/>
      <c r="T31" s="5" t="n"/>
      <c r="U31" s="11">
        <f>IF(B31="","",TRIM(LOWER(C31)&amp;"|"&amp;LOWER(D31)))</f>
        <v/>
      </c>
    </row>
    <row r="32">
      <c r="A32" s="11">
        <f>IF(B32="","",TEXT(ROW()-3,"""DC-""0000"))</f>
        <v/>
      </c>
      <c r="B32" s="5" t="n"/>
      <c r="C32" s="5" t="n"/>
      <c r="D32" s="5" t="n"/>
      <c r="E32" s="5" t="n"/>
      <c r="F32" s="5" t="n"/>
      <c r="G32" s="5" t="n"/>
      <c r="H32" s="8" t="n"/>
      <c r="I32" s="8" t="n"/>
      <c r="J32" s="8" t="n"/>
      <c r="K32" s="11">
        <f>IF(B32="","",MAX(0,IFERROR(I32,0)*IFERROR(H32,0)-IFERROR(J32,0)))</f>
        <v/>
      </c>
      <c r="L32" s="8" t="n"/>
      <c r="M32" s="11">
        <f>IF(B32="","",MAX(0,K32-L32))</f>
        <v/>
      </c>
      <c r="N32" s="11">
        <f>IF(B32="","",IF(L32&gt;=K32,"Paid",IF(L32&gt;0,"Partial","Unpaid")))</f>
        <v/>
      </c>
      <c r="O32" s="5" t="n"/>
      <c r="P32" s="8" t="n"/>
      <c r="Q32" s="8" t="n"/>
      <c r="R32" s="11">
        <f>IF(B32="","",IFERROR(K32,0)+IFERROR(P32,0)-IFERROR(Q32,0))</f>
        <v/>
      </c>
      <c r="S32" s="5" t="n"/>
      <c r="T32" s="5" t="n"/>
      <c r="U32" s="11">
        <f>IF(B32="","",TRIM(LOWER(C32)&amp;"|"&amp;LOWER(D32)))</f>
        <v/>
      </c>
    </row>
    <row r="33">
      <c r="A33" s="11">
        <f>IF(B33="","",TEXT(ROW()-3,"""DC-""0000"))</f>
        <v/>
      </c>
      <c r="B33" s="5" t="n"/>
      <c r="C33" s="5" t="n"/>
      <c r="D33" s="5" t="n"/>
      <c r="E33" s="5" t="n"/>
      <c r="F33" s="5" t="n"/>
      <c r="G33" s="5" t="n"/>
      <c r="H33" s="8" t="n"/>
      <c r="I33" s="8" t="n"/>
      <c r="J33" s="8" t="n"/>
      <c r="K33" s="11">
        <f>IF(B33="","",MAX(0,IFERROR(I33,0)*IFERROR(H33,0)-IFERROR(J33,0)))</f>
        <v/>
      </c>
      <c r="L33" s="8" t="n"/>
      <c r="M33" s="11">
        <f>IF(B33="","",MAX(0,K33-L33))</f>
        <v/>
      </c>
      <c r="N33" s="11">
        <f>IF(B33="","",IF(L33&gt;=K33,"Paid",IF(L33&gt;0,"Partial","Unpaid")))</f>
        <v/>
      </c>
      <c r="O33" s="5" t="n"/>
      <c r="P33" s="8" t="n"/>
      <c r="Q33" s="8" t="n"/>
      <c r="R33" s="11">
        <f>IF(B33="","",IFERROR(K33,0)+IFERROR(P33,0)-IFERROR(Q33,0))</f>
        <v/>
      </c>
      <c r="S33" s="5" t="n"/>
      <c r="T33" s="5" t="n"/>
      <c r="U33" s="11">
        <f>IF(B33="","",TRIM(LOWER(C33)&amp;"|"&amp;LOWER(D33)))</f>
        <v/>
      </c>
    </row>
    <row r="34">
      <c r="A34" s="11">
        <f>IF(B34="","",TEXT(ROW()-3,"""DC-""0000"))</f>
        <v/>
      </c>
      <c r="B34" s="5" t="n"/>
      <c r="C34" s="5" t="n"/>
      <c r="D34" s="5" t="n"/>
      <c r="E34" s="5" t="n"/>
      <c r="F34" s="5" t="n"/>
      <c r="G34" s="5" t="n"/>
      <c r="H34" s="8" t="n"/>
      <c r="I34" s="8" t="n"/>
      <c r="J34" s="8" t="n"/>
      <c r="K34" s="11">
        <f>IF(B34="","",MAX(0,IFERROR(I34,0)*IFERROR(H34,0)-IFERROR(J34,0)))</f>
        <v/>
      </c>
      <c r="L34" s="8" t="n"/>
      <c r="M34" s="11">
        <f>IF(B34="","",MAX(0,K34-L34))</f>
        <v/>
      </c>
      <c r="N34" s="11">
        <f>IF(B34="","",IF(L34&gt;=K34,"Paid",IF(L34&gt;0,"Partial","Unpaid")))</f>
        <v/>
      </c>
      <c r="O34" s="5" t="n"/>
      <c r="P34" s="8" t="n"/>
      <c r="Q34" s="8" t="n"/>
      <c r="R34" s="11">
        <f>IF(B34="","",IFERROR(K34,0)+IFERROR(P34,0)-IFERROR(Q34,0))</f>
        <v/>
      </c>
      <c r="S34" s="5" t="n"/>
      <c r="T34" s="5" t="n"/>
      <c r="U34" s="11">
        <f>IF(B34="","",TRIM(LOWER(C34)&amp;"|"&amp;LOWER(D34)))</f>
        <v/>
      </c>
    </row>
    <row r="35">
      <c r="A35" s="11">
        <f>IF(B35="","",TEXT(ROW()-3,"""DC-""0000"))</f>
        <v/>
      </c>
      <c r="B35" s="5" t="n"/>
      <c r="C35" s="5" t="n"/>
      <c r="D35" s="5" t="n"/>
      <c r="E35" s="5" t="n"/>
      <c r="F35" s="5" t="n"/>
      <c r="G35" s="5" t="n"/>
      <c r="H35" s="8" t="n"/>
      <c r="I35" s="8" t="n"/>
      <c r="J35" s="8" t="n"/>
      <c r="K35" s="11">
        <f>IF(B35="","",MAX(0,IFERROR(I35,0)*IFERROR(H35,0)-IFERROR(J35,0)))</f>
        <v/>
      </c>
      <c r="L35" s="8" t="n"/>
      <c r="M35" s="11">
        <f>IF(B35="","",MAX(0,K35-L35))</f>
        <v/>
      </c>
      <c r="N35" s="11">
        <f>IF(B35="","",IF(L35&gt;=K35,"Paid",IF(L35&gt;0,"Partial","Unpaid")))</f>
        <v/>
      </c>
      <c r="O35" s="5" t="n"/>
      <c r="P35" s="8" t="n"/>
      <c r="Q35" s="8" t="n"/>
      <c r="R35" s="11">
        <f>IF(B35="","",IFERROR(K35,0)+IFERROR(P35,0)-IFERROR(Q35,0))</f>
        <v/>
      </c>
      <c r="S35" s="5" t="n"/>
      <c r="T35" s="5" t="n"/>
      <c r="U35" s="11">
        <f>IF(B35="","",TRIM(LOWER(C35)&amp;"|"&amp;LOWER(D35)))</f>
        <v/>
      </c>
    </row>
    <row r="36">
      <c r="A36" s="11">
        <f>IF(B36="","",TEXT(ROW()-3,"""DC-""0000"))</f>
        <v/>
      </c>
      <c r="B36" s="5" t="n"/>
      <c r="C36" s="5" t="n"/>
      <c r="D36" s="5" t="n"/>
      <c r="E36" s="5" t="n"/>
      <c r="F36" s="5" t="n"/>
      <c r="G36" s="5" t="n"/>
      <c r="H36" s="8" t="n"/>
      <c r="I36" s="8" t="n"/>
      <c r="J36" s="8" t="n"/>
      <c r="K36" s="11">
        <f>IF(B36="","",MAX(0,IFERROR(I36,0)*IFERROR(H36,0)-IFERROR(J36,0)))</f>
        <v/>
      </c>
      <c r="L36" s="8" t="n"/>
      <c r="M36" s="11">
        <f>IF(B36="","",MAX(0,K36-L36))</f>
        <v/>
      </c>
      <c r="N36" s="11">
        <f>IF(B36="","",IF(L36&gt;=K36,"Paid",IF(L36&gt;0,"Partial","Unpaid")))</f>
        <v/>
      </c>
      <c r="O36" s="5" t="n"/>
      <c r="P36" s="8" t="n"/>
      <c r="Q36" s="8" t="n"/>
      <c r="R36" s="11">
        <f>IF(B36="","",IFERROR(K36,0)+IFERROR(P36,0)-IFERROR(Q36,0))</f>
        <v/>
      </c>
      <c r="S36" s="5" t="n"/>
      <c r="T36" s="5" t="n"/>
      <c r="U36" s="11">
        <f>IF(B36="","",TRIM(LOWER(C36)&amp;"|"&amp;LOWER(D36)))</f>
        <v/>
      </c>
    </row>
    <row r="37">
      <c r="A37" s="11">
        <f>IF(B37="","",TEXT(ROW()-3,"""DC-""0000"))</f>
        <v/>
      </c>
      <c r="B37" s="5" t="n"/>
      <c r="C37" s="5" t="n"/>
      <c r="D37" s="5" t="n"/>
      <c r="E37" s="5" t="n"/>
      <c r="F37" s="5" t="n"/>
      <c r="G37" s="5" t="n"/>
      <c r="H37" s="8" t="n"/>
      <c r="I37" s="8" t="n"/>
      <c r="J37" s="8" t="n"/>
      <c r="K37" s="11">
        <f>IF(B37="","",MAX(0,IFERROR(I37,0)*IFERROR(H37,0)-IFERROR(J37,0)))</f>
        <v/>
      </c>
      <c r="L37" s="8" t="n"/>
      <c r="M37" s="11">
        <f>IF(B37="","",MAX(0,K37-L37))</f>
        <v/>
      </c>
      <c r="N37" s="11">
        <f>IF(B37="","",IF(L37&gt;=K37,"Paid",IF(L37&gt;0,"Partial","Unpaid")))</f>
        <v/>
      </c>
      <c r="O37" s="5" t="n"/>
      <c r="P37" s="8" t="n"/>
      <c r="Q37" s="8" t="n"/>
      <c r="R37" s="11">
        <f>IF(B37="","",IFERROR(K37,0)+IFERROR(P37,0)-IFERROR(Q37,0))</f>
        <v/>
      </c>
      <c r="S37" s="5" t="n"/>
      <c r="T37" s="5" t="n"/>
      <c r="U37" s="11">
        <f>IF(B37="","",TRIM(LOWER(C37)&amp;"|"&amp;LOWER(D37)))</f>
        <v/>
      </c>
    </row>
    <row r="38">
      <c r="A38" s="11">
        <f>IF(B38="","",TEXT(ROW()-3,"""DC-""0000"))</f>
        <v/>
      </c>
      <c r="B38" s="5" t="n"/>
      <c r="C38" s="5" t="n"/>
      <c r="D38" s="5" t="n"/>
      <c r="E38" s="5" t="n"/>
      <c r="F38" s="5" t="n"/>
      <c r="G38" s="5" t="n"/>
      <c r="H38" s="8" t="n"/>
      <c r="I38" s="8" t="n"/>
      <c r="J38" s="8" t="n"/>
      <c r="K38" s="11">
        <f>IF(B38="","",MAX(0,IFERROR(I38,0)*IFERROR(H38,0)-IFERROR(J38,0)))</f>
        <v/>
      </c>
      <c r="L38" s="8" t="n"/>
      <c r="M38" s="11">
        <f>IF(B38="","",MAX(0,K38-L38))</f>
        <v/>
      </c>
      <c r="N38" s="11">
        <f>IF(B38="","",IF(L38&gt;=K38,"Paid",IF(L38&gt;0,"Partial","Unpaid")))</f>
        <v/>
      </c>
      <c r="O38" s="5" t="n"/>
      <c r="P38" s="8" t="n"/>
      <c r="Q38" s="8" t="n"/>
      <c r="R38" s="11">
        <f>IF(B38="","",IFERROR(K38,0)+IFERROR(P38,0)-IFERROR(Q38,0))</f>
        <v/>
      </c>
      <c r="S38" s="5" t="n"/>
      <c r="T38" s="5" t="n"/>
      <c r="U38" s="11">
        <f>IF(B38="","",TRIM(LOWER(C38)&amp;"|"&amp;LOWER(D38)))</f>
        <v/>
      </c>
    </row>
    <row r="39">
      <c r="A39" s="11">
        <f>IF(B39="","",TEXT(ROW()-3,"""DC-""0000"))</f>
        <v/>
      </c>
      <c r="B39" s="5" t="n"/>
      <c r="C39" s="5" t="n"/>
      <c r="D39" s="5" t="n"/>
      <c r="E39" s="5" t="n"/>
      <c r="F39" s="5" t="n"/>
      <c r="G39" s="5" t="n"/>
      <c r="H39" s="8" t="n"/>
      <c r="I39" s="8" t="n"/>
      <c r="J39" s="8" t="n"/>
      <c r="K39" s="11">
        <f>IF(B39="","",MAX(0,IFERROR(I39,0)*IFERROR(H39,0)-IFERROR(J39,0)))</f>
        <v/>
      </c>
      <c r="L39" s="8" t="n"/>
      <c r="M39" s="11">
        <f>IF(B39="","",MAX(0,K39-L39))</f>
        <v/>
      </c>
      <c r="N39" s="11">
        <f>IF(B39="","",IF(L39&gt;=K39,"Paid",IF(L39&gt;0,"Partial","Unpaid")))</f>
        <v/>
      </c>
      <c r="O39" s="5" t="n"/>
      <c r="P39" s="8" t="n"/>
      <c r="Q39" s="8" t="n"/>
      <c r="R39" s="11">
        <f>IF(B39="","",IFERROR(K39,0)+IFERROR(P39,0)-IFERROR(Q39,0))</f>
        <v/>
      </c>
      <c r="S39" s="5" t="n"/>
      <c r="T39" s="5" t="n"/>
      <c r="U39" s="11">
        <f>IF(B39="","",TRIM(LOWER(C39)&amp;"|"&amp;LOWER(D39)))</f>
        <v/>
      </c>
    </row>
    <row r="40">
      <c r="A40" s="11">
        <f>IF(B40="","",TEXT(ROW()-3,"""DC-""0000"))</f>
        <v/>
      </c>
      <c r="B40" s="5" t="n"/>
      <c r="C40" s="5" t="n"/>
      <c r="D40" s="5" t="n"/>
      <c r="E40" s="5" t="n"/>
      <c r="F40" s="5" t="n"/>
      <c r="G40" s="5" t="n"/>
      <c r="H40" s="8" t="n"/>
      <c r="I40" s="8" t="n"/>
      <c r="J40" s="8" t="n"/>
      <c r="K40" s="11">
        <f>IF(B40="","",MAX(0,IFERROR(I40,0)*IFERROR(H40,0)-IFERROR(J40,0)))</f>
        <v/>
      </c>
      <c r="L40" s="8" t="n"/>
      <c r="M40" s="11">
        <f>IF(B40="","",MAX(0,K40-L40))</f>
        <v/>
      </c>
      <c r="N40" s="11">
        <f>IF(B40="","",IF(L40&gt;=K40,"Paid",IF(L40&gt;0,"Partial","Unpaid")))</f>
        <v/>
      </c>
      <c r="O40" s="5" t="n"/>
      <c r="P40" s="8" t="n"/>
      <c r="Q40" s="8" t="n"/>
      <c r="R40" s="11">
        <f>IF(B40="","",IFERROR(K40,0)+IFERROR(P40,0)-IFERROR(Q40,0))</f>
        <v/>
      </c>
      <c r="S40" s="5" t="n"/>
      <c r="T40" s="5" t="n"/>
      <c r="U40" s="11">
        <f>IF(B40="","",TRIM(LOWER(C40)&amp;"|"&amp;LOWER(D40)))</f>
        <v/>
      </c>
    </row>
    <row r="41">
      <c r="A41" s="11">
        <f>IF(B41="","",TEXT(ROW()-3,"""DC-""0000"))</f>
        <v/>
      </c>
      <c r="B41" s="5" t="n"/>
      <c r="C41" s="5" t="n"/>
      <c r="D41" s="5" t="n"/>
      <c r="E41" s="5" t="n"/>
      <c r="F41" s="5" t="n"/>
      <c r="G41" s="5" t="n"/>
      <c r="H41" s="8" t="n"/>
      <c r="I41" s="8" t="n"/>
      <c r="J41" s="8" t="n"/>
      <c r="K41" s="11">
        <f>IF(B41="","",MAX(0,IFERROR(I41,0)*IFERROR(H41,0)-IFERROR(J41,0)))</f>
        <v/>
      </c>
      <c r="L41" s="8" t="n"/>
      <c r="M41" s="11">
        <f>IF(B41="","",MAX(0,K41-L41))</f>
        <v/>
      </c>
      <c r="N41" s="11">
        <f>IF(B41="","",IF(L41&gt;=K41,"Paid",IF(L41&gt;0,"Partial","Unpaid")))</f>
        <v/>
      </c>
      <c r="O41" s="5" t="n"/>
      <c r="P41" s="8" t="n"/>
      <c r="Q41" s="8" t="n"/>
      <c r="R41" s="11">
        <f>IF(B41="","",IFERROR(K41,0)+IFERROR(P41,0)-IFERROR(Q41,0))</f>
        <v/>
      </c>
      <c r="S41" s="5" t="n"/>
      <c r="T41" s="5" t="n"/>
      <c r="U41" s="11">
        <f>IF(B41="","",TRIM(LOWER(C41)&amp;"|"&amp;LOWER(D41)))</f>
        <v/>
      </c>
    </row>
    <row r="42">
      <c r="A42" s="11">
        <f>IF(B42="","",TEXT(ROW()-3,"""DC-""0000"))</f>
        <v/>
      </c>
      <c r="B42" s="5" t="n"/>
      <c r="C42" s="5" t="n"/>
      <c r="D42" s="5" t="n"/>
      <c r="E42" s="5" t="n"/>
      <c r="F42" s="5" t="n"/>
      <c r="G42" s="5" t="n"/>
      <c r="H42" s="8" t="n"/>
      <c r="I42" s="8" t="n"/>
      <c r="J42" s="8" t="n"/>
      <c r="K42" s="11">
        <f>IF(B42="","",MAX(0,IFERROR(I42,0)*IFERROR(H42,0)-IFERROR(J42,0)))</f>
        <v/>
      </c>
      <c r="L42" s="8" t="n"/>
      <c r="M42" s="11">
        <f>IF(B42="","",MAX(0,K42-L42))</f>
        <v/>
      </c>
      <c r="N42" s="11">
        <f>IF(B42="","",IF(L42&gt;=K42,"Paid",IF(L42&gt;0,"Partial","Unpaid")))</f>
        <v/>
      </c>
      <c r="O42" s="5" t="n"/>
      <c r="P42" s="8" t="n"/>
      <c r="Q42" s="8" t="n"/>
      <c r="R42" s="11">
        <f>IF(B42="","",IFERROR(K42,0)+IFERROR(P42,0)-IFERROR(Q42,0))</f>
        <v/>
      </c>
      <c r="S42" s="5" t="n"/>
      <c r="T42" s="5" t="n"/>
      <c r="U42" s="11">
        <f>IF(B42="","",TRIM(LOWER(C42)&amp;"|"&amp;LOWER(D42)))</f>
        <v/>
      </c>
    </row>
    <row r="43">
      <c r="A43" s="11">
        <f>IF(B43="","",TEXT(ROW()-3,"""DC-""0000"))</f>
        <v/>
      </c>
      <c r="B43" s="5" t="n"/>
      <c r="C43" s="5" t="n"/>
      <c r="D43" s="5" t="n"/>
      <c r="E43" s="5" t="n"/>
      <c r="F43" s="5" t="n"/>
      <c r="G43" s="5" t="n"/>
      <c r="H43" s="8" t="n"/>
      <c r="I43" s="8" t="n"/>
      <c r="J43" s="8" t="n"/>
      <c r="K43" s="11">
        <f>IF(B43="","",MAX(0,IFERROR(I43,0)*IFERROR(H43,0)-IFERROR(J43,0)))</f>
        <v/>
      </c>
      <c r="L43" s="8" t="n"/>
      <c r="M43" s="11">
        <f>IF(B43="","",MAX(0,K43-L43))</f>
        <v/>
      </c>
      <c r="N43" s="11">
        <f>IF(B43="","",IF(L43&gt;=K43,"Paid",IF(L43&gt;0,"Partial","Unpaid")))</f>
        <v/>
      </c>
      <c r="O43" s="5" t="n"/>
      <c r="P43" s="8" t="n"/>
      <c r="Q43" s="8" t="n"/>
      <c r="R43" s="11">
        <f>IF(B43="","",IFERROR(K43,0)+IFERROR(P43,0)-IFERROR(Q43,0))</f>
        <v/>
      </c>
      <c r="S43" s="5" t="n"/>
      <c r="T43" s="5" t="n"/>
      <c r="U43" s="11">
        <f>IF(B43="","",TRIM(LOWER(C43)&amp;"|"&amp;LOWER(D43)))</f>
        <v/>
      </c>
    </row>
    <row r="44">
      <c r="A44" s="11">
        <f>IF(B44="","",TEXT(ROW()-3,"""DC-""0000"))</f>
        <v/>
      </c>
      <c r="B44" s="5" t="n"/>
      <c r="C44" s="5" t="n"/>
      <c r="D44" s="5" t="n"/>
      <c r="E44" s="5" t="n"/>
      <c r="F44" s="5" t="n"/>
      <c r="G44" s="5" t="n"/>
      <c r="H44" s="8" t="n"/>
      <c r="I44" s="8" t="n"/>
      <c r="J44" s="8" t="n"/>
      <c r="K44" s="11">
        <f>IF(B44="","",MAX(0,IFERROR(I44,0)*IFERROR(H44,0)-IFERROR(J44,0)))</f>
        <v/>
      </c>
      <c r="L44" s="8" t="n"/>
      <c r="M44" s="11">
        <f>IF(B44="","",MAX(0,K44-L44))</f>
        <v/>
      </c>
      <c r="N44" s="11">
        <f>IF(B44="","",IF(L44&gt;=K44,"Paid",IF(L44&gt;0,"Partial","Unpaid")))</f>
        <v/>
      </c>
      <c r="O44" s="5" t="n"/>
      <c r="P44" s="8" t="n"/>
      <c r="Q44" s="8" t="n"/>
      <c r="R44" s="11">
        <f>IF(B44="","",IFERROR(K44,0)+IFERROR(P44,0)-IFERROR(Q44,0))</f>
        <v/>
      </c>
      <c r="S44" s="5" t="n"/>
      <c r="T44" s="5" t="n"/>
      <c r="U44" s="11">
        <f>IF(B44="","",TRIM(LOWER(C44)&amp;"|"&amp;LOWER(D44)))</f>
        <v/>
      </c>
    </row>
    <row r="45">
      <c r="A45" s="11">
        <f>IF(B45="","",TEXT(ROW()-3,"""DC-""0000"))</f>
        <v/>
      </c>
      <c r="B45" s="5" t="n"/>
      <c r="C45" s="5" t="n"/>
      <c r="D45" s="5" t="n"/>
      <c r="E45" s="5" t="n"/>
      <c r="F45" s="5" t="n"/>
      <c r="G45" s="5" t="n"/>
      <c r="H45" s="8" t="n"/>
      <c r="I45" s="8" t="n"/>
      <c r="J45" s="8" t="n"/>
      <c r="K45" s="11">
        <f>IF(B45="","",MAX(0,IFERROR(I45,0)*IFERROR(H45,0)-IFERROR(J45,0)))</f>
        <v/>
      </c>
      <c r="L45" s="8" t="n"/>
      <c r="M45" s="11">
        <f>IF(B45="","",MAX(0,K45-L45))</f>
        <v/>
      </c>
      <c r="N45" s="11">
        <f>IF(B45="","",IF(L45&gt;=K45,"Paid",IF(L45&gt;0,"Partial","Unpaid")))</f>
        <v/>
      </c>
      <c r="O45" s="5" t="n"/>
      <c r="P45" s="8" t="n"/>
      <c r="Q45" s="8" t="n"/>
      <c r="R45" s="11">
        <f>IF(B45="","",IFERROR(K45,0)+IFERROR(P45,0)-IFERROR(Q45,0))</f>
        <v/>
      </c>
      <c r="S45" s="5" t="n"/>
      <c r="T45" s="5" t="n"/>
      <c r="U45" s="11">
        <f>IF(B45="","",TRIM(LOWER(C45)&amp;"|"&amp;LOWER(D45)))</f>
        <v/>
      </c>
    </row>
    <row r="46">
      <c r="A46" s="11">
        <f>IF(B46="","",TEXT(ROW()-3,"""DC-""0000"))</f>
        <v/>
      </c>
      <c r="B46" s="5" t="n"/>
      <c r="C46" s="5" t="n"/>
      <c r="D46" s="5" t="n"/>
      <c r="E46" s="5" t="n"/>
      <c r="F46" s="5" t="n"/>
      <c r="G46" s="5" t="n"/>
      <c r="H46" s="8" t="n"/>
      <c r="I46" s="8" t="n"/>
      <c r="J46" s="8" t="n"/>
      <c r="K46" s="11">
        <f>IF(B46="","",MAX(0,IFERROR(I46,0)*IFERROR(H46,0)-IFERROR(J46,0)))</f>
        <v/>
      </c>
      <c r="L46" s="8" t="n"/>
      <c r="M46" s="11">
        <f>IF(B46="","",MAX(0,K46-L46))</f>
        <v/>
      </c>
      <c r="N46" s="11">
        <f>IF(B46="","",IF(L46&gt;=K46,"Paid",IF(L46&gt;0,"Partial","Unpaid")))</f>
        <v/>
      </c>
      <c r="O46" s="5" t="n"/>
      <c r="P46" s="8" t="n"/>
      <c r="Q46" s="8" t="n"/>
      <c r="R46" s="11">
        <f>IF(B46="","",IFERROR(K46,0)+IFERROR(P46,0)-IFERROR(Q46,0))</f>
        <v/>
      </c>
      <c r="S46" s="5" t="n"/>
      <c r="T46" s="5" t="n"/>
      <c r="U46" s="11">
        <f>IF(B46="","",TRIM(LOWER(C46)&amp;"|"&amp;LOWER(D46)))</f>
        <v/>
      </c>
    </row>
    <row r="47">
      <c r="A47" s="11">
        <f>IF(B47="","",TEXT(ROW()-3,"""DC-""0000"))</f>
        <v/>
      </c>
      <c r="B47" s="5" t="n"/>
      <c r="C47" s="5" t="n"/>
      <c r="D47" s="5" t="n"/>
      <c r="E47" s="5" t="n"/>
      <c r="F47" s="5" t="n"/>
      <c r="G47" s="5" t="n"/>
      <c r="H47" s="8" t="n"/>
      <c r="I47" s="8" t="n"/>
      <c r="J47" s="8" t="n"/>
      <c r="K47" s="11">
        <f>IF(B47="","",MAX(0,IFERROR(I47,0)*IFERROR(H47,0)-IFERROR(J47,0)))</f>
        <v/>
      </c>
      <c r="L47" s="8" t="n"/>
      <c r="M47" s="11">
        <f>IF(B47="","",MAX(0,K47-L47))</f>
        <v/>
      </c>
      <c r="N47" s="11">
        <f>IF(B47="","",IF(L47&gt;=K47,"Paid",IF(L47&gt;0,"Partial","Unpaid")))</f>
        <v/>
      </c>
      <c r="O47" s="5" t="n"/>
      <c r="P47" s="8" t="n"/>
      <c r="Q47" s="8" t="n"/>
      <c r="R47" s="11">
        <f>IF(B47="","",IFERROR(K47,0)+IFERROR(P47,0)-IFERROR(Q47,0))</f>
        <v/>
      </c>
      <c r="S47" s="5" t="n"/>
      <c r="T47" s="5" t="n"/>
      <c r="U47" s="11">
        <f>IF(B47="","",TRIM(LOWER(C47)&amp;"|"&amp;LOWER(D47)))</f>
        <v/>
      </c>
    </row>
    <row r="48">
      <c r="A48" s="11">
        <f>IF(B48="","",TEXT(ROW()-3,"""DC-""0000"))</f>
        <v/>
      </c>
      <c r="B48" s="5" t="n"/>
      <c r="C48" s="5" t="n"/>
      <c r="D48" s="5" t="n"/>
      <c r="E48" s="5" t="n"/>
      <c r="F48" s="5" t="n"/>
      <c r="G48" s="5" t="n"/>
      <c r="H48" s="8" t="n"/>
      <c r="I48" s="8" t="n"/>
      <c r="J48" s="8" t="n"/>
      <c r="K48" s="11">
        <f>IF(B48="","",MAX(0,IFERROR(I48,0)*IFERROR(H48,0)-IFERROR(J48,0)))</f>
        <v/>
      </c>
      <c r="L48" s="8" t="n"/>
      <c r="M48" s="11">
        <f>IF(B48="","",MAX(0,K48-L48))</f>
        <v/>
      </c>
      <c r="N48" s="11">
        <f>IF(B48="","",IF(L48&gt;=K48,"Paid",IF(L48&gt;0,"Partial","Unpaid")))</f>
        <v/>
      </c>
      <c r="O48" s="5" t="n"/>
      <c r="P48" s="8" t="n"/>
      <c r="Q48" s="8" t="n"/>
      <c r="R48" s="11">
        <f>IF(B48="","",IFERROR(K48,0)+IFERROR(P48,0)-IFERROR(Q48,0))</f>
        <v/>
      </c>
      <c r="S48" s="5" t="n"/>
      <c r="T48" s="5" t="n"/>
      <c r="U48" s="11">
        <f>IF(B48="","",TRIM(LOWER(C48)&amp;"|"&amp;LOWER(D48)))</f>
        <v/>
      </c>
    </row>
    <row r="49">
      <c r="A49" s="11">
        <f>IF(B49="","",TEXT(ROW()-3,"""DC-""0000"))</f>
        <v/>
      </c>
      <c r="B49" s="5" t="n"/>
      <c r="C49" s="5" t="n"/>
      <c r="D49" s="5" t="n"/>
      <c r="E49" s="5" t="n"/>
      <c r="F49" s="5" t="n"/>
      <c r="G49" s="5" t="n"/>
      <c r="H49" s="8" t="n"/>
      <c r="I49" s="8" t="n"/>
      <c r="J49" s="8" t="n"/>
      <c r="K49" s="11">
        <f>IF(B49="","",MAX(0,IFERROR(I49,0)*IFERROR(H49,0)-IFERROR(J49,0)))</f>
        <v/>
      </c>
      <c r="L49" s="8" t="n"/>
      <c r="M49" s="11">
        <f>IF(B49="","",MAX(0,K49-L49))</f>
        <v/>
      </c>
      <c r="N49" s="11">
        <f>IF(B49="","",IF(L49&gt;=K49,"Paid",IF(L49&gt;0,"Partial","Unpaid")))</f>
        <v/>
      </c>
      <c r="O49" s="5" t="n"/>
      <c r="P49" s="8" t="n"/>
      <c r="Q49" s="8" t="n"/>
      <c r="R49" s="11">
        <f>IF(B49="","",IFERROR(K49,0)+IFERROR(P49,0)-IFERROR(Q49,0))</f>
        <v/>
      </c>
      <c r="S49" s="5" t="n"/>
      <c r="T49" s="5" t="n"/>
      <c r="U49" s="11">
        <f>IF(B49="","",TRIM(LOWER(C49)&amp;"|"&amp;LOWER(D49)))</f>
        <v/>
      </c>
    </row>
    <row r="50">
      <c r="A50" s="11">
        <f>IF(B50="","",TEXT(ROW()-3,"""DC-""0000"))</f>
        <v/>
      </c>
      <c r="B50" s="5" t="n"/>
      <c r="C50" s="5" t="n"/>
      <c r="D50" s="5" t="n"/>
      <c r="E50" s="5" t="n"/>
      <c r="F50" s="5" t="n"/>
      <c r="G50" s="5" t="n"/>
      <c r="H50" s="8" t="n"/>
      <c r="I50" s="8" t="n"/>
      <c r="J50" s="8" t="n"/>
      <c r="K50" s="11">
        <f>IF(B50="","",MAX(0,IFERROR(I50,0)*IFERROR(H50,0)-IFERROR(J50,0)))</f>
        <v/>
      </c>
      <c r="L50" s="8" t="n"/>
      <c r="M50" s="11">
        <f>IF(B50="","",MAX(0,K50-L50))</f>
        <v/>
      </c>
      <c r="N50" s="11">
        <f>IF(B50="","",IF(L50&gt;=K50,"Paid",IF(L50&gt;0,"Partial","Unpaid")))</f>
        <v/>
      </c>
      <c r="O50" s="5" t="n"/>
      <c r="P50" s="8" t="n"/>
      <c r="Q50" s="8" t="n"/>
      <c r="R50" s="11">
        <f>IF(B50="","",IFERROR(K50,0)+IFERROR(P50,0)-IFERROR(Q50,0))</f>
        <v/>
      </c>
      <c r="S50" s="5" t="n"/>
      <c r="T50" s="5" t="n"/>
      <c r="U50" s="11">
        <f>IF(B50="","",TRIM(LOWER(C50)&amp;"|"&amp;LOWER(D50)))</f>
        <v/>
      </c>
    </row>
    <row r="51">
      <c r="A51" s="11">
        <f>IF(B51="","",TEXT(ROW()-3,"""DC-""0000"))</f>
        <v/>
      </c>
      <c r="B51" s="5" t="n"/>
      <c r="C51" s="5" t="n"/>
      <c r="D51" s="5" t="n"/>
      <c r="E51" s="5" t="n"/>
      <c r="F51" s="5" t="n"/>
      <c r="G51" s="5" t="n"/>
      <c r="H51" s="8" t="n"/>
      <c r="I51" s="8" t="n"/>
      <c r="J51" s="8" t="n"/>
      <c r="K51" s="11">
        <f>IF(B51="","",MAX(0,IFERROR(I51,0)*IFERROR(H51,0)-IFERROR(J51,0)))</f>
        <v/>
      </c>
      <c r="L51" s="8" t="n"/>
      <c r="M51" s="11">
        <f>IF(B51="","",MAX(0,K51-L51))</f>
        <v/>
      </c>
      <c r="N51" s="11">
        <f>IF(B51="","",IF(L51&gt;=K51,"Paid",IF(L51&gt;0,"Partial","Unpaid")))</f>
        <v/>
      </c>
      <c r="O51" s="5" t="n"/>
      <c r="P51" s="8" t="n"/>
      <c r="Q51" s="8" t="n"/>
      <c r="R51" s="11">
        <f>IF(B51="","",IFERROR(K51,0)+IFERROR(P51,0)-IFERROR(Q51,0))</f>
        <v/>
      </c>
      <c r="S51" s="5" t="n"/>
      <c r="T51" s="5" t="n"/>
      <c r="U51" s="11">
        <f>IF(B51="","",TRIM(LOWER(C51)&amp;"|"&amp;LOWER(D51)))</f>
        <v/>
      </c>
    </row>
    <row r="52">
      <c r="A52" s="11">
        <f>IF(B52="","",TEXT(ROW()-3,"""DC-""0000"))</f>
        <v/>
      </c>
      <c r="B52" s="5" t="n"/>
      <c r="C52" s="5" t="n"/>
      <c r="D52" s="5" t="n"/>
      <c r="E52" s="5" t="n"/>
      <c r="F52" s="5" t="n"/>
      <c r="G52" s="5" t="n"/>
      <c r="H52" s="8" t="n"/>
      <c r="I52" s="8" t="n"/>
      <c r="J52" s="8" t="n"/>
      <c r="K52" s="11">
        <f>IF(B52="","",MAX(0,IFERROR(I52,0)*IFERROR(H52,0)-IFERROR(J52,0)))</f>
        <v/>
      </c>
      <c r="L52" s="8" t="n"/>
      <c r="M52" s="11">
        <f>IF(B52="","",MAX(0,K52-L52))</f>
        <v/>
      </c>
      <c r="N52" s="11">
        <f>IF(B52="","",IF(L52&gt;=K52,"Paid",IF(L52&gt;0,"Partial","Unpaid")))</f>
        <v/>
      </c>
      <c r="O52" s="5" t="n"/>
      <c r="P52" s="8" t="n"/>
      <c r="Q52" s="8" t="n"/>
      <c r="R52" s="11">
        <f>IF(B52="","",IFERROR(K52,0)+IFERROR(P52,0)-IFERROR(Q52,0))</f>
        <v/>
      </c>
      <c r="S52" s="5" t="n"/>
      <c r="T52" s="5" t="n"/>
      <c r="U52" s="11">
        <f>IF(B52="","",TRIM(LOWER(C52)&amp;"|"&amp;LOWER(D52)))</f>
        <v/>
      </c>
    </row>
    <row r="53">
      <c r="A53" s="11">
        <f>IF(B53="","",TEXT(ROW()-3,"""DC-""0000"))</f>
        <v/>
      </c>
      <c r="B53" s="5" t="n"/>
      <c r="C53" s="5" t="n"/>
      <c r="D53" s="5" t="n"/>
      <c r="E53" s="5" t="n"/>
      <c r="F53" s="5" t="n"/>
      <c r="G53" s="5" t="n"/>
      <c r="H53" s="8" t="n"/>
      <c r="I53" s="8" t="n"/>
      <c r="J53" s="8" t="n"/>
      <c r="K53" s="11">
        <f>IF(B53="","",MAX(0,IFERROR(I53,0)*IFERROR(H53,0)-IFERROR(J53,0)))</f>
        <v/>
      </c>
      <c r="L53" s="8" t="n"/>
      <c r="M53" s="11">
        <f>IF(B53="","",MAX(0,K53-L53))</f>
        <v/>
      </c>
      <c r="N53" s="11">
        <f>IF(B53="","",IF(L53&gt;=K53,"Paid",IF(L53&gt;0,"Partial","Unpaid")))</f>
        <v/>
      </c>
      <c r="O53" s="5" t="n"/>
      <c r="P53" s="8" t="n"/>
      <c r="Q53" s="8" t="n"/>
      <c r="R53" s="11">
        <f>IF(B53="","",IFERROR(K53,0)+IFERROR(P53,0)-IFERROR(Q53,0))</f>
        <v/>
      </c>
      <c r="S53" s="5" t="n"/>
      <c r="T53" s="5" t="n"/>
      <c r="U53" s="11">
        <f>IF(B53="","",TRIM(LOWER(C53)&amp;"|"&amp;LOWER(D53)))</f>
        <v/>
      </c>
    </row>
    <row r="54">
      <c r="A54" s="11">
        <f>IF(B54="","",TEXT(ROW()-3,"""DC-""0000"))</f>
        <v/>
      </c>
      <c r="B54" s="5" t="n"/>
      <c r="C54" s="5" t="n"/>
      <c r="D54" s="5" t="n"/>
      <c r="E54" s="5" t="n"/>
      <c r="F54" s="5" t="n"/>
      <c r="G54" s="5" t="n"/>
      <c r="H54" s="8" t="n"/>
      <c r="I54" s="8" t="n"/>
      <c r="J54" s="8" t="n"/>
      <c r="K54" s="11">
        <f>IF(B54="","",MAX(0,IFERROR(I54,0)*IFERROR(H54,0)-IFERROR(J54,0)))</f>
        <v/>
      </c>
      <c r="L54" s="8" t="n"/>
      <c r="M54" s="11">
        <f>IF(B54="","",MAX(0,K54-L54))</f>
        <v/>
      </c>
      <c r="N54" s="11">
        <f>IF(B54="","",IF(L54&gt;=K54,"Paid",IF(L54&gt;0,"Partial","Unpaid")))</f>
        <v/>
      </c>
      <c r="O54" s="5" t="n"/>
      <c r="P54" s="8" t="n"/>
      <c r="Q54" s="8" t="n"/>
      <c r="R54" s="11">
        <f>IF(B54="","",IFERROR(K54,0)+IFERROR(P54,0)-IFERROR(Q54,0))</f>
        <v/>
      </c>
      <c r="S54" s="5" t="n"/>
      <c r="T54" s="5" t="n"/>
      <c r="U54" s="11">
        <f>IF(B54="","",TRIM(LOWER(C54)&amp;"|"&amp;LOWER(D54)))</f>
        <v/>
      </c>
    </row>
    <row r="55">
      <c r="A55" s="11">
        <f>IF(B55="","",TEXT(ROW()-3,"""DC-""0000"))</f>
        <v/>
      </c>
      <c r="B55" s="5" t="n"/>
      <c r="C55" s="5" t="n"/>
      <c r="D55" s="5" t="n"/>
      <c r="E55" s="5" t="n"/>
      <c r="F55" s="5" t="n"/>
      <c r="G55" s="5" t="n"/>
      <c r="H55" s="8" t="n"/>
      <c r="I55" s="8" t="n"/>
      <c r="J55" s="8" t="n"/>
      <c r="K55" s="11">
        <f>IF(B55="","",MAX(0,IFERROR(I55,0)*IFERROR(H55,0)-IFERROR(J55,0)))</f>
        <v/>
      </c>
      <c r="L55" s="8" t="n"/>
      <c r="M55" s="11">
        <f>IF(B55="","",MAX(0,K55-L55))</f>
        <v/>
      </c>
      <c r="N55" s="11">
        <f>IF(B55="","",IF(L55&gt;=K55,"Paid",IF(L55&gt;0,"Partial","Unpaid")))</f>
        <v/>
      </c>
      <c r="O55" s="5" t="n"/>
      <c r="P55" s="8" t="n"/>
      <c r="Q55" s="8" t="n"/>
      <c r="R55" s="11">
        <f>IF(B55="","",IFERROR(K55,0)+IFERROR(P55,0)-IFERROR(Q55,0))</f>
        <v/>
      </c>
      <c r="S55" s="5" t="n"/>
      <c r="T55" s="5" t="n"/>
      <c r="U55" s="11">
        <f>IF(B55="","",TRIM(LOWER(C55)&amp;"|"&amp;LOWER(D55)))</f>
        <v/>
      </c>
    </row>
    <row r="56">
      <c r="A56" s="11">
        <f>IF(B56="","",TEXT(ROW()-3,"""DC-""0000"))</f>
        <v/>
      </c>
      <c r="B56" s="5" t="n"/>
      <c r="C56" s="5" t="n"/>
      <c r="D56" s="5" t="n"/>
      <c r="E56" s="5" t="n"/>
      <c r="F56" s="5" t="n"/>
      <c r="G56" s="5" t="n"/>
      <c r="H56" s="8" t="n"/>
      <c r="I56" s="8" t="n"/>
      <c r="J56" s="8" t="n"/>
      <c r="K56" s="11">
        <f>IF(B56="","",MAX(0,IFERROR(I56,0)*IFERROR(H56,0)-IFERROR(J56,0)))</f>
        <v/>
      </c>
      <c r="L56" s="8" t="n"/>
      <c r="M56" s="11">
        <f>IF(B56="","",MAX(0,K56-L56))</f>
        <v/>
      </c>
      <c r="N56" s="11">
        <f>IF(B56="","",IF(L56&gt;=K56,"Paid",IF(L56&gt;0,"Partial","Unpaid")))</f>
        <v/>
      </c>
      <c r="O56" s="5" t="n"/>
      <c r="P56" s="8" t="n"/>
      <c r="Q56" s="8" t="n"/>
      <c r="R56" s="11">
        <f>IF(B56="","",IFERROR(K56,0)+IFERROR(P56,0)-IFERROR(Q56,0))</f>
        <v/>
      </c>
      <c r="S56" s="5" t="n"/>
      <c r="T56" s="5" t="n"/>
      <c r="U56" s="11">
        <f>IF(B56="","",TRIM(LOWER(C56)&amp;"|"&amp;LOWER(D56)))</f>
        <v/>
      </c>
    </row>
    <row r="57">
      <c r="A57" s="11">
        <f>IF(B57="","",TEXT(ROW()-3,"""DC-""0000"))</f>
        <v/>
      </c>
      <c r="B57" s="5" t="n"/>
      <c r="C57" s="5" t="n"/>
      <c r="D57" s="5" t="n"/>
      <c r="E57" s="5" t="n"/>
      <c r="F57" s="5" t="n"/>
      <c r="G57" s="5" t="n"/>
      <c r="H57" s="8" t="n"/>
      <c r="I57" s="8" t="n"/>
      <c r="J57" s="8" t="n"/>
      <c r="K57" s="11">
        <f>IF(B57="","",MAX(0,IFERROR(I57,0)*IFERROR(H57,0)-IFERROR(J57,0)))</f>
        <v/>
      </c>
      <c r="L57" s="8" t="n"/>
      <c r="M57" s="11">
        <f>IF(B57="","",MAX(0,K57-L57))</f>
        <v/>
      </c>
      <c r="N57" s="11">
        <f>IF(B57="","",IF(L57&gt;=K57,"Paid",IF(L57&gt;0,"Partial","Unpaid")))</f>
        <v/>
      </c>
      <c r="O57" s="5" t="n"/>
      <c r="P57" s="8" t="n"/>
      <c r="Q57" s="8" t="n"/>
      <c r="R57" s="11">
        <f>IF(B57="","",IFERROR(K57,0)+IFERROR(P57,0)-IFERROR(Q57,0))</f>
        <v/>
      </c>
      <c r="S57" s="5" t="n"/>
      <c r="T57" s="5" t="n"/>
      <c r="U57" s="11">
        <f>IF(B57="","",TRIM(LOWER(C57)&amp;"|"&amp;LOWER(D57)))</f>
        <v/>
      </c>
    </row>
    <row r="58">
      <c r="A58" s="11">
        <f>IF(B58="","",TEXT(ROW()-3,"""DC-""0000"))</f>
        <v/>
      </c>
      <c r="B58" s="5" t="n"/>
      <c r="C58" s="5" t="n"/>
      <c r="D58" s="5" t="n"/>
      <c r="E58" s="5" t="n"/>
      <c r="F58" s="5" t="n"/>
      <c r="G58" s="5" t="n"/>
      <c r="H58" s="8" t="n"/>
      <c r="I58" s="8" t="n"/>
      <c r="J58" s="8" t="n"/>
      <c r="K58" s="11">
        <f>IF(B58="","",MAX(0,IFERROR(I58,0)*IFERROR(H58,0)-IFERROR(J58,0)))</f>
        <v/>
      </c>
      <c r="L58" s="8" t="n"/>
      <c r="M58" s="11">
        <f>IF(B58="","",MAX(0,K58-L58))</f>
        <v/>
      </c>
      <c r="N58" s="11">
        <f>IF(B58="","",IF(L58&gt;=K58,"Paid",IF(L58&gt;0,"Partial","Unpaid")))</f>
        <v/>
      </c>
      <c r="O58" s="5" t="n"/>
      <c r="P58" s="8" t="n"/>
      <c r="Q58" s="8" t="n"/>
      <c r="R58" s="11">
        <f>IF(B58="","",IFERROR(K58,0)+IFERROR(P58,0)-IFERROR(Q58,0))</f>
        <v/>
      </c>
      <c r="S58" s="5" t="n"/>
      <c r="T58" s="5" t="n"/>
      <c r="U58" s="11">
        <f>IF(B58="","",TRIM(LOWER(C58)&amp;"|"&amp;LOWER(D58)))</f>
        <v/>
      </c>
    </row>
    <row r="59">
      <c r="A59" s="11">
        <f>IF(B59="","",TEXT(ROW()-3,"""DC-""0000"))</f>
        <v/>
      </c>
      <c r="B59" s="5" t="n"/>
      <c r="C59" s="5" t="n"/>
      <c r="D59" s="5" t="n"/>
      <c r="E59" s="5" t="n"/>
      <c r="F59" s="5" t="n"/>
      <c r="G59" s="5" t="n"/>
      <c r="H59" s="8" t="n"/>
      <c r="I59" s="8" t="n"/>
      <c r="J59" s="8" t="n"/>
      <c r="K59" s="11">
        <f>IF(B59="","",MAX(0,IFERROR(I59,0)*IFERROR(H59,0)-IFERROR(J59,0)))</f>
        <v/>
      </c>
      <c r="L59" s="8" t="n"/>
      <c r="M59" s="11">
        <f>IF(B59="","",MAX(0,K59-L59))</f>
        <v/>
      </c>
      <c r="N59" s="11">
        <f>IF(B59="","",IF(L59&gt;=K59,"Paid",IF(L59&gt;0,"Partial","Unpaid")))</f>
        <v/>
      </c>
      <c r="O59" s="5" t="n"/>
      <c r="P59" s="8" t="n"/>
      <c r="Q59" s="8" t="n"/>
      <c r="R59" s="11">
        <f>IF(B59="","",IFERROR(K59,0)+IFERROR(P59,0)-IFERROR(Q59,0))</f>
        <v/>
      </c>
      <c r="S59" s="5" t="n"/>
      <c r="T59" s="5" t="n"/>
      <c r="U59" s="11">
        <f>IF(B59="","",TRIM(LOWER(C59)&amp;"|"&amp;LOWER(D59)))</f>
        <v/>
      </c>
    </row>
    <row r="60">
      <c r="A60" s="11">
        <f>IF(B60="","",TEXT(ROW()-3,"""DC-""0000"))</f>
        <v/>
      </c>
      <c r="B60" s="5" t="n"/>
      <c r="C60" s="5" t="n"/>
      <c r="D60" s="5" t="n"/>
      <c r="E60" s="5" t="n"/>
      <c r="F60" s="5" t="n"/>
      <c r="G60" s="5" t="n"/>
      <c r="H60" s="8" t="n"/>
      <c r="I60" s="8" t="n"/>
      <c r="J60" s="8" t="n"/>
      <c r="K60" s="11">
        <f>IF(B60="","",MAX(0,IFERROR(I60,0)*IFERROR(H60,0)-IFERROR(J60,0)))</f>
        <v/>
      </c>
      <c r="L60" s="8" t="n"/>
      <c r="M60" s="11">
        <f>IF(B60="","",MAX(0,K60-L60))</f>
        <v/>
      </c>
      <c r="N60" s="11">
        <f>IF(B60="","",IF(L60&gt;=K60,"Paid",IF(L60&gt;0,"Partial","Unpaid")))</f>
        <v/>
      </c>
      <c r="O60" s="5" t="n"/>
      <c r="P60" s="8" t="n"/>
      <c r="Q60" s="8" t="n"/>
      <c r="R60" s="11">
        <f>IF(B60="","",IFERROR(K60,0)+IFERROR(P60,0)-IFERROR(Q60,0))</f>
        <v/>
      </c>
      <c r="S60" s="5" t="n"/>
      <c r="T60" s="5" t="n"/>
      <c r="U60" s="11">
        <f>IF(B60="","",TRIM(LOWER(C60)&amp;"|"&amp;LOWER(D60)))</f>
        <v/>
      </c>
    </row>
    <row r="61">
      <c r="A61" s="11">
        <f>IF(B61="","",TEXT(ROW()-3,"""DC-""0000"))</f>
        <v/>
      </c>
      <c r="B61" s="5" t="n"/>
      <c r="C61" s="5" t="n"/>
      <c r="D61" s="5" t="n"/>
      <c r="E61" s="5" t="n"/>
      <c r="F61" s="5" t="n"/>
      <c r="G61" s="5" t="n"/>
      <c r="H61" s="8" t="n"/>
      <c r="I61" s="8" t="n"/>
      <c r="J61" s="8" t="n"/>
      <c r="K61" s="11">
        <f>IF(B61="","",MAX(0,IFERROR(I61,0)*IFERROR(H61,0)-IFERROR(J61,0)))</f>
        <v/>
      </c>
      <c r="L61" s="8" t="n"/>
      <c r="M61" s="11">
        <f>IF(B61="","",MAX(0,K61-L61))</f>
        <v/>
      </c>
      <c r="N61" s="11">
        <f>IF(B61="","",IF(L61&gt;=K61,"Paid",IF(L61&gt;0,"Partial","Unpaid")))</f>
        <v/>
      </c>
      <c r="O61" s="5" t="n"/>
      <c r="P61" s="8" t="n"/>
      <c r="Q61" s="8" t="n"/>
      <c r="R61" s="11">
        <f>IF(B61="","",IFERROR(K61,0)+IFERROR(P61,0)-IFERROR(Q61,0))</f>
        <v/>
      </c>
      <c r="S61" s="5" t="n"/>
      <c r="T61" s="5" t="n"/>
      <c r="U61" s="11">
        <f>IF(B61="","",TRIM(LOWER(C61)&amp;"|"&amp;LOWER(D61)))</f>
        <v/>
      </c>
    </row>
    <row r="62">
      <c r="A62" s="11">
        <f>IF(B62="","",TEXT(ROW()-3,"""DC-""0000"))</f>
        <v/>
      </c>
      <c r="B62" s="5" t="n"/>
      <c r="C62" s="5" t="n"/>
      <c r="D62" s="5" t="n"/>
      <c r="E62" s="5" t="n"/>
      <c r="F62" s="5" t="n"/>
      <c r="G62" s="5" t="n"/>
      <c r="H62" s="8" t="n"/>
      <c r="I62" s="8" t="n"/>
      <c r="J62" s="8" t="n"/>
      <c r="K62" s="11">
        <f>IF(B62="","",MAX(0,IFERROR(I62,0)*IFERROR(H62,0)-IFERROR(J62,0)))</f>
        <v/>
      </c>
      <c r="L62" s="8" t="n"/>
      <c r="M62" s="11">
        <f>IF(B62="","",MAX(0,K62-L62))</f>
        <v/>
      </c>
      <c r="N62" s="11">
        <f>IF(B62="","",IF(L62&gt;=K62,"Paid",IF(L62&gt;0,"Partial","Unpaid")))</f>
        <v/>
      </c>
      <c r="O62" s="5" t="n"/>
      <c r="P62" s="8" t="n"/>
      <c r="Q62" s="8" t="n"/>
      <c r="R62" s="11">
        <f>IF(B62="","",IFERROR(K62,0)+IFERROR(P62,0)-IFERROR(Q62,0))</f>
        <v/>
      </c>
      <c r="S62" s="5" t="n"/>
      <c r="T62" s="5" t="n"/>
      <c r="U62" s="11">
        <f>IF(B62="","",TRIM(LOWER(C62)&amp;"|"&amp;LOWER(D62)))</f>
        <v/>
      </c>
    </row>
    <row r="63">
      <c r="A63" s="11">
        <f>IF(B63="","",TEXT(ROW()-3,"""DC-""0000"))</f>
        <v/>
      </c>
      <c r="B63" s="5" t="n"/>
      <c r="C63" s="5" t="n"/>
      <c r="D63" s="5" t="n"/>
      <c r="E63" s="5" t="n"/>
      <c r="F63" s="5" t="n"/>
      <c r="G63" s="5" t="n"/>
      <c r="H63" s="8" t="n"/>
      <c r="I63" s="8" t="n"/>
      <c r="J63" s="8" t="n"/>
      <c r="K63" s="11">
        <f>IF(B63="","",MAX(0,IFERROR(I63,0)*IFERROR(H63,0)-IFERROR(J63,0)))</f>
        <v/>
      </c>
      <c r="L63" s="8" t="n"/>
      <c r="M63" s="11">
        <f>IF(B63="","",MAX(0,K63-L63))</f>
        <v/>
      </c>
      <c r="N63" s="11">
        <f>IF(B63="","",IF(L63&gt;=K63,"Paid",IF(L63&gt;0,"Partial","Unpaid")))</f>
        <v/>
      </c>
      <c r="O63" s="5" t="n"/>
      <c r="P63" s="8" t="n"/>
      <c r="Q63" s="8" t="n"/>
      <c r="R63" s="11">
        <f>IF(B63="","",IFERROR(K63,0)+IFERROR(P63,0)-IFERROR(Q63,0))</f>
        <v/>
      </c>
      <c r="S63" s="5" t="n"/>
      <c r="T63" s="5" t="n"/>
      <c r="U63" s="11">
        <f>IF(B63="","",TRIM(LOWER(C63)&amp;"|"&amp;LOWER(D63)))</f>
        <v/>
      </c>
    </row>
    <row r="64">
      <c r="A64" s="11">
        <f>IF(B64="","",TEXT(ROW()-3,"""DC-""0000"))</f>
        <v/>
      </c>
      <c r="B64" s="5" t="n"/>
      <c r="C64" s="5" t="n"/>
      <c r="D64" s="5" t="n"/>
      <c r="E64" s="5" t="n"/>
      <c r="F64" s="5" t="n"/>
      <c r="G64" s="5" t="n"/>
      <c r="H64" s="8" t="n"/>
      <c r="I64" s="8" t="n"/>
      <c r="J64" s="8" t="n"/>
      <c r="K64" s="11">
        <f>IF(B64="","",MAX(0,IFERROR(I64,0)*IFERROR(H64,0)-IFERROR(J64,0)))</f>
        <v/>
      </c>
      <c r="L64" s="8" t="n"/>
      <c r="M64" s="11">
        <f>IF(B64="","",MAX(0,K64-L64))</f>
        <v/>
      </c>
      <c r="N64" s="11">
        <f>IF(B64="","",IF(L64&gt;=K64,"Paid",IF(L64&gt;0,"Partial","Unpaid")))</f>
        <v/>
      </c>
      <c r="O64" s="5" t="n"/>
      <c r="P64" s="8" t="n"/>
      <c r="Q64" s="8" t="n"/>
      <c r="R64" s="11">
        <f>IF(B64="","",IFERROR(K64,0)+IFERROR(P64,0)-IFERROR(Q64,0))</f>
        <v/>
      </c>
      <c r="S64" s="5" t="n"/>
      <c r="T64" s="5" t="n"/>
      <c r="U64" s="11">
        <f>IF(B64="","",TRIM(LOWER(C64)&amp;"|"&amp;LOWER(D64)))</f>
        <v/>
      </c>
    </row>
    <row r="65">
      <c r="A65" s="11">
        <f>IF(B65="","",TEXT(ROW()-3,"""DC-""0000"))</f>
        <v/>
      </c>
      <c r="B65" s="5" t="n"/>
      <c r="C65" s="5" t="n"/>
      <c r="D65" s="5" t="n"/>
      <c r="E65" s="5" t="n"/>
      <c r="F65" s="5" t="n"/>
      <c r="G65" s="5" t="n"/>
      <c r="H65" s="8" t="n"/>
      <c r="I65" s="8" t="n"/>
      <c r="J65" s="8" t="n"/>
      <c r="K65" s="11">
        <f>IF(B65="","",MAX(0,IFERROR(I65,0)*IFERROR(H65,0)-IFERROR(J65,0)))</f>
        <v/>
      </c>
      <c r="L65" s="8" t="n"/>
      <c r="M65" s="11">
        <f>IF(B65="","",MAX(0,K65-L65))</f>
        <v/>
      </c>
      <c r="N65" s="11">
        <f>IF(B65="","",IF(L65&gt;=K65,"Paid",IF(L65&gt;0,"Partial","Unpaid")))</f>
        <v/>
      </c>
      <c r="O65" s="5" t="n"/>
      <c r="P65" s="8" t="n"/>
      <c r="Q65" s="8" t="n"/>
      <c r="R65" s="11">
        <f>IF(B65="","",IFERROR(K65,0)+IFERROR(P65,0)-IFERROR(Q65,0))</f>
        <v/>
      </c>
      <c r="S65" s="5" t="n"/>
      <c r="T65" s="5" t="n"/>
      <c r="U65" s="11">
        <f>IF(B65="","",TRIM(LOWER(C65)&amp;"|"&amp;LOWER(D65)))</f>
        <v/>
      </c>
    </row>
    <row r="66">
      <c r="A66" s="11">
        <f>IF(B66="","",TEXT(ROW()-3,"""DC-""0000"))</f>
        <v/>
      </c>
      <c r="B66" s="5" t="n"/>
      <c r="C66" s="5" t="n"/>
      <c r="D66" s="5" t="n"/>
      <c r="E66" s="5" t="n"/>
      <c r="F66" s="5" t="n"/>
      <c r="G66" s="5" t="n"/>
      <c r="H66" s="8" t="n"/>
      <c r="I66" s="8" t="n"/>
      <c r="J66" s="8" t="n"/>
      <c r="K66" s="11">
        <f>IF(B66="","",MAX(0,IFERROR(I66,0)*IFERROR(H66,0)-IFERROR(J66,0)))</f>
        <v/>
      </c>
      <c r="L66" s="8" t="n"/>
      <c r="M66" s="11">
        <f>IF(B66="","",MAX(0,K66-L66))</f>
        <v/>
      </c>
      <c r="N66" s="11">
        <f>IF(B66="","",IF(L66&gt;=K66,"Paid",IF(L66&gt;0,"Partial","Unpaid")))</f>
        <v/>
      </c>
      <c r="O66" s="5" t="n"/>
      <c r="P66" s="8" t="n"/>
      <c r="Q66" s="8" t="n"/>
      <c r="R66" s="11">
        <f>IF(B66="","",IFERROR(K66,0)+IFERROR(P66,0)-IFERROR(Q66,0))</f>
        <v/>
      </c>
      <c r="S66" s="5" t="n"/>
      <c r="T66" s="5" t="n"/>
      <c r="U66" s="11">
        <f>IF(B66="","",TRIM(LOWER(C66)&amp;"|"&amp;LOWER(D66)))</f>
        <v/>
      </c>
    </row>
    <row r="67">
      <c r="A67" s="11">
        <f>IF(B67="","",TEXT(ROW()-3,"""DC-""0000"))</f>
        <v/>
      </c>
      <c r="B67" s="5" t="n"/>
      <c r="C67" s="5" t="n"/>
      <c r="D67" s="5" t="n"/>
      <c r="E67" s="5" t="n"/>
      <c r="F67" s="5" t="n"/>
      <c r="G67" s="5" t="n"/>
      <c r="H67" s="8" t="n"/>
      <c r="I67" s="8" t="n"/>
      <c r="J67" s="8" t="n"/>
      <c r="K67" s="11">
        <f>IF(B67="","",MAX(0,IFERROR(I67,0)*IFERROR(H67,0)-IFERROR(J67,0)))</f>
        <v/>
      </c>
      <c r="L67" s="8" t="n"/>
      <c r="M67" s="11">
        <f>IF(B67="","",MAX(0,K67-L67))</f>
        <v/>
      </c>
      <c r="N67" s="11">
        <f>IF(B67="","",IF(L67&gt;=K67,"Paid",IF(L67&gt;0,"Partial","Unpaid")))</f>
        <v/>
      </c>
      <c r="O67" s="5" t="n"/>
      <c r="P67" s="8" t="n"/>
      <c r="Q67" s="8" t="n"/>
      <c r="R67" s="11">
        <f>IF(B67="","",IFERROR(K67,0)+IFERROR(P67,0)-IFERROR(Q67,0))</f>
        <v/>
      </c>
      <c r="S67" s="5" t="n"/>
      <c r="T67" s="5" t="n"/>
      <c r="U67" s="11">
        <f>IF(B67="","",TRIM(LOWER(C67)&amp;"|"&amp;LOWER(D67)))</f>
        <v/>
      </c>
    </row>
    <row r="68">
      <c r="A68" s="11">
        <f>IF(B68="","",TEXT(ROW()-3,"""DC-""0000"))</f>
        <v/>
      </c>
      <c r="B68" s="5" t="n"/>
      <c r="C68" s="5" t="n"/>
      <c r="D68" s="5" t="n"/>
      <c r="E68" s="5" t="n"/>
      <c r="F68" s="5" t="n"/>
      <c r="G68" s="5" t="n"/>
      <c r="H68" s="8" t="n"/>
      <c r="I68" s="8" t="n"/>
      <c r="J68" s="8" t="n"/>
      <c r="K68" s="11">
        <f>IF(B68="","",MAX(0,IFERROR(I68,0)*IFERROR(H68,0)-IFERROR(J68,0)))</f>
        <v/>
      </c>
      <c r="L68" s="8" t="n"/>
      <c r="M68" s="11">
        <f>IF(B68="","",MAX(0,K68-L68))</f>
        <v/>
      </c>
      <c r="N68" s="11">
        <f>IF(B68="","",IF(L68&gt;=K68,"Paid",IF(L68&gt;0,"Partial","Unpaid")))</f>
        <v/>
      </c>
      <c r="O68" s="5" t="n"/>
      <c r="P68" s="8" t="n"/>
      <c r="Q68" s="8" t="n"/>
      <c r="R68" s="11">
        <f>IF(B68="","",IFERROR(K68,0)+IFERROR(P68,0)-IFERROR(Q68,0))</f>
        <v/>
      </c>
      <c r="S68" s="5" t="n"/>
      <c r="T68" s="5" t="n"/>
      <c r="U68" s="11">
        <f>IF(B68="","",TRIM(LOWER(C68)&amp;"|"&amp;LOWER(D68)))</f>
        <v/>
      </c>
    </row>
    <row r="69">
      <c r="A69" s="11">
        <f>IF(B69="","",TEXT(ROW()-3,"""DC-""0000"))</f>
        <v/>
      </c>
      <c r="B69" s="5" t="n"/>
      <c r="C69" s="5" t="n"/>
      <c r="D69" s="5" t="n"/>
      <c r="E69" s="5" t="n"/>
      <c r="F69" s="5" t="n"/>
      <c r="G69" s="5" t="n"/>
      <c r="H69" s="8" t="n"/>
      <c r="I69" s="8" t="n"/>
      <c r="J69" s="8" t="n"/>
      <c r="K69" s="11">
        <f>IF(B69="","",MAX(0,IFERROR(I69,0)*IFERROR(H69,0)-IFERROR(J69,0)))</f>
        <v/>
      </c>
      <c r="L69" s="8" t="n"/>
      <c r="M69" s="11">
        <f>IF(B69="","",MAX(0,K69-L69))</f>
        <v/>
      </c>
      <c r="N69" s="11">
        <f>IF(B69="","",IF(L69&gt;=K69,"Paid",IF(L69&gt;0,"Partial","Unpaid")))</f>
        <v/>
      </c>
      <c r="O69" s="5" t="n"/>
      <c r="P69" s="8" t="n"/>
      <c r="Q69" s="8" t="n"/>
      <c r="R69" s="11">
        <f>IF(B69="","",IFERROR(K69,0)+IFERROR(P69,0)-IFERROR(Q69,0))</f>
        <v/>
      </c>
      <c r="S69" s="5" t="n"/>
      <c r="T69" s="5" t="n"/>
      <c r="U69" s="11">
        <f>IF(B69="","",TRIM(LOWER(C69)&amp;"|"&amp;LOWER(D69)))</f>
        <v/>
      </c>
    </row>
    <row r="70">
      <c r="A70" s="11">
        <f>IF(B70="","",TEXT(ROW()-3,"""DC-""0000"))</f>
        <v/>
      </c>
      <c r="B70" s="5" t="n"/>
      <c r="C70" s="5" t="n"/>
      <c r="D70" s="5" t="n"/>
      <c r="E70" s="5" t="n"/>
      <c r="F70" s="5" t="n"/>
      <c r="G70" s="5" t="n"/>
      <c r="H70" s="8" t="n"/>
      <c r="I70" s="8" t="n"/>
      <c r="J70" s="8" t="n"/>
      <c r="K70" s="11">
        <f>IF(B70="","",MAX(0,IFERROR(I70,0)*IFERROR(H70,0)-IFERROR(J70,0)))</f>
        <v/>
      </c>
      <c r="L70" s="8" t="n"/>
      <c r="M70" s="11">
        <f>IF(B70="","",MAX(0,K70-L70))</f>
        <v/>
      </c>
      <c r="N70" s="11">
        <f>IF(B70="","",IF(L70&gt;=K70,"Paid",IF(L70&gt;0,"Partial","Unpaid")))</f>
        <v/>
      </c>
      <c r="O70" s="5" t="n"/>
      <c r="P70" s="8" t="n"/>
      <c r="Q70" s="8" t="n"/>
      <c r="R70" s="11">
        <f>IF(B70="","",IFERROR(K70,0)+IFERROR(P70,0)-IFERROR(Q70,0))</f>
        <v/>
      </c>
      <c r="S70" s="5" t="n"/>
      <c r="T70" s="5" t="n"/>
      <c r="U70" s="11">
        <f>IF(B70="","",TRIM(LOWER(C70)&amp;"|"&amp;LOWER(D70)))</f>
        <v/>
      </c>
    </row>
    <row r="71">
      <c r="A71" s="11">
        <f>IF(B71="","",TEXT(ROW()-3,"""DC-""0000"))</f>
        <v/>
      </c>
      <c r="B71" s="5" t="n"/>
      <c r="C71" s="5" t="n"/>
      <c r="D71" s="5" t="n"/>
      <c r="E71" s="5" t="n"/>
      <c r="F71" s="5" t="n"/>
      <c r="G71" s="5" t="n"/>
      <c r="H71" s="8" t="n"/>
      <c r="I71" s="8" t="n"/>
      <c r="J71" s="8" t="n"/>
      <c r="K71" s="11">
        <f>IF(B71="","",MAX(0,IFERROR(I71,0)*IFERROR(H71,0)-IFERROR(J71,0)))</f>
        <v/>
      </c>
      <c r="L71" s="8" t="n"/>
      <c r="M71" s="11">
        <f>IF(B71="","",MAX(0,K71-L71))</f>
        <v/>
      </c>
      <c r="N71" s="11">
        <f>IF(B71="","",IF(L71&gt;=K71,"Paid",IF(L71&gt;0,"Partial","Unpaid")))</f>
        <v/>
      </c>
      <c r="O71" s="5" t="n"/>
      <c r="P71" s="8" t="n"/>
      <c r="Q71" s="8" t="n"/>
      <c r="R71" s="11">
        <f>IF(B71="","",IFERROR(K71,0)+IFERROR(P71,0)-IFERROR(Q71,0))</f>
        <v/>
      </c>
      <c r="S71" s="5" t="n"/>
      <c r="T71" s="5" t="n"/>
      <c r="U71" s="11">
        <f>IF(B71="","",TRIM(LOWER(C71)&amp;"|"&amp;LOWER(D71)))</f>
        <v/>
      </c>
    </row>
    <row r="72">
      <c r="A72" s="11">
        <f>IF(B72="","",TEXT(ROW()-3,"""DC-""0000"))</f>
        <v/>
      </c>
      <c r="B72" s="5" t="n"/>
      <c r="C72" s="5" t="n"/>
      <c r="D72" s="5" t="n"/>
      <c r="E72" s="5" t="n"/>
      <c r="F72" s="5" t="n"/>
      <c r="G72" s="5" t="n"/>
      <c r="H72" s="8" t="n"/>
      <c r="I72" s="8" t="n"/>
      <c r="J72" s="8" t="n"/>
      <c r="K72" s="11">
        <f>IF(B72="","",MAX(0,IFERROR(I72,0)*IFERROR(H72,0)-IFERROR(J72,0)))</f>
        <v/>
      </c>
      <c r="L72" s="8" t="n"/>
      <c r="M72" s="11">
        <f>IF(B72="","",MAX(0,K72-L72))</f>
        <v/>
      </c>
      <c r="N72" s="11">
        <f>IF(B72="","",IF(L72&gt;=K72,"Paid",IF(L72&gt;0,"Partial","Unpaid")))</f>
        <v/>
      </c>
      <c r="O72" s="5" t="n"/>
      <c r="P72" s="8" t="n"/>
      <c r="Q72" s="8" t="n"/>
      <c r="R72" s="11">
        <f>IF(B72="","",IFERROR(K72,0)+IFERROR(P72,0)-IFERROR(Q72,0))</f>
        <v/>
      </c>
      <c r="S72" s="5" t="n"/>
      <c r="T72" s="5" t="n"/>
      <c r="U72" s="11">
        <f>IF(B72="","",TRIM(LOWER(C72)&amp;"|"&amp;LOWER(D72)))</f>
        <v/>
      </c>
    </row>
    <row r="73">
      <c r="A73" s="11">
        <f>IF(B73="","",TEXT(ROW()-3,"""DC-""0000"))</f>
        <v/>
      </c>
      <c r="B73" s="5" t="n"/>
      <c r="C73" s="5" t="n"/>
      <c r="D73" s="5" t="n"/>
      <c r="E73" s="5" t="n"/>
      <c r="F73" s="5" t="n"/>
      <c r="G73" s="5" t="n"/>
      <c r="H73" s="8" t="n"/>
      <c r="I73" s="8" t="n"/>
      <c r="J73" s="8" t="n"/>
      <c r="K73" s="11">
        <f>IF(B73="","",MAX(0,IFERROR(I73,0)*IFERROR(H73,0)-IFERROR(J73,0)))</f>
        <v/>
      </c>
      <c r="L73" s="8" t="n"/>
      <c r="M73" s="11">
        <f>IF(B73="","",MAX(0,K73-L73))</f>
        <v/>
      </c>
      <c r="N73" s="11">
        <f>IF(B73="","",IF(L73&gt;=K73,"Paid",IF(L73&gt;0,"Partial","Unpaid")))</f>
        <v/>
      </c>
      <c r="O73" s="5" t="n"/>
      <c r="P73" s="8" t="n"/>
      <c r="Q73" s="8" t="n"/>
      <c r="R73" s="11">
        <f>IF(B73="","",IFERROR(K73,0)+IFERROR(P73,0)-IFERROR(Q73,0))</f>
        <v/>
      </c>
      <c r="S73" s="5" t="n"/>
      <c r="T73" s="5" t="n"/>
      <c r="U73" s="11">
        <f>IF(B73="","",TRIM(LOWER(C73)&amp;"|"&amp;LOWER(D73)))</f>
        <v/>
      </c>
    </row>
    <row r="74">
      <c r="A74" s="11">
        <f>IF(B74="","",TEXT(ROW()-3,"""DC-""0000"))</f>
        <v/>
      </c>
      <c r="B74" s="5" t="n"/>
      <c r="C74" s="5" t="n"/>
      <c r="D74" s="5" t="n"/>
      <c r="E74" s="5" t="n"/>
      <c r="F74" s="5" t="n"/>
      <c r="G74" s="5" t="n"/>
      <c r="H74" s="8" t="n"/>
      <c r="I74" s="8" t="n"/>
      <c r="J74" s="8" t="n"/>
      <c r="K74" s="11">
        <f>IF(B74="","",MAX(0,IFERROR(I74,0)*IFERROR(H74,0)-IFERROR(J74,0)))</f>
        <v/>
      </c>
      <c r="L74" s="8" t="n"/>
      <c r="M74" s="11">
        <f>IF(B74="","",MAX(0,K74-L74))</f>
        <v/>
      </c>
      <c r="N74" s="11">
        <f>IF(B74="","",IF(L74&gt;=K74,"Paid",IF(L74&gt;0,"Partial","Unpaid")))</f>
        <v/>
      </c>
      <c r="O74" s="5" t="n"/>
      <c r="P74" s="8" t="n"/>
      <c r="Q74" s="8" t="n"/>
      <c r="R74" s="11">
        <f>IF(B74="","",IFERROR(K74,0)+IFERROR(P74,0)-IFERROR(Q74,0))</f>
        <v/>
      </c>
      <c r="S74" s="5" t="n"/>
      <c r="T74" s="5" t="n"/>
      <c r="U74" s="11">
        <f>IF(B74="","",TRIM(LOWER(C74)&amp;"|"&amp;LOWER(D74)))</f>
        <v/>
      </c>
    </row>
    <row r="75">
      <c r="A75" s="11">
        <f>IF(B75="","",TEXT(ROW()-3,"""DC-""0000"))</f>
        <v/>
      </c>
      <c r="B75" s="5" t="n"/>
      <c r="C75" s="5" t="n"/>
      <c r="D75" s="5" t="n"/>
      <c r="E75" s="5" t="n"/>
      <c r="F75" s="5" t="n"/>
      <c r="G75" s="5" t="n"/>
      <c r="H75" s="8" t="n"/>
      <c r="I75" s="8" t="n"/>
      <c r="J75" s="8" t="n"/>
      <c r="K75" s="11">
        <f>IF(B75="","",MAX(0,IFERROR(I75,0)*IFERROR(H75,0)-IFERROR(J75,0)))</f>
        <v/>
      </c>
      <c r="L75" s="8" t="n"/>
      <c r="M75" s="11">
        <f>IF(B75="","",MAX(0,K75-L75))</f>
        <v/>
      </c>
      <c r="N75" s="11">
        <f>IF(B75="","",IF(L75&gt;=K75,"Paid",IF(L75&gt;0,"Partial","Unpaid")))</f>
        <v/>
      </c>
      <c r="O75" s="5" t="n"/>
      <c r="P75" s="8" t="n"/>
      <c r="Q75" s="8" t="n"/>
      <c r="R75" s="11">
        <f>IF(B75="","",IFERROR(K75,0)+IFERROR(P75,0)-IFERROR(Q75,0))</f>
        <v/>
      </c>
      <c r="S75" s="5" t="n"/>
      <c r="T75" s="5" t="n"/>
      <c r="U75" s="11">
        <f>IF(B75="","",TRIM(LOWER(C75)&amp;"|"&amp;LOWER(D75)))</f>
        <v/>
      </c>
    </row>
    <row r="76">
      <c r="A76" s="11">
        <f>IF(B76="","",TEXT(ROW()-3,"""DC-""0000"))</f>
        <v/>
      </c>
      <c r="B76" s="5" t="n"/>
      <c r="C76" s="5" t="n"/>
      <c r="D76" s="5" t="n"/>
      <c r="E76" s="5" t="n"/>
      <c r="F76" s="5" t="n"/>
      <c r="G76" s="5" t="n"/>
      <c r="H76" s="8" t="n"/>
      <c r="I76" s="8" t="n"/>
      <c r="J76" s="8" t="n"/>
      <c r="K76" s="11">
        <f>IF(B76="","",MAX(0,IFERROR(I76,0)*IFERROR(H76,0)-IFERROR(J76,0)))</f>
        <v/>
      </c>
      <c r="L76" s="8" t="n"/>
      <c r="M76" s="11">
        <f>IF(B76="","",MAX(0,K76-L76))</f>
        <v/>
      </c>
      <c r="N76" s="11">
        <f>IF(B76="","",IF(L76&gt;=K76,"Paid",IF(L76&gt;0,"Partial","Unpaid")))</f>
        <v/>
      </c>
      <c r="O76" s="5" t="n"/>
      <c r="P76" s="8" t="n"/>
      <c r="Q76" s="8" t="n"/>
      <c r="R76" s="11">
        <f>IF(B76="","",IFERROR(K76,0)+IFERROR(P76,0)-IFERROR(Q76,0))</f>
        <v/>
      </c>
      <c r="S76" s="5" t="n"/>
      <c r="T76" s="5" t="n"/>
      <c r="U76" s="11">
        <f>IF(B76="","",TRIM(LOWER(C76)&amp;"|"&amp;LOWER(D76)))</f>
        <v/>
      </c>
    </row>
    <row r="77">
      <c r="A77" s="11">
        <f>IF(B77="","",TEXT(ROW()-3,"""DC-""0000"))</f>
        <v/>
      </c>
      <c r="B77" s="5" t="n"/>
      <c r="C77" s="5" t="n"/>
      <c r="D77" s="5" t="n"/>
      <c r="E77" s="5" t="n"/>
      <c r="F77" s="5" t="n"/>
      <c r="G77" s="5" t="n"/>
      <c r="H77" s="8" t="n"/>
      <c r="I77" s="8" t="n"/>
      <c r="J77" s="8" t="n"/>
      <c r="K77" s="11">
        <f>IF(B77="","",MAX(0,IFERROR(I77,0)*IFERROR(H77,0)-IFERROR(J77,0)))</f>
        <v/>
      </c>
      <c r="L77" s="8" t="n"/>
      <c r="M77" s="11">
        <f>IF(B77="","",MAX(0,K77-L77))</f>
        <v/>
      </c>
      <c r="N77" s="11">
        <f>IF(B77="","",IF(L77&gt;=K77,"Paid",IF(L77&gt;0,"Partial","Unpaid")))</f>
        <v/>
      </c>
      <c r="O77" s="5" t="n"/>
      <c r="P77" s="8" t="n"/>
      <c r="Q77" s="8" t="n"/>
      <c r="R77" s="11">
        <f>IF(B77="","",IFERROR(K77,0)+IFERROR(P77,0)-IFERROR(Q77,0))</f>
        <v/>
      </c>
      <c r="S77" s="5" t="n"/>
      <c r="T77" s="5" t="n"/>
      <c r="U77" s="11">
        <f>IF(B77="","",TRIM(LOWER(C77)&amp;"|"&amp;LOWER(D77)))</f>
        <v/>
      </c>
    </row>
    <row r="78">
      <c r="A78" s="11">
        <f>IF(B78="","",TEXT(ROW()-3,"""DC-""0000"))</f>
        <v/>
      </c>
      <c r="B78" s="5" t="n"/>
      <c r="C78" s="5" t="n"/>
      <c r="D78" s="5" t="n"/>
      <c r="E78" s="5" t="n"/>
      <c r="F78" s="5" t="n"/>
      <c r="G78" s="5" t="n"/>
      <c r="H78" s="8" t="n"/>
      <c r="I78" s="8" t="n"/>
      <c r="J78" s="8" t="n"/>
      <c r="K78" s="11">
        <f>IF(B78="","",MAX(0,IFERROR(I78,0)*IFERROR(H78,0)-IFERROR(J78,0)))</f>
        <v/>
      </c>
      <c r="L78" s="8" t="n"/>
      <c r="M78" s="11">
        <f>IF(B78="","",MAX(0,K78-L78))</f>
        <v/>
      </c>
      <c r="N78" s="11">
        <f>IF(B78="","",IF(L78&gt;=K78,"Paid",IF(L78&gt;0,"Partial","Unpaid")))</f>
        <v/>
      </c>
      <c r="O78" s="5" t="n"/>
      <c r="P78" s="8" t="n"/>
      <c r="Q78" s="8" t="n"/>
      <c r="R78" s="11">
        <f>IF(B78="","",IFERROR(K78,0)+IFERROR(P78,0)-IFERROR(Q78,0))</f>
        <v/>
      </c>
      <c r="S78" s="5" t="n"/>
      <c r="T78" s="5" t="n"/>
      <c r="U78" s="11">
        <f>IF(B78="","",TRIM(LOWER(C78)&amp;"|"&amp;LOWER(D78)))</f>
        <v/>
      </c>
    </row>
    <row r="79">
      <c r="A79" s="11">
        <f>IF(B79="","",TEXT(ROW()-3,"""DC-""0000"))</f>
        <v/>
      </c>
      <c r="B79" s="5" t="n"/>
      <c r="C79" s="5" t="n"/>
      <c r="D79" s="5" t="n"/>
      <c r="E79" s="5" t="n"/>
      <c r="F79" s="5" t="n"/>
      <c r="G79" s="5" t="n"/>
      <c r="H79" s="8" t="n"/>
      <c r="I79" s="8" t="n"/>
      <c r="J79" s="8" t="n"/>
      <c r="K79" s="11">
        <f>IF(B79="","",MAX(0,IFERROR(I79,0)*IFERROR(H79,0)-IFERROR(J79,0)))</f>
        <v/>
      </c>
      <c r="L79" s="8" t="n"/>
      <c r="M79" s="11">
        <f>IF(B79="","",MAX(0,K79-L79))</f>
        <v/>
      </c>
      <c r="N79" s="11">
        <f>IF(B79="","",IF(L79&gt;=K79,"Paid",IF(L79&gt;0,"Partial","Unpaid")))</f>
        <v/>
      </c>
      <c r="O79" s="5" t="n"/>
      <c r="P79" s="8" t="n"/>
      <c r="Q79" s="8" t="n"/>
      <c r="R79" s="11">
        <f>IF(B79="","",IFERROR(K79,0)+IFERROR(P79,0)-IFERROR(Q79,0))</f>
        <v/>
      </c>
      <c r="S79" s="5" t="n"/>
      <c r="T79" s="5" t="n"/>
      <c r="U79" s="11">
        <f>IF(B79="","",TRIM(LOWER(C79)&amp;"|"&amp;LOWER(D79)))</f>
        <v/>
      </c>
    </row>
    <row r="80">
      <c r="A80" s="11">
        <f>IF(B80="","",TEXT(ROW()-3,"""DC-""0000"))</f>
        <v/>
      </c>
      <c r="B80" s="5" t="n"/>
      <c r="C80" s="5" t="n"/>
      <c r="D80" s="5" t="n"/>
      <c r="E80" s="5" t="n"/>
      <c r="F80" s="5" t="n"/>
      <c r="G80" s="5" t="n"/>
      <c r="H80" s="8" t="n"/>
      <c r="I80" s="8" t="n"/>
      <c r="J80" s="8" t="n"/>
      <c r="K80" s="11">
        <f>IF(B80="","",MAX(0,IFERROR(I80,0)*IFERROR(H80,0)-IFERROR(J80,0)))</f>
        <v/>
      </c>
      <c r="L80" s="8" t="n"/>
      <c r="M80" s="11">
        <f>IF(B80="","",MAX(0,K80-L80))</f>
        <v/>
      </c>
      <c r="N80" s="11">
        <f>IF(B80="","",IF(L80&gt;=K80,"Paid",IF(L80&gt;0,"Partial","Unpaid")))</f>
        <v/>
      </c>
      <c r="O80" s="5" t="n"/>
      <c r="P80" s="8" t="n"/>
      <c r="Q80" s="8" t="n"/>
      <c r="R80" s="11">
        <f>IF(B80="","",IFERROR(K80,0)+IFERROR(P80,0)-IFERROR(Q80,0))</f>
        <v/>
      </c>
      <c r="S80" s="5" t="n"/>
      <c r="T80" s="5" t="n"/>
      <c r="U80" s="11">
        <f>IF(B80="","",TRIM(LOWER(C80)&amp;"|"&amp;LOWER(D80)))</f>
        <v/>
      </c>
    </row>
    <row r="81">
      <c r="A81" s="11">
        <f>IF(B81="","",TEXT(ROW()-3,"""DC-""0000"))</f>
        <v/>
      </c>
      <c r="B81" s="5" t="n"/>
      <c r="C81" s="5" t="n"/>
      <c r="D81" s="5" t="n"/>
      <c r="E81" s="5" t="n"/>
      <c r="F81" s="5" t="n"/>
      <c r="G81" s="5" t="n"/>
      <c r="H81" s="8" t="n"/>
      <c r="I81" s="8" t="n"/>
      <c r="J81" s="8" t="n"/>
      <c r="K81" s="11">
        <f>IF(B81="","",MAX(0,IFERROR(I81,0)*IFERROR(H81,0)-IFERROR(J81,0)))</f>
        <v/>
      </c>
      <c r="L81" s="8" t="n"/>
      <c r="M81" s="11">
        <f>IF(B81="","",MAX(0,K81-L81))</f>
        <v/>
      </c>
      <c r="N81" s="11">
        <f>IF(B81="","",IF(L81&gt;=K81,"Paid",IF(L81&gt;0,"Partial","Unpaid")))</f>
        <v/>
      </c>
      <c r="O81" s="5" t="n"/>
      <c r="P81" s="8" t="n"/>
      <c r="Q81" s="8" t="n"/>
      <c r="R81" s="11">
        <f>IF(B81="","",IFERROR(K81,0)+IFERROR(P81,0)-IFERROR(Q81,0))</f>
        <v/>
      </c>
      <c r="S81" s="5" t="n"/>
      <c r="T81" s="5" t="n"/>
      <c r="U81" s="11">
        <f>IF(B81="","",TRIM(LOWER(C81)&amp;"|"&amp;LOWER(D81)))</f>
        <v/>
      </c>
    </row>
    <row r="82">
      <c r="A82" s="11">
        <f>IF(B82="","",TEXT(ROW()-3,"""DC-""0000"))</f>
        <v/>
      </c>
      <c r="B82" s="5" t="n"/>
      <c r="C82" s="5" t="n"/>
      <c r="D82" s="5" t="n"/>
      <c r="E82" s="5" t="n"/>
      <c r="F82" s="5" t="n"/>
      <c r="G82" s="5" t="n"/>
      <c r="H82" s="8" t="n"/>
      <c r="I82" s="8" t="n"/>
      <c r="J82" s="8" t="n"/>
      <c r="K82" s="11">
        <f>IF(B82="","",MAX(0,IFERROR(I82,0)*IFERROR(H82,0)-IFERROR(J82,0)))</f>
        <v/>
      </c>
      <c r="L82" s="8" t="n"/>
      <c r="M82" s="11">
        <f>IF(B82="","",MAX(0,K82-L82))</f>
        <v/>
      </c>
      <c r="N82" s="11">
        <f>IF(B82="","",IF(L82&gt;=K82,"Paid",IF(L82&gt;0,"Partial","Unpaid")))</f>
        <v/>
      </c>
      <c r="O82" s="5" t="n"/>
      <c r="P82" s="8" t="n"/>
      <c r="Q82" s="8" t="n"/>
      <c r="R82" s="11">
        <f>IF(B82="","",IFERROR(K82,0)+IFERROR(P82,0)-IFERROR(Q82,0))</f>
        <v/>
      </c>
      <c r="S82" s="5" t="n"/>
      <c r="T82" s="5" t="n"/>
      <c r="U82" s="11">
        <f>IF(B82="","",TRIM(LOWER(C82)&amp;"|"&amp;LOWER(D82)))</f>
        <v/>
      </c>
    </row>
    <row r="83">
      <c r="A83" s="11">
        <f>IF(B83="","",TEXT(ROW()-3,"""DC-""0000"))</f>
        <v/>
      </c>
      <c r="B83" s="5" t="n"/>
      <c r="C83" s="5" t="n"/>
      <c r="D83" s="5" t="n"/>
      <c r="E83" s="5" t="n"/>
      <c r="F83" s="5" t="n"/>
      <c r="G83" s="5" t="n"/>
      <c r="H83" s="8" t="n"/>
      <c r="I83" s="8" t="n"/>
      <c r="J83" s="8" t="n"/>
      <c r="K83" s="11">
        <f>IF(B83="","",MAX(0,IFERROR(I83,0)*IFERROR(H83,0)-IFERROR(J83,0)))</f>
        <v/>
      </c>
      <c r="L83" s="8" t="n"/>
      <c r="M83" s="11">
        <f>IF(B83="","",MAX(0,K83-L83))</f>
        <v/>
      </c>
      <c r="N83" s="11">
        <f>IF(B83="","",IF(L83&gt;=K83,"Paid",IF(L83&gt;0,"Partial","Unpaid")))</f>
        <v/>
      </c>
      <c r="O83" s="5" t="n"/>
      <c r="P83" s="8" t="n"/>
      <c r="Q83" s="8" t="n"/>
      <c r="R83" s="11">
        <f>IF(B83="","",IFERROR(K83,0)+IFERROR(P83,0)-IFERROR(Q83,0))</f>
        <v/>
      </c>
      <c r="S83" s="5" t="n"/>
      <c r="T83" s="5" t="n"/>
      <c r="U83" s="11">
        <f>IF(B83="","",TRIM(LOWER(C83)&amp;"|"&amp;LOWER(D83)))</f>
        <v/>
      </c>
    </row>
    <row r="84">
      <c r="A84" s="11">
        <f>IF(B84="","",TEXT(ROW()-3,"""DC-""0000"))</f>
        <v/>
      </c>
      <c r="B84" s="5" t="n"/>
      <c r="C84" s="5" t="n"/>
      <c r="D84" s="5" t="n"/>
      <c r="E84" s="5" t="n"/>
      <c r="F84" s="5" t="n"/>
      <c r="G84" s="5" t="n"/>
      <c r="H84" s="8" t="n"/>
      <c r="I84" s="8" t="n"/>
      <c r="J84" s="8" t="n"/>
      <c r="K84" s="11">
        <f>IF(B84="","",MAX(0,IFERROR(I84,0)*IFERROR(H84,0)-IFERROR(J84,0)))</f>
        <v/>
      </c>
      <c r="L84" s="8" t="n"/>
      <c r="M84" s="11">
        <f>IF(B84="","",MAX(0,K84-L84))</f>
        <v/>
      </c>
      <c r="N84" s="11">
        <f>IF(B84="","",IF(L84&gt;=K84,"Paid",IF(L84&gt;0,"Partial","Unpaid")))</f>
        <v/>
      </c>
      <c r="O84" s="5" t="n"/>
      <c r="P84" s="8" t="n"/>
      <c r="Q84" s="8" t="n"/>
      <c r="R84" s="11">
        <f>IF(B84="","",IFERROR(K84,0)+IFERROR(P84,0)-IFERROR(Q84,0))</f>
        <v/>
      </c>
      <c r="S84" s="5" t="n"/>
      <c r="T84" s="5" t="n"/>
      <c r="U84" s="11">
        <f>IF(B84="","",TRIM(LOWER(C84)&amp;"|"&amp;LOWER(D84)))</f>
        <v/>
      </c>
    </row>
    <row r="85">
      <c r="A85" s="11">
        <f>IF(B85="","",TEXT(ROW()-3,"""DC-""0000"))</f>
        <v/>
      </c>
      <c r="B85" s="5" t="n"/>
      <c r="C85" s="5" t="n"/>
      <c r="D85" s="5" t="n"/>
      <c r="E85" s="5" t="n"/>
      <c r="F85" s="5" t="n"/>
      <c r="G85" s="5" t="n"/>
      <c r="H85" s="8" t="n"/>
      <c r="I85" s="8" t="n"/>
      <c r="J85" s="8" t="n"/>
      <c r="K85" s="11">
        <f>IF(B85="","",MAX(0,IFERROR(I85,0)*IFERROR(H85,0)-IFERROR(J85,0)))</f>
        <v/>
      </c>
      <c r="L85" s="8" t="n"/>
      <c r="M85" s="11">
        <f>IF(B85="","",MAX(0,K85-L85))</f>
        <v/>
      </c>
      <c r="N85" s="11">
        <f>IF(B85="","",IF(L85&gt;=K85,"Paid",IF(L85&gt;0,"Partial","Unpaid")))</f>
        <v/>
      </c>
      <c r="O85" s="5" t="n"/>
      <c r="P85" s="8" t="n"/>
      <c r="Q85" s="8" t="n"/>
      <c r="R85" s="11">
        <f>IF(B85="","",IFERROR(K85,0)+IFERROR(P85,0)-IFERROR(Q85,0))</f>
        <v/>
      </c>
      <c r="S85" s="5" t="n"/>
      <c r="T85" s="5" t="n"/>
      <c r="U85" s="11">
        <f>IF(B85="","",TRIM(LOWER(C85)&amp;"|"&amp;LOWER(D85)))</f>
        <v/>
      </c>
    </row>
    <row r="86">
      <c r="A86" s="11">
        <f>IF(B86="","",TEXT(ROW()-3,"""DC-""0000"))</f>
        <v/>
      </c>
      <c r="B86" s="5" t="n"/>
      <c r="C86" s="5" t="n"/>
      <c r="D86" s="5" t="n"/>
      <c r="E86" s="5" t="n"/>
      <c r="F86" s="5" t="n"/>
      <c r="G86" s="5" t="n"/>
      <c r="H86" s="8" t="n"/>
      <c r="I86" s="8" t="n"/>
      <c r="J86" s="8" t="n"/>
      <c r="K86" s="11">
        <f>IF(B86="","",MAX(0,IFERROR(I86,0)*IFERROR(H86,0)-IFERROR(J86,0)))</f>
        <v/>
      </c>
      <c r="L86" s="8" t="n"/>
      <c r="M86" s="11">
        <f>IF(B86="","",MAX(0,K86-L86))</f>
        <v/>
      </c>
      <c r="N86" s="11">
        <f>IF(B86="","",IF(L86&gt;=K86,"Paid",IF(L86&gt;0,"Partial","Unpaid")))</f>
        <v/>
      </c>
      <c r="O86" s="5" t="n"/>
      <c r="P86" s="8" t="n"/>
      <c r="Q86" s="8" t="n"/>
      <c r="R86" s="11">
        <f>IF(B86="","",IFERROR(K86,0)+IFERROR(P86,0)-IFERROR(Q86,0))</f>
        <v/>
      </c>
      <c r="S86" s="5" t="n"/>
      <c r="T86" s="5" t="n"/>
      <c r="U86" s="11">
        <f>IF(B86="","",TRIM(LOWER(C86)&amp;"|"&amp;LOWER(D86)))</f>
        <v/>
      </c>
    </row>
    <row r="87">
      <c r="A87" s="11">
        <f>IF(B87="","",TEXT(ROW()-3,"""DC-""0000"))</f>
        <v/>
      </c>
      <c r="B87" s="5" t="n"/>
      <c r="C87" s="5" t="n"/>
      <c r="D87" s="5" t="n"/>
      <c r="E87" s="5" t="n"/>
      <c r="F87" s="5" t="n"/>
      <c r="G87" s="5" t="n"/>
      <c r="H87" s="8" t="n"/>
      <c r="I87" s="8" t="n"/>
      <c r="J87" s="8" t="n"/>
      <c r="K87" s="11">
        <f>IF(B87="","",MAX(0,IFERROR(I87,0)*IFERROR(H87,0)-IFERROR(J87,0)))</f>
        <v/>
      </c>
      <c r="L87" s="8" t="n"/>
      <c r="M87" s="11">
        <f>IF(B87="","",MAX(0,K87-L87))</f>
        <v/>
      </c>
      <c r="N87" s="11">
        <f>IF(B87="","",IF(L87&gt;=K87,"Paid",IF(L87&gt;0,"Partial","Unpaid")))</f>
        <v/>
      </c>
      <c r="O87" s="5" t="n"/>
      <c r="P87" s="8" t="n"/>
      <c r="Q87" s="8" t="n"/>
      <c r="R87" s="11">
        <f>IF(B87="","",IFERROR(K87,0)+IFERROR(P87,0)-IFERROR(Q87,0))</f>
        <v/>
      </c>
      <c r="S87" s="5" t="n"/>
      <c r="T87" s="5" t="n"/>
      <c r="U87" s="11">
        <f>IF(B87="","",TRIM(LOWER(C87)&amp;"|"&amp;LOWER(D87)))</f>
        <v/>
      </c>
    </row>
    <row r="88">
      <c r="A88" s="11">
        <f>IF(B88="","",TEXT(ROW()-3,"""DC-""0000"))</f>
        <v/>
      </c>
      <c r="B88" s="5" t="n"/>
      <c r="C88" s="5" t="n"/>
      <c r="D88" s="5" t="n"/>
      <c r="E88" s="5" t="n"/>
      <c r="F88" s="5" t="n"/>
      <c r="G88" s="5" t="n"/>
      <c r="H88" s="8" t="n"/>
      <c r="I88" s="8" t="n"/>
      <c r="J88" s="8" t="n"/>
      <c r="K88" s="11">
        <f>IF(B88="","",MAX(0,IFERROR(I88,0)*IFERROR(H88,0)-IFERROR(J88,0)))</f>
        <v/>
      </c>
      <c r="L88" s="8" t="n"/>
      <c r="M88" s="11">
        <f>IF(B88="","",MAX(0,K88-L88))</f>
        <v/>
      </c>
      <c r="N88" s="11">
        <f>IF(B88="","",IF(L88&gt;=K88,"Paid",IF(L88&gt;0,"Partial","Unpaid")))</f>
        <v/>
      </c>
      <c r="O88" s="5" t="n"/>
      <c r="P88" s="8" t="n"/>
      <c r="Q88" s="8" t="n"/>
      <c r="R88" s="11">
        <f>IF(B88="","",IFERROR(K88,0)+IFERROR(P88,0)-IFERROR(Q88,0))</f>
        <v/>
      </c>
      <c r="S88" s="5" t="n"/>
      <c r="T88" s="5" t="n"/>
      <c r="U88" s="11">
        <f>IF(B88="","",TRIM(LOWER(C88)&amp;"|"&amp;LOWER(D88)))</f>
        <v/>
      </c>
    </row>
    <row r="89">
      <c r="A89" s="11">
        <f>IF(B89="","",TEXT(ROW()-3,"""DC-""0000"))</f>
        <v/>
      </c>
      <c r="B89" s="5" t="n"/>
      <c r="C89" s="5" t="n"/>
      <c r="D89" s="5" t="n"/>
      <c r="E89" s="5" t="n"/>
      <c r="F89" s="5" t="n"/>
      <c r="G89" s="5" t="n"/>
      <c r="H89" s="8" t="n"/>
      <c r="I89" s="8" t="n"/>
      <c r="J89" s="8" t="n"/>
      <c r="K89" s="11">
        <f>IF(B89="","",MAX(0,IFERROR(I89,0)*IFERROR(H89,0)-IFERROR(J89,0)))</f>
        <v/>
      </c>
      <c r="L89" s="8" t="n"/>
      <c r="M89" s="11">
        <f>IF(B89="","",MAX(0,K89-L89))</f>
        <v/>
      </c>
      <c r="N89" s="11">
        <f>IF(B89="","",IF(L89&gt;=K89,"Paid",IF(L89&gt;0,"Partial","Unpaid")))</f>
        <v/>
      </c>
      <c r="O89" s="5" t="n"/>
      <c r="P89" s="8" t="n"/>
      <c r="Q89" s="8" t="n"/>
      <c r="R89" s="11">
        <f>IF(B89="","",IFERROR(K89,0)+IFERROR(P89,0)-IFERROR(Q89,0))</f>
        <v/>
      </c>
      <c r="S89" s="5" t="n"/>
      <c r="T89" s="5" t="n"/>
      <c r="U89" s="11">
        <f>IF(B89="","",TRIM(LOWER(C89)&amp;"|"&amp;LOWER(D89)))</f>
        <v/>
      </c>
    </row>
    <row r="90">
      <c r="A90" s="11">
        <f>IF(B90="","",TEXT(ROW()-3,"""DC-""0000"))</f>
        <v/>
      </c>
      <c r="B90" s="5" t="n"/>
      <c r="C90" s="5" t="n"/>
      <c r="D90" s="5" t="n"/>
      <c r="E90" s="5" t="n"/>
      <c r="F90" s="5" t="n"/>
      <c r="G90" s="5" t="n"/>
      <c r="H90" s="8" t="n"/>
      <c r="I90" s="8" t="n"/>
      <c r="J90" s="8" t="n"/>
      <c r="K90" s="11">
        <f>IF(B90="","",MAX(0,IFERROR(I90,0)*IFERROR(H90,0)-IFERROR(J90,0)))</f>
        <v/>
      </c>
      <c r="L90" s="8" t="n"/>
      <c r="M90" s="11">
        <f>IF(B90="","",MAX(0,K90-L90))</f>
        <v/>
      </c>
      <c r="N90" s="11">
        <f>IF(B90="","",IF(L90&gt;=K90,"Paid",IF(L90&gt;0,"Partial","Unpaid")))</f>
        <v/>
      </c>
      <c r="O90" s="5" t="n"/>
      <c r="P90" s="8" t="n"/>
      <c r="Q90" s="8" t="n"/>
      <c r="R90" s="11">
        <f>IF(B90="","",IFERROR(K90,0)+IFERROR(P90,0)-IFERROR(Q90,0))</f>
        <v/>
      </c>
      <c r="S90" s="5" t="n"/>
      <c r="T90" s="5" t="n"/>
      <c r="U90" s="11">
        <f>IF(B90="","",TRIM(LOWER(C90)&amp;"|"&amp;LOWER(D90)))</f>
        <v/>
      </c>
    </row>
    <row r="91">
      <c r="A91" s="11">
        <f>IF(B91="","",TEXT(ROW()-3,"""DC-""0000"))</f>
        <v/>
      </c>
      <c r="B91" s="5" t="n"/>
      <c r="C91" s="5" t="n"/>
      <c r="D91" s="5" t="n"/>
      <c r="E91" s="5" t="n"/>
      <c r="F91" s="5" t="n"/>
      <c r="G91" s="5" t="n"/>
      <c r="H91" s="8" t="n"/>
      <c r="I91" s="8" t="n"/>
      <c r="J91" s="8" t="n"/>
      <c r="K91" s="11">
        <f>IF(B91="","",MAX(0,IFERROR(I91,0)*IFERROR(H91,0)-IFERROR(J91,0)))</f>
        <v/>
      </c>
      <c r="L91" s="8" t="n"/>
      <c r="M91" s="11">
        <f>IF(B91="","",MAX(0,K91-L91))</f>
        <v/>
      </c>
      <c r="N91" s="11">
        <f>IF(B91="","",IF(L91&gt;=K91,"Paid",IF(L91&gt;0,"Partial","Unpaid")))</f>
        <v/>
      </c>
      <c r="O91" s="5" t="n"/>
      <c r="P91" s="8" t="n"/>
      <c r="Q91" s="8" t="n"/>
      <c r="R91" s="11">
        <f>IF(B91="","",IFERROR(K91,0)+IFERROR(P91,0)-IFERROR(Q91,0))</f>
        <v/>
      </c>
      <c r="S91" s="5" t="n"/>
      <c r="T91" s="5" t="n"/>
      <c r="U91" s="11">
        <f>IF(B91="","",TRIM(LOWER(C91)&amp;"|"&amp;LOWER(D91)))</f>
        <v/>
      </c>
    </row>
    <row r="92">
      <c r="A92" s="11">
        <f>IF(B92="","",TEXT(ROW()-3,"""DC-""0000"))</f>
        <v/>
      </c>
      <c r="B92" s="5" t="n"/>
      <c r="C92" s="5" t="n"/>
      <c r="D92" s="5" t="n"/>
      <c r="E92" s="5" t="n"/>
      <c r="F92" s="5" t="n"/>
      <c r="G92" s="5" t="n"/>
      <c r="H92" s="8" t="n"/>
      <c r="I92" s="8" t="n"/>
      <c r="J92" s="8" t="n"/>
      <c r="K92" s="11">
        <f>IF(B92="","",MAX(0,IFERROR(I92,0)*IFERROR(H92,0)-IFERROR(J92,0)))</f>
        <v/>
      </c>
      <c r="L92" s="8" t="n"/>
      <c r="M92" s="11">
        <f>IF(B92="","",MAX(0,K92-L92))</f>
        <v/>
      </c>
      <c r="N92" s="11">
        <f>IF(B92="","",IF(L92&gt;=K92,"Paid",IF(L92&gt;0,"Partial","Unpaid")))</f>
        <v/>
      </c>
      <c r="O92" s="5" t="n"/>
      <c r="P92" s="8" t="n"/>
      <c r="Q92" s="8" t="n"/>
      <c r="R92" s="11">
        <f>IF(B92="","",IFERROR(K92,0)+IFERROR(P92,0)-IFERROR(Q92,0))</f>
        <v/>
      </c>
      <c r="S92" s="5" t="n"/>
      <c r="T92" s="5" t="n"/>
      <c r="U92" s="11">
        <f>IF(B92="","",TRIM(LOWER(C92)&amp;"|"&amp;LOWER(D92)))</f>
        <v/>
      </c>
    </row>
    <row r="93">
      <c r="A93" s="11">
        <f>IF(B93="","",TEXT(ROW()-3,"""DC-""0000"))</f>
        <v/>
      </c>
      <c r="B93" s="5" t="n"/>
      <c r="C93" s="5" t="n"/>
      <c r="D93" s="5" t="n"/>
      <c r="E93" s="5" t="n"/>
      <c r="F93" s="5" t="n"/>
      <c r="G93" s="5" t="n"/>
      <c r="H93" s="8" t="n"/>
      <c r="I93" s="8" t="n"/>
      <c r="J93" s="8" t="n"/>
      <c r="K93" s="11">
        <f>IF(B93="","",MAX(0,IFERROR(I93,0)*IFERROR(H93,0)-IFERROR(J93,0)))</f>
        <v/>
      </c>
      <c r="L93" s="8" t="n"/>
      <c r="M93" s="11">
        <f>IF(B93="","",MAX(0,K93-L93))</f>
        <v/>
      </c>
      <c r="N93" s="11">
        <f>IF(B93="","",IF(L93&gt;=K93,"Paid",IF(L93&gt;0,"Partial","Unpaid")))</f>
        <v/>
      </c>
      <c r="O93" s="5" t="n"/>
      <c r="P93" s="8" t="n"/>
      <c r="Q93" s="8" t="n"/>
      <c r="R93" s="11">
        <f>IF(B93="","",IFERROR(K93,0)+IFERROR(P93,0)-IFERROR(Q93,0))</f>
        <v/>
      </c>
      <c r="S93" s="5" t="n"/>
      <c r="T93" s="5" t="n"/>
      <c r="U93" s="11">
        <f>IF(B93="","",TRIM(LOWER(C93)&amp;"|"&amp;LOWER(D93)))</f>
        <v/>
      </c>
    </row>
    <row r="94">
      <c r="A94" s="11">
        <f>IF(B94="","",TEXT(ROW()-3,"""DC-""0000"))</f>
        <v/>
      </c>
      <c r="B94" s="5" t="n"/>
      <c r="C94" s="5" t="n"/>
      <c r="D94" s="5" t="n"/>
      <c r="E94" s="5" t="n"/>
      <c r="F94" s="5" t="n"/>
      <c r="G94" s="5" t="n"/>
      <c r="H94" s="8" t="n"/>
      <c r="I94" s="8" t="n"/>
      <c r="J94" s="8" t="n"/>
      <c r="K94" s="11">
        <f>IF(B94="","",MAX(0,IFERROR(I94,0)*IFERROR(H94,0)-IFERROR(J94,0)))</f>
        <v/>
      </c>
      <c r="L94" s="8" t="n"/>
      <c r="M94" s="11">
        <f>IF(B94="","",MAX(0,K94-L94))</f>
        <v/>
      </c>
      <c r="N94" s="11">
        <f>IF(B94="","",IF(L94&gt;=K94,"Paid",IF(L94&gt;0,"Partial","Unpaid")))</f>
        <v/>
      </c>
      <c r="O94" s="5" t="n"/>
      <c r="P94" s="8" t="n"/>
      <c r="Q94" s="8" t="n"/>
      <c r="R94" s="11">
        <f>IF(B94="","",IFERROR(K94,0)+IFERROR(P94,0)-IFERROR(Q94,0))</f>
        <v/>
      </c>
      <c r="S94" s="5" t="n"/>
      <c r="T94" s="5" t="n"/>
      <c r="U94" s="11">
        <f>IF(B94="","",TRIM(LOWER(C94)&amp;"|"&amp;LOWER(D94)))</f>
        <v/>
      </c>
    </row>
    <row r="95">
      <c r="A95" s="11">
        <f>IF(B95="","",TEXT(ROW()-3,"""DC-""0000"))</f>
        <v/>
      </c>
      <c r="B95" s="5" t="n"/>
      <c r="C95" s="5" t="n"/>
      <c r="D95" s="5" t="n"/>
      <c r="E95" s="5" t="n"/>
      <c r="F95" s="5" t="n"/>
      <c r="G95" s="5" t="n"/>
      <c r="H95" s="8" t="n"/>
      <c r="I95" s="8" t="n"/>
      <c r="J95" s="8" t="n"/>
      <c r="K95" s="11">
        <f>IF(B95="","",MAX(0,IFERROR(I95,0)*IFERROR(H95,0)-IFERROR(J95,0)))</f>
        <v/>
      </c>
      <c r="L95" s="8" t="n"/>
      <c r="M95" s="11">
        <f>IF(B95="","",MAX(0,K95-L95))</f>
        <v/>
      </c>
      <c r="N95" s="11">
        <f>IF(B95="","",IF(L95&gt;=K95,"Paid",IF(L95&gt;0,"Partial","Unpaid")))</f>
        <v/>
      </c>
      <c r="O95" s="5" t="n"/>
      <c r="P95" s="8" t="n"/>
      <c r="Q95" s="8" t="n"/>
      <c r="R95" s="11">
        <f>IF(B95="","",IFERROR(K95,0)+IFERROR(P95,0)-IFERROR(Q95,0))</f>
        <v/>
      </c>
      <c r="S95" s="5" t="n"/>
      <c r="T95" s="5" t="n"/>
      <c r="U95" s="11">
        <f>IF(B95="","",TRIM(LOWER(C95)&amp;"|"&amp;LOWER(D95)))</f>
        <v/>
      </c>
    </row>
    <row r="96">
      <c r="A96" s="11">
        <f>IF(B96="","",TEXT(ROW()-3,"""DC-""0000"))</f>
        <v/>
      </c>
      <c r="B96" s="5" t="n"/>
      <c r="C96" s="5" t="n"/>
      <c r="D96" s="5" t="n"/>
      <c r="E96" s="5" t="n"/>
      <c r="F96" s="5" t="n"/>
      <c r="G96" s="5" t="n"/>
      <c r="H96" s="8" t="n"/>
      <c r="I96" s="8" t="n"/>
      <c r="J96" s="8" t="n"/>
      <c r="K96" s="11">
        <f>IF(B96="","",MAX(0,IFERROR(I96,0)*IFERROR(H96,0)-IFERROR(J96,0)))</f>
        <v/>
      </c>
      <c r="L96" s="8" t="n"/>
      <c r="M96" s="11">
        <f>IF(B96="","",MAX(0,K96-L96))</f>
        <v/>
      </c>
      <c r="N96" s="11">
        <f>IF(B96="","",IF(L96&gt;=K96,"Paid",IF(L96&gt;0,"Partial","Unpaid")))</f>
        <v/>
      </c>
      <c r="O96" s="5" t="n"/>
      <c r="P96" s="8" t="n"/>
      <c r="Q96" s="8" t="n"/>
      <c r="R96" s="11">
        <f>IF(B96="","",IFERROR(K96,0)+IFERROR(P96,0)-IFERROR(Q96,0))</f>
        <v/>
      </c>
      <c r="S96" s="5" t="n"/>
      <c r="T96" s="5" t="n"/>
      <c r="U96" s="11">
        <f>IF(B96="","",TRIM(LOWER(C96)&amp;"|"&amp;LOWER(D96)))</f>
        <v/>
      </c>
    </row>
    <row r="97">
      <c r="A97" s="11">
        <f>IF(B97="","",TEXT(ROW()-3,"""DC-""0000"))</f>
        <v/>
      </c>
      <c r="B97" s="5" t="n"/>
      <c r="C97" s="5" t="n"/>
      <c r="D97" s="5" t="n"/>
      <c r="E97" s="5" t="n"/>
      <c r="F97" s="5" t="n"/>
      <c r="G97" s="5" t="n"/>
      <c r="H97" s="8" t="n"/>
      <c r="I97" s="8" t="n"/>
      <c r="J97" s="8" t="n"/>
      <c r="K97" s="11">
        <f>IF(B97="","",MAX(0,IFERROR(I97,0)*IFERROR(H97,0)-IFERROR(J97,0)))</f>
        <v/>
      </c>
      <c r="L97" s="8" t="n"/>
      <c r="M97" s="11">
        <f>IF(B97="","",MAX(0,K97-L97))</f>
        <v/>
      </c>
      <c r="N97" s="11">
        <f>IF(B97="","",IF(L97&gt;=K97,"Paid",IF(L97&gt;0,"Partial","Unpaid")))</f>
        <v/>
      </c>
      <c r="O97" s="5" t="n"/>
      <c r="P97" s="8" t="n"/>
      <c r="Q97" s="8" t="n"/>
      <c r="R97" s="11">
        <f>IF(B97="","",IFERROR(K97,0)+IFERROR(P97,0)-IFERROR(Q97,0))</f>
        <v/>
      </c>
      <c r="S97" s="5" t="n"/>
      <c r="T97" s="5" t="n"/>
      <c r="U97" s="11">
        <f>IF(B97="","",TRIM(LOWER(C97)&amp;"|"&amp;LOWER(D97)))</f>
        <v/>
      </c>
    </row>
    <row r="98">
      <c r="A98" s="11">
        <f>IF(B98="","",TEXT(ROW()-3,"""DC-""0000"))</f>
        <v/>
      </c>
      <c r="B98" s="5" t="n"/>
      <c r="C98" s="5" t="n"/>
      <c r="D98" s="5" t="n"/>
      <c r="E98" s="5" t="n"/>
      <c r="F98" s="5" t="n"/>
      <c r="G98" s="5" t="n"/>
      <c r="H98" s="8" t="n"/>
      <c r="I98" s="8" t="n"/>
      <c r="J98" s="8" t="n"/>
      <c r="K98" s="11">
        <f>IF(B98="","",MAX(0,IFERROR(I98,0)*IFERROR(H98,0)-IFERROR(J98,0)))</f>
        <v/>
      </c>
      <c r="L98" s="8" t="n"/>
      <c r="M98" s="11">
        <f>IF(B98="","",MAX(0,K98-L98))</f>
        <v/>
      </c>
      <c r="N98" s="11">
        <f>IF(B98="","",IF(L98&gt;=K98,"Paid",IF(L98&gt;0,"Partial","Unpaid")))</f>
        <v/>
      </c>
      <c r="O98" s="5" t="n"/>
      <c r="P98" s="8" t="n"/>
      <c r="Q98" s="8" t="n"/>
      <c r="R98" s="11">
        <f>IF(B98="","",IFERROR(K98,0)+IFERROR(P98,0)-IFERROR(Q98,0))</f>
        <v/>
      </c>
      <c r="S98" s="5" t="n"/>
      <c r="T98" s="5" t="n"/>
      <c r="U98" s="11">
        <f>IF(B98="","",TRIM(LOWER(C98)&amp;"|"&amp;LOWER(D98)))</f>
        <v/>
      </c>
    </row>
    <row r="99">
      <c r="A99" s="11">
        <f>IF(B99="","",TEXT(ROW()-3,"""DC-""0000"))</f>
        <v/>
      </c>
      <c r="B99" s="5" t="n"/>
      <c r="C99" s="5" t="n"/>
      <c r="D99" s="5" t="n"/>
      <c r="E99" s="5" t="n"/>
      <c r="F99" s="5" t="n"/>
      <c r="G99" s="5" t="n"/>
      <c r="H99" s="8" t="n"/>
      <c r="I99" s="8" t="n"/>
      <c r="J99" s="8" t="n"/>
      <c r="K99" s="11">
        <f>IF(B99="","",MAX(0,IFERROR(I99,0)*IFERROR(H99,0)-IFERROR(J99,0)))</f>
        <v/>
      </c>
      <c r="L99" s="8" t="n"/>
      <c r="M99" s="11">
        <f>IF(B99="","",MAX(0,K99-L99))</f>
        <v/>
      </c>
      <c r="N99" s="11">
        <f>IF(B99="","",IF(L99&gt;=K99,"Paid",IF(L99&gt;0,"Partial","Unpaid")))</f>
        <v/>
      </c>
      <c r="O99" s="5" t="n"/>
      <c r="P99" s="8" t="n"/>
      <c r="Q99" s="8" t="n"/>
      <c r="R99" s="11">
        <f>IF(B99="","",IFERROR(K99,0)+IFERROR(P99,0)-IFERROR(Q99,0))</f>
        <v/>
      </c>
      <c r="S99" s="5" t="n"/>
      <c r="T99" s="5" t="n"/>
      <c r="U99" s="11">
        <f>IF(B99="","",TRIM(LOWER(C99)&amp;"|"&amp;LOWER(D99)))</f>
        <v/>
      </c>
    </row>
    <row r="100">
      <c r="A100" s="11">
        <f>IF(B100="","",TEXT(ROW()-3,"""DC-""0000"))</f>
        <v/>
      </c>
      <c r="B100" s="5" t="n"/>
      <c r="C100" s="5" t="n"/>
      <c r="D100" s="5" t="n"/>
      <c r="E100" s="5" t="n"/>
      <c r="F100" s="5" t="n"/>
      <c r="G100" s="5" t="n"/>
      <c r="H100" s="8" t="n"/>
      <c r="I100" s="8" t="n"/>
      <c r="J100" s="8" t="n"/>
      <c r="K100" s="11">
        <f>IF(B100="","",MAX(0,IFERROR(I100,0)*IFERROR(H100,0)-IFERROR(J100,0)))</f>
        <v/>
      </c>
      <c r="L100" s="8" t="n"/>
      <c r="M100" s="11">
        <f>IF(B100="","",MAX(0,K100-L100))</f>
        <v/>
      </c>
      <c r="N100" s="11">
        <f>IF(B100="","",IF(L100&gt;=K100,"Paid",IF(L100&gt;0,"Partial","Unpaid")))</f>
        <v/>
      </c>
      <c r="O100" s="5" t="n"/>
      <c r="P100" s="8" t="n"/>
      <c r="Q100" s="8" t="n"/>
      <c r="R100" s="11">
        <f>IF(B100="","",IFERROR(K100,0)+IFERROR(P100,0)-IFERROR(Q100,0))</f>
        <v/>
      </c>
      <c r="S100" s="5" t="n"/>
      <c r="T100" s="5" t="n"/>
      <c r="U100" s="11">
        <f>IF(B100="","",TRIM(LOWER(C100)&amp;"|"&amp;LOWER(D100)))</f>
        <v/>
      </c>
    </row>
    <row r="101">
      <c r="A101" s="11">
        <f>IF(B101="","",TEXT(ROW()-3,"""DC-""0000"))</f>
        <v/>
      </c>
      <c r="B101" s="5" t="n"/>
      <c r="C101" s="5" t="n"/>
      <c r="D101" s="5" t="n"/>
      <c r="E101" s="5" t="n"/>
      <c r="F101" s="5" t="n"/>
      <c r="G101" s="5" t="n"/>
      <c r="H101" s="8" t="n"/>
      <c r="I101" s="8" t="n"/>
      <c r="J101" s="8" t="n"/>
      <c r="K101" s="11">
        <f>IF(B101="","",MAX(0,IFERROR(I101,0)*IFERROR(H101,0)-IFERROR(J101,0)))</f>
        <v/>
      </c>
      <c r="L101" s="8" t="n"/>
      <c r="M101" s="11">
        <f>IF(B101="","",MAX(0,K101-L101))</f>
        <v/>
      </c>
      <c r="N101" s="11">
        <f>IF(B101="","",IF(L101&gt;=K101,"Paid",IF(L101&gt;0,"Partial","Unpaid")))</f>
        <v/>
      </c>
      <c r="O101" s="5" t="n"/>
      <c r="P101" s="8" t="n"/>
      <c r="Q101" s="8" t="n"/>
      <c r="R101" s="11">
        <f>IF(B101="","",IFERROR(K101,0)+IFERROR(P101,0)-IFERROR(Q101,0))</f>
        <v/>
      </c>
      <c r="S101" s="5" t="n"/>
      <c r="T101" s="5" t="n"/>
      <c r="U101" s="11">
        <f>IF(B101="","",TRIM(LOWER(C101)&amp;"|"&amp;LOWER(D101)))</f>
        <v/>
      </c>
    </row>
    <row r="102">
      <c r="A102" s="11">
        <f>IF(B102="","",TEXT(ROW()-3,"""DC-""0000"))</f>
        <v/>
      </c>
      <c r="B102" s="5" t="n"/>
      <c r="C102" s="5" t="n"/>
      <c r="D102" s="5" t="n"/>
      <c r="E102" s="5" t="n"/>
      <c r="F102" s="5" t="n"/>
      <c r="G102" s="5" t="n"/>
      <c r="H102" s="8" t="n"/>
      <c r="I102" s="8" t="n"/>
      <c r="J102" s="8" t="n"/>
      <c r="K102" s="11">
        <f>IF(B102="","",MAX(0,IFERROR(I102,0)*IFERROR(H102,0)-IFERROR(J102,0)))</f>
        <v/>
      </c>
      <c r="L102" s="8" t="n"/>
      <c r="M102" s="11">
        <f>IF(B102="","",MAX(0,K102-L102))</f>
        <v/>
      </c>
      <c r="N102" s="11">
        <f>IF(B102="","",IF(L102&gt;=K102,"Paid",IF(L102&gt;0,"Partial","Unpaid")))</f>
        <v/>
      </c>
      <c r="O102" s="5" t="n"/>
      <c r="P102" s="8" t="n"/>
      <c r="Q102" s="8" t="n"/>
      <c r="R102" s="11">
        <f>IF(B102="","",IFERROR(K102,0)+IFERROR(P102,0)-IFERROR(Q102,0))</f>
        <v/>
      </c>
      <c r="S102" s="5" t="n"/>
      <c r="T102" s="5" t="n"/>
      <c r="U102" s="11">
        <f>IF(B102="","",TRIM(LOWER(C102)&amp;"|"&amp;LOWER(D102)))</f>
        <v/>
      </c>
    </row>
    <row r="103">
      <c r="A103" s="11">
        <f>IF(B103="","",TEXT(ROW()-3,"""DC-""0000"))</f>
        <v/>
      </c>
      <c r="B103" s="5" t="n"/>
      <c r="C103" s="5" t="n"/>
      <c r="D103" s="5" t="n"/>
      <c r="E103" s="5" t="n"/>
      <c r="F103" s="5" t="n"/>
      <c r="G103" s="5" t="n"/>
      <c r="H103" s="8" t="n"/>
      <c r="I103" s="8" t="n"/>
      <c r="J103" s="8" t="n"/>
      <c r="K103" s="11">
        <f>IF(B103="","",MAX(0,IFERROR(I103,0)*IFERROR(H103,0)-IFERROR(J103,0)))</f>
        <v/>
      </c>
      <c r="L103" s="8" t="n"/>
      <c r="M103" s="11">
        <f>IF(B103="","",MAX(0,K103-L103))</f>
        <v/>
      </c>
      <c r="N103" s="11">
        <f>IF(B103="","",IF(L103&gt;=K103,"Paid",IF(L103&gt;0,"Partial","Unpaid")))</f>
        <v/>
      </c>
      <c r="O103" s="5" t="n"/>
      <c r="P103" s="8" t="n"/>
      <c r="Q103" s="8" t="n"/>
      <c r="R103" s="11">
        <f>IF(B103="","",IFERROR(K103,0)+IFERROR(P103,0)-IFERROR(Q103,0))</f>
        <v/>
      </c>
      <c r="S103" s="5" t="n"/>
      <c r="T103" s="5" t="n"/>
      <c r="U103" s="11">
        <f>IF(B103="","",TRIM(LOWER(C103)&amp;"|"&amp;LOWER(D103)))</f>
        <v/>
      </c>
    </row>
    <row r="104">
      <c r="A104" s="11">
        <f>IF(B104="","",TEXT(ROW()-3,"""DC-""0000"))</f>
        <v/>
      </c>
      <c r="B104" s="5" t="n"/>
      <c r="C104" s="5" t="n"/>
      <c r="D104" s="5" t="n"/>
      <c r="E104" s="5" t="n"/>
      <c r="F104" s="5" t="n"/>
      <c r="G104" s="5" t="n"/>
      <c r="H104" s="8" t="n"/>
      <c r="I104" s="8" t="n"/>
      <c r="J104" s="8" t="n"/>
      <c r="K104" s="11">
        <f>IF(B104="","",MAX(0,IFERROR(I104,0)*IFERROR(H104,0)-IFERROR(J104,0)))</f>
        <v/>
      </c>
      <c r="L104" s="8" t="n"/>
      <c r="M104" s="11">
        <f>IF(B104="","",MAX(0,K104-L104))</f>
        <v/>
      </c>
      <c r="N104" s="11">
        <f>IF(B104="","",IF(L104&gt;=K104,"Paid",IF(L104&gt;0,"Partial","Unpaid")))</f>
        <v/>
      </c>
      <c r="O104" s="5" t="n"/>
      <c r="P104" s="8" t="n"/>
      <c r="Q104" s="8" t="n"/>
      <c r="R104" s="11">
        <f>IF(B104="","",IFERROR(K104,0)+IFERROR(P104,0)-IFERROR(Q104,0))</f>
        <v/>
      </c>
      <c r="S104" s="5" t="n"/>
      <c r="T104" s="5" t="n"/>
      <c r="U104" s="11">
        <f>IF(B104="","",TRIM(LOWER(C104)&amp;"|"&amp;LOWER(D104)))</f>
        <v/>
      </c>
    </row>
    <row r="105">
      <c r="A105" s="11">
        <f>IF(B105="","",TEXT(ROW()-3,"""DC-""0000"))</f>
        <v/>
      </c>
      <c r="B105" s="5" t="n"/>
      <c r="C105" s="5" t="n"/>
      <c r="D105" s="5" t="n"/>
      <c r="E105" s="5" t="n"/>
      <c r="F105" s="5" t="n"/>
      <c r="G105" s="5" t="n"/>
      <c r="H105" s="8" t="n"/>
      <c r="I105" s="8" t="n"/>
      <c r="J105" s="8" t="n"/>
      <c r="K105" s="11">
        <f>IF(B105="","",MAX(0,IFERROR(I105,0)*IFERROR(H105,0)-IFERROR(J105,0)))</f>
        <v/>
      </c>
      <c r="L105" s="8" t="n"/>
      <c r="M105" s="11">
        <f>IF(B105="","",MAX(0,K105-L105))</f>
        <v/>
      </c>
      <c r="N105" s="11">
        <f>IF(B105="","",IF(L105&gt;=K105,"Paid",IF(L105&gt;0,"Partial","Unpaid")))</f>
        <v/>
      </c>
      <c r="O105" s="5" t="n"/>
      <c r="P105" s="8" t="n"/>
      <c r="Q105" s="8" t="n"/>
      <c r="R105" s="11">
        <f>IF(B105="","",IFERROR(K105,0)+IFERROR(P105,0)-IFERROR(Q105,0))</f>
        <v/>
      </c>
      <c r="S105" s="5" t="n"/>
      <c r="T105" s="5" t="n"/>
      <c r="U105" s="11">
        <f>IF(B105="","",TRIM(LOWER(C105)&amp;"|"&amp;LOWER(D105)))</f>
        <v/>
      </c>
    </row>
    <row r="106">
      <c r="A106" s="11">
        <f>IF(B106="","",TEXT(ROW()-3,"""DC-""0000"))</f>
        <v/>
      </c>
      <c r="B106" s="5" t="n"/>
      <c r="C106" s="5" t="n"/>
      <c r="D106" s="5" t="n"/>
      <c r="E106" s="5" t="n"/>
      <c r="F106" s="5" t="n"/>
      <c r="G106" s="5" t="n"/>
      <c r="H106" s="8" t="n"/>
      <c r="I106" s="8" t="n"/>
      <c r="J106" s="8" t="n"/>
      <c r="K106" s="11">
        <f>IF(B106="","",MAX(0,IFERROR(I106,0)*IFERROR(H106,0)-IFERROR(J106,0)))</f>
        <v/>
      </c>
      <c r="L106" s="8" t="n"/>
      <c r="M106" s="11">
        <f>IF(B106="","",MAX(0,K106-L106))</f>
        <v/>
      </c>
      <c r="N106" s="11">
        <f>IF(B106="","",IF(L106&gt;=K106,"Paid",IF(L106&gt;0,"Partial","Unpaid")))</f>
        <v/>
      </c>
      <c r="O106" s="5" t="n"/>
      <c r="P106" s="8" t="n"/>
      <c r="Q106" s="8" t="n"/>
      <c r="R106" s="11">
        <f>IF(B106="","",IFERROR(K106,0)+IFERROR(P106,0)-IFERROR(Q106,0))</f>
        <v/>
      </c>
      <c r="S106" s="5" t="n"/>
      <c r="T106" s="5" t="n"/>
      <c r="U106" s="11">
        <f>IF(B106="","",TRIM(LOWER(C106)&amp;"|"&amp;LOWER(D106)))</f>
        <v/>
      </c>
    </row>
    <row r="107">
      <c r="A107" s="11">
        <f>IF(B107="","",TEXT(ROW()-3,"""DC-""0000"))</f>
        <v/>
      </c>
      <c r="B107" s="5" t="n"/>
      <c r="C107" s="5" t="n"/>
      <c r="D107" s="5" t="n"/>
      <c r="E107" s="5" t="n"/>
      <c r="F107" s="5" t="n"/>
      <c r="G107" s="5" t="n"/>
      <c r="H107" s="8" t="n"/>
      <c r="I107" s="8" t="n"/>
      <c r="J107" s="8" t="n"/>
      <c r="K107" s="11">
        <f>IF(B107="","",MAX(0,IFERROR(I107,0)*IFERROR(H107,0)-IFERROR(J107,0)))</f>
        <v/>
      </c>
      <c r="L107" s="8" t="n"/>
      <c r="M107" s="11">
        <f>IF(B107="","",MAX(0,K107-L107))</f>
        <v/>
      </c>
      <c r="N107" s="11">
        <f>IF(B107="","",IF(L107&gt;=K107,"Paid",IF(L107&gt;0,"Partial","Unpaid")))</f>
        <v/>
      </c>
      <c r="O107" s="5" t="n"/>
      <c r="P107" s="8" t="n"/>
      <c r="Q107" s="8" t="n"/>
      <c r="R107" s="11">
        <f>IF(B107="","",IFERROR(K107,0)+IFERROR(P107,0)-IFERROR(Q107,0))</f>
        <v/>
      </c>
      <c r="S107" s="5" t="n"/>
      <c r="T107" s="5" t="n"/>
      <c r="U107" s="11">
        <f>IF(B107="","",TRIM(LOWER(C107)&amp;"|"&amp;LOWER(D107)))</f>
        <v/>
      </c>
    </row>
    <row r="108">
      <c r="A108" s="11">
        <f>IF(B108="","",TEXT(ROW()-3,"""DC-""0000"))</f>
        <v/>
      </c>
      <c r="B108" s="5" t="n"/>
      <c r="C108" s="5" t="n"/>
      <c r="D108" s="5" t="n"/>
      <c r="E108" s="5" t="n"/>
      <c r="F108" s="5" t="n"/>
      <c r="G108" s="5" t="n"/>
      <c r="H108" s="8" t="n"/>
      <c r="I108" s="8" t="n"/>
      <c r="J108" s="8" t="n"/>
      <c r="K108" s="11">
        <f>IF(B108="","",MAX(0,IFERROR(I108,0)*IFERROR(H108,0)-IFERROR(J108,0)))</f>
        <v/>
      </c>
      <c r="L108" s="8" t="n"/>
      <c r="M108" s="11">
        <f>IF(B108="","",MAX(0,K108-L108))</f>
        <v/>
      </c>
      <c r="N108" s="11">
        <f>IF(B108="","",IF(L108&gt;=K108,"Paid",IF(L108&gt;0,"Partial","Unpaid")))</f>
        <v/>
      </c>
      <c r="O108" s="5" t="n"/>
      <c r="P108" s="8" t="n"/>
      <c r="Q108" s="8" t="n"/>
      <c r="R108" s="11">
        <f>IF(B108="","",IFERROR(K108,0)+IFERROR(P108,0)-IFERROR(Q108,0))</f>
        <v/>
      </c>
      <c r="S108" s="5" t="n"/>
      <c r="T108" s="5" t="n"/>
      <c r="U108" s="11">
        <f>IF(B108="","",TRIM(LOWER(C108)&amp;"|"&amp;LOWER(D108)))</f>
        <v/>
      </c>
    </row>
    <row r="109">
      <c r="A109" s="11">
        <f>IF(B109="","",TEXT(ROW()-3,"""DC-""0000"))</f>
        <v/>
      </c>
      <c r="B109" s="5" t="n"/>
      <c r="C109" s="5" t="n"/>
      <c r="D109" s="5" t="n"/>
      <c r="E109" s="5" t="n"/>
      <c r="F109" s="5" t="n"/>
      <c r="G109" s="5" t="n"/>
      <c r="H109" s="8" t="n"/>
      <c r="I109" s="8" t="n"/>
      <c r="J109" s="8" t="n"/>
      <c r="K109" s="11">
        <f>IF(B109="","",MAX(0,IFERROR(I109,0)*IFERROR(H109,0)-IFERROR(J109,0)))</f>
        <v/>
      </c>
      <c r="L109" s="8" t="n"/>
      <c r="M109" s="11">
        <f>IF(B109="","",MAX(0,K109-L109))</f>
        <v/>
      </c>
      <c r="N109" s="11">
        <f>IF(B109="","",IF(L109&gt;=K109,"Paid",IF(L109&gt;0,"Partial","Unpaid")))</f>
        <v/>
      </c>
      <c r="O109" s="5" t="n"/>
      <c r="P109" s="8" t="n"/>
      <c r="Q109" s="8" t="n"/>
      <c r="R109" s="11">
        <f>IF(B109="","",IFERROR(K109,0)+IFERROR(P109,0)-IFERROR(Q109,0))</f>
        <v/>
      </c>
      <c r="S109" s="5" t="n"/>
      <c r="T109" s="5" t="n"/>
      <c r="U109" s="11">
        <f>IF(B109="","",TRIM(LOWER(C109)&amp;"|"&amp;LOWER(D109)))</f>
        <v/>
      </c>
    </row>
    <row r="110">
      <c r="A110" s="11">
        <f>IF(B110="","",TEXT(ROW()-3,"""DC-""0000"))</f>
        <v/>
      </c>
      <c r="B110" s="5" t="n"/>
      <c r="C110" s="5" t="n"/>
      <c r="D110" s="5" t="n"/>
      <c r="E110" s="5" t="n"/>
      <c r="F110" s="5" t="n"/>
      <c r="G110" s="5" t="n"/>
      <c r="H110" s="8" t="n"/>
      <c r="I110" s="8" t="n"/>
      <c r="J110" s="8" t="n"/>
      <c r="K110" s="11">
        <f>IF(B110="","",MAX(0,IFERROR(I110,0)*IFERROR(H110,0)-IFERROR(J110,0)))</f>
        <v/>
      </c>
      <c r="L110" s="8" t="n"/>
      <c r="M110" s="11">
        <f>IF(B110="","",MAX(0,K110-L110))</f>
        <v/>
      </c>
      <c r="N110" s="11">
        <f>IF(B110="","",IF(L110&gt;=K110,"Paid",IF(L110&gt;0,"Partial","Unpaid")))</f>
        <v/>
      </c>
      <c r="O110" s="5" t="n"/>
      <c r="P110" s="8" t="n"/>
      <c r="Q110" s="8" t="n"/>
      <c r="R110" s="11">
        <f>IF(B110="","",IFERROR(K110,0)+IFERROR(P110,0)-IFERROR(Q110,0))</f>
        <v/>
      </c>
      <c r="S110" s="5" t="n"/>
      <c r="T110" s="5" t="n"/>
      <c r="U110" s="11">
        <f>IF(B110="","",TRIM(LOWER(C110)&amp;"|"&amp;LOWER(D110)))</f>
        <v/>
      </c>
    </row>
    <row r="111">
      <c r="A111" s="11">
        <f>IF(B111="","",TEXT(ROW()-3,"""DC-""0000"))</f>
        <v/>
      </c>
      <c r="B111" s="5" t="n"/>
      <c r="C111" s="5" t="n"/>
      <c r="D111" s="5" t="n"/>
      <c r="E111" s="5" t="n"/>
      <c r="F111" s="5" t="n"/>
      <c r="G111" s="5" t="n"/>
      <c r="H111" s="8" t="n"/>
      <c r="I111" s="8" t="n"/>
      <c r="J111" s="8" t="n"/>
      <c r="K111" s="11">
        <f>IF(B111="","",MAX(0,IFERROR(I111,0)*IFERROR(H111,0)-IFERROR(J111,0)))</f>
        <v/>
      </c>
      <c r="L111" s="8" t="n"/>
      <c r="M111" s="11">
        <f>IF(B111="","",MAX(0,K111-L111))</f>
        <v/>
      </c>
      <c r="N111" s="11">
        <f>IF(B111="","",IF(L111&gt;=K111,"Paid",IF(L111&gt;0,"Partial","Unpaid")))</f>
        <v/>
      </c>
      <c r="O111" s="5" t="n"/>
      <c r="P111" s="8" t="n"/>
      <c r="Q111" s="8" t="n"/>
      <c r="R111" s="11">
        <f>IF(B111="","",IFERROR(K111,0)+IFERROR(P111,0)-IFERROR(Q111,0))</f>
        <v/>
      </c>
      <c r="S111" s="5" t="n"/>
      <c r="T111" s="5" t="n"/>
      <c r="U111" s="11">
        <f>IF(B111="","",TRIM(LOWER(C111)&amp;"|"&amp;LOWER(D111)))</f>
        <v/>
      </c>
    </row>
    <row r="112">
      <c r="A112" s="11">
        <f>IF(B112="","",TEXT(ROW()-3,"""DC-""0000"))</f>
        <v/>
      </c>
      <c r="B112" s="5" t="n"/>
      <c r="C112" s="5" t="n"/>
      <c r="D112" s="5" t="n"/>
      <c r="E112" s="5" t="n"/>
      <c r="F112" s="5" t="n"/>
      <c r="G112" s="5" t="n"/>
      <c r="H112" s="8" t="n"/>
      <c r="I112" s="8" t="n"/>
      <c r="J112" s="8" t="n"/>
      <c r="K112" s="11">
        <f>IF(B112="","",MAX(0,IFERROR(I112,0)*IFERROR(H112,0)-IFERROR(J112,0)))</f>
        <v/>
      </c>
      <c r="L112" s="8" t="n"/>
      <c r="M112" s="11">
        <f>IF(B112="","",MAX(0,K112-L112))</f>
        <v/>
      </c>
      <c r="N112" s="11">
        <f>IF(B112="","",IF(L112&gt;=K112,"Paid",IF(L112&gt;0,"Partial","Unpaid")))</f>
        <v/>
      </c>
      <c r="O112" s="5" t="n"/>
      <c r="P112" s="8" t="n"/>
      <c r="Q112" s="8" t="n"/>
      <c r="R112" s="11">
        <f>IF(B112="","",IFERROR(K112,0)+IFERROR(P112,0)-IFERROR(Q112,0))</f>
        <v/>
      </c>
      <c r="S112" s="5" t="n"/>
      <c r="T112" s="5" t="n"/>
      <c r="U112" s="11">
        <f>IF(B112="","",TRIM(LOWER(C112)&amp;"|"&amp;LOWER(D112)))</f>
        <v/>
      </c>
    </row>
    <row r="113">
      <c r="A113" s="11">
        <f>IF(B113="","",TEXT(ROW()-3,"""DC-""0000"))</f>
        <v/>
      </c>
      <c r="B113" s="5" t="n"/>
      <c r="C113" s="5" t="n"/>
      <c r="D113" s="5" t="n"/>
      <c r="E113" s="5" t="n"/>
      <c r="F113" s="5" t="n"/>
      <c r="G113" s="5" t="n"/>
      <c r="H113" s="8" t="n"/>
      <c r="I113" s="8" t="n"/>
      <c r="J113" s="8" t="n"/>
      <c r="K113" s="11">
        <f>IF(B113="","",MAX(0,IFERROR(I113,0)*IFERROR(H113,0)-IFERROR(J113,0)))</f>
        <v/>
      </c>
      <c r="L113" s="8" t="n"/>
      <c r="M113" s="11">
        <f>IF(B113="","",MAX(0,K113-L113))</f>
        <v/>
      </c>
      <c r="N113" s="11">
        <f>IF(B113="","",IF(L113&gt;=K113,"Paid",IF(L113&gt;0,"Partial","Unpaid")))</f>
        <v/>
      </c>
      <c r="O113" s="5" t="n"/>
      <c r="P113" s="8" t="n"/>
      <c r="Q113" s="8" t="n"/>
      <c r="R113" s="11">
        <f>IF(B113="","",IFERROR(K113,0)+IFERROR(P113,0)-IFERROR(Q113,0))</f>
        <v/>
      </c>
      <c r="S113" s="5" t="n"/>
      <c r="T113" s="5" t="n"/>
      <c r="U113" s="11">
        <f>IF(B113="","",TRIM(LOWER(C113)&amp;"|"&amp;LOWER(D113)))</f>
        <v/>
      </c>
    </row>
    <row r="114">
      <c r="A114" s="11">
        <f>IF(B114="","",TEXT(ROW()-3,"""DC-""0000"))</f>
        <v/>
      </c>
      <c r="B114" s="5" t="n"/>
      <c r="C114" s="5" t="n"/>
      <c r="D114" s="5" t="n"/>
      <c r="E114" s="5" t="n"/>
      <c r="F114" s="5" t="n"/>
      <c r="G114" s="5" t="n"/>
      <c r="H114" s="8" t="n"/>
      <c r="I114" s="8" t="n"/>
      <c r="J114" s="8" t="n"/>
      <c r="K114" s="11">
        <f>IF(B114="","",MAX(0,IFERROR(I114,0)*IFERROR(H114,0)-IFERROR(J114,0)))</f>
        <v/>
      </c>
      <c r="L114" s="8" t="n"/>
      <c r="M114" s="11">
        <f>IF(B114="","",MAX(0,K114-L114))</f>
        <v/>
      </c>
      <c r="N114" s="11">
        <f>IF(B114="","",IF(L114&gt;=K114,"Paid",IF(L114&gt;0,"Partial","Unpaid")))</f>
        <v/>
      </c>
      <c r="O114" s="5" t="n"/>
      <c r="P114" s="8" t="n"/>
      <c r="Q114" s="8" t="n"/>
      <c r="R114" s="11">
        <f>IF(B114="","",IFERROR(K114,0)+IFERROR(P114,0)-IFERROR(Q114,0))</f>
        <v/>
      </c>
      <c r="S114" s="5" t="n"/>
      <c r="T114" s="5" t="n"/>
      <c r="U114" s="11">
        <f>IF(B114="","",TRIM(LOWER(C114)&amp;"|"&amp;LOWER(D114)))</f>
        <v/>
      </c>
    </row>
    <row r="115">
      <c r="A115" s="11">
        <f>IF(B115="","",TEXT(ROW()-3,"""DC-""0000"))</f>
        <v/>
      </c>
      <c r="B115" s="5" t="n"/>
      <c r="C115" s="5" t="n"/>
      <c r="D115" s="5" t="n"/>
      <c r="E115" s="5" t="n"/>
      <c r="F115" s="5" t="n"/>
      <c r="G115" s="5" t="n"/>
      <c r="H115" s="8" t="n"/>
      <c r="I115" s="8" t="n"/>
      <c r="J115" s="8" t="n"/>
      <c r="K115" s="11">
        <f>IF(B115="","",MAX(0,IFERROR(I115,0)*IFERROR(H115,0)-IFERROR(J115,0)))</f>
        <v/>
      </c>
      <c r="L115" s="8" t="n"/>
      <c r="M115" s="11">
        <f>IF(B115="","",MAX(0,K115-L115))</f>
        <v/>
      </c>
      <c r="N115" s="11">
        <f>IF(B115="","",IF(L115&gt;=K115,"Paid",IF(L115&gt;0,"Partial","Unpaid")))</f>
        <v/>
      </c>
      <c r="O115" s="5" t="n"/>
      <c r="P115" s="8" t="n"/>
      <c r="Q115" s="8" t="n"/>
      <c r="R115" s="11">
        <f>IF(B115="","",IFERROR(K115,0)+IFERROR(P115,0)-IFERROR(Q115,0))</f>
        <v/>
      </c>
      <c r="S115" s="5" t="n"/>
      <c r="T115" s="5" t="n"/>
      <c r="U115" s="11">
        <f>IF(B115="","",TRIM(LOWER(C115)&amp;"|"&amp;LOWER(D115)))</f>
        <v/>
      </c>
    </row>
    <row r="116">
      <c r="A116" s="11">
        <f>IF(B116="","",TEXT(ROW()-3,"""DC-""0000"))</f>
        <v/>
      </c>
      <c r="B116" s="5" t="n"/>
      <c r="C116" s="5" t="n"/>
      <c r="D116" s="5" t="n"/>
      <c r="E116" s="5" t="n"/>
      <c r="F116" s="5" t="n"/>
      <c r="G116" s="5" t="n"/>
      <c r="H116" s="8" t="n"/>
      <c r="I116" s="8" t="n"/>
      <c r="J116" s="8" t="n"/>
      <c r="K116" s="11">
        <f>IF(B116="","",MAX(0,IFERROR(I116,0)*IFERROR(H116,0)-IFERROR(J116,0)))</f>
        <v/>
      </c>
      <c r="L116" s="8" t="n"/>
      <c r="M116" s="11">
        <f>IF(B116="","",MAX(0,K116-L116))</f>
        <v/>
      </c>
      <c r="N116" s="11">
        <f>IF(B116="","",IF(L116&gt;=K116,"Paid",IF(L116&gt;0,"Partial","Unpaid")))</f>
        <v/>
      </c>
      <c r="O116" s="5" t="n"/>
      <c r="P116" s="8" t="n"/>
      <c r="Q116" s="8" t="n"/>
      <c r="R116" s="11">
        <f>IF(B116="","",IFERROR(K116,0)+IFERROR(P116,0)-IFERROR(Q116,0))</f>
        <v/>
      </c>
      <c r="S116" s="5" t="n"/>
      <c r="T116" s="5" t="n"/>
      <c r="U116" s="11">
        <f>IF(B116="","",TRIM(LOWER(C116)&amp;"|"&amp;LOWER(D116)))</f>
        <v/>
      </c>
    </row>
    <row r="117">
      <c r="A117" s="11">
        <f>IF(B117="","",TEXT(ROW()-3,"""DC-""0000"))</f>
        <v/>
      </c>
      <c r="B117" s="5" t="n"/>
      <c r="C117" s="5" t="n"/>
      <c r="D117" s="5" t="n"/>
      <c r="E117" s="5" t="n"/>
      <c r="F117" s="5" t="n"/>
      <c r="G117" s="5" t="n"/>
      <c r="H117" s="8" t="n"/>
      <c r="I117" s="8" t="n"/>
      <c r="J117" s="8" t="n"/>
      <c r="K117" s="11">
        <f>IF(B117="","",MAX(0,IFERROR(I117,0)*IFERROR(H117,0)-IFERROR(J117,0)))</f>
        <v/>
      </c>
      <c r="L117" s="8" t="n"/>
      <c r="M117" s="11">
        <f>IF(B117="","",MAX(0,K117-L117))</f>
        <v/>
      </c>
      <c r="N117" s="11">
        <f>IF(B117="","",IF(L117&gt;=K117,"Paid",IF(L117&gt;0,"Partial","Unpaid")))</f>
        <v/>
      </c>
      <c r="O117" s="5" t="n"/>
      <c r="P117" s="8" t="n"/>
      <c r="Q117" s="8" t="n"/>
      <c r="R117" s="11">
        <f>IF(B117="","",IFERROR(K117,0)+IFERROR(P117,0)-IFERROR(Q117,0))</f>
        <v/>
      </c>
      <c r="S117" s="5" t="n"/>
      <c r="T117" s="5" t="n"/>
      <c r="U117" s="11">
        <f>IF(B117="","",TRIM(LOWER(C117)&amp;"|"&amp;LOWER(D117)))</f>
        <v/>
      </c>
    </row>
    <row r="118">
      <c r="A118" s="11">
        <f>IF(B118="","",TEXT(ROW()-3,"""DC-""0000"))</f>
        <v/>
      </c>
      <c r="B118" s="5" t="n"/>
      <c r="C118" s="5" t="n"/>
      <c r="D118" s="5" t="n"/>
      <c r="E118" s="5" t="n"/>
      <c r="F118" s="5" t="n"/>
      <c r="G118" s="5" t="n"/>
      <c r="H118" s="8" t="n"/>
      <c r="I118" s="8" t="n"/>
      <c r="J118" s="8" t="n"/>
      <c r="K118" s="11">
        <f>IF(B118="","",MAX(0,IFERROR(I118,0)*IFERROR(H118,0)-IFERROR(J118,0)))</f>
        <v/>
      </c>
      <c r="L118" s="8" t="n"/>
      <c r="M118" s="11">
        <f>IF(B118="","",MAX(0,K118-L118))</f>
        <v/>
      </c>
      <c r="N118" s="11">
        <f>IF(B118="","",IF(L118&gt;=K118,"Paid",IF(L118&gt;0,"Partial","Unpaid")))</f>
        <v/>
      </c>
      <c r="O118" s="5" t="n"/>
      <c r="P118" s="8" t="n"/>
      <c r="Q118" s="8" t="n"/>
      <c r="R118" s="11">
        <f>IF(B118="","",IFERROR(K118,0)+IFERROR(P118,0)-IFERROR(Q118,0))</f>
        <v/>
      </c>
      <c r="S118" s="5" t="n"/>
      <c r="T118" s="5" t="n"/>
      <c r="U118" s="11">
        <f>IF(B118="","",TRIM(LOWER(C118)&amp;"|"&amp;LOWER(D118)))</f>
        <v/>
      </c>
    </row>
    <row r="119">
      <c r="A119" s="11">
        <f>IF(B119="","",TEXT(ROW()-3,"""DC-""0000"))</f>
        <v/>
      </c>
      <c r="B119" s="5" t="n"/>
      <c r="C119" s="5" t="n"/>
      <c r="D119" s="5" t="n"/>
      <c r="E119" s="5" t="n"/>
      <c r="F119" s="5" t="n"/>
      <c r="G119" s="5" t="n"/>
      <c r="H119" s="8" t="n"/>
      <c r="I119" s="8" t="n"/>
      <c r="J119" s="8" t="n"/>
      <c r="K119" s="11">
        <f>IF(B119="","",MAX(0,IFERROR(I119,0)*IFERROR(H119,0)-IFERROR(J119,0)))</f>
        <v/>
      </c>
      <c r="L119" s="8" t="n"/>
      <c r="M119" s="11">
        <f>IF(B119="","",MAX(0,K119-L119))</f>
        <v/>
      </c>
      <c r="N119" s="11">
        <f>IF(B119="","",IF(L119&gt;=K119,"Paid",IF(L119&gt;0,"Partial","Unpaid")))</f>
        <v/>
      </c>
      <c r="O119" s="5" t="n"/>
      <c r="P119" s="8" t="n"/>
      <c r="Q119" s="8" t="n"/>
      <c r="R119" s="11">
        <f>IF(B119="","",IFERROR(K119,0)+IFERROR(P119,0)-IFERROR(Q119,0))</f>
        <v/>
      </c>
      <c r="S119" s="5" t="n"/>
      <c r="T119" s="5" t="n"/>
      <c r="U119" s="11">
        <f>IF(B119="","",TRIM(LOWER(C119)&amp;"|"&amp;LOWER(D119)))</f>
        <v/>
      </c>
    </row>
    <row r="120">
      <c r="A120" s="11">
        <f>IF(B120="","",TEXT(ROW()-3,"""DC-""0000"))</f>
        <v/>
      </c>
      <c r="B120" s="5" t="n"/>
      <c r="C120" s="5" t="n"/>
      <c r="D120" s="5" t="n"/>
      <c r="E120" s="5" t="n"/>
      <c r="F120" s="5" t="n"/>
      <c r="G120" s="5" t="n"/>
      <c r="H120" s="8" t="n"/>
      <c r="I120" s="8" t="n"/>
      <c r="J120" s="8" t="n"/>
      <c r="K120" s="11">
        <f>IF(B120="","",MAX(0,IFERROR(I120,0)*IFERROR(H120,0)-IFERROR(J120,0)))</f>
        <v/>
      </c>
      <c r="L120" s="8" t="n"/>
      <c r="M120" s="11">
        <f>IF(B120="","",MAX(0,K120-L120))</f>
        <v/>
      </c>
      <c r="N120" s="11">
        <f>IF(B120="","",IF(L120&gt;=K120,"Paid",IF(L120&gt;0,"Partial","Unpaid")))</f>
        <v/>
      </c>
      <c r="O120" s="5" t="n"/>
      <c r="P120" s="8" t="n"/>
      <c r="Q120" s="8" t="n"/>
      <c r="R120" s="11">
        <f>IF(B120="","",IFERROR(K120,0)+IFERROR(P120,0)-IFERROR(Q120,0))</f>
        <v/>
      </c>
      <c r="S120" s="5" t="n"/>
      <c r="T120" s="5" t="n"/>
      <c r="U120" s="11">
        <f>IF(B120="","",TRIM(LOWER(C120)&amp;"|"&amp;LOWER(D120)))</f>
        <v/>
      </c>
    </row>
    <row r="121">
      <c r="A121" s="11">
        <f>IF(B121="","",TEXT(ROW()-3,"""DC-""0000"))</f>
        <v/>
      </c>
      <c r="B121" s="5" t="n"/>
      <c r="C121" s="5" t="n"/>
      <c r="D121" s="5" t="n"/>
      <c r="E121" s="5" t="n"/>
      <c r="F121" s="5" t="n"/>
      <c r="G121" s="5" t="n"/>
      <c r="H121" s="8" t="n"/>
      <c r="I121" s="8" t="n"/>
      <c r="J121" s="8" t="n"/>
      <c r="K121" s="11">
        <f>IF(B121="","",MAX(0,IFERROR(I121,0)*IFERROR(H121,0)-IFERROR(J121,0)))</f>
        <v/>
      </c>
      <c r="L121" s="8" t="n"/>
      <c r="M121" s="11">
        <f>IF(B121="","",MAX(0,K121-L121))</f>
        <v/>
      </c>
      <c r="N121" s="11">
        <f>IF(B121="","",IF(L121&gt;=K121,"Paid",IF(L121&gt;0,"Partial","Unpaid")))</f>
        <v/>
      </c>
      <c r="O121" s="5" t="n"/>
      <c r="P121" s="8" t="n"/>
      <c r="Q121" s="8" t="n"/>
      <c r="R121" s="11">
        <f>IF(B121="","",IFERROR(K121,0)+IFERROR(P121,0)-IFERROR(Q121,0))</f>
        <v/>
      </c>
      <c r="S121" s="5" t="n"/>
      <c r="T121" s="5" t="n"/>
      <c r="U121" s="11">
        <f>IF(B121="","",TRIM(LOWER(C121)&amp;"|"&amp;LOWER(D121)))</f>
        <v/>
      </c>
    </row>
    <row r="122">
      <c r="A122" s="11">
        <f>IF(B122="","",TEXT(ROW()-3,"""DC-""0000"))</f>
        <v/>
      </c>
      <c r="B122" s="5" t="n"/>
      <c r="C122" s="5" t="n"/>
      <c r="D122" s="5" t="n"/>
      <c r="E122" s="5" t="n"/>
      <c r="F122" s="5" t="n"/>
      <c r="G122" s="5" t="n"/>
      <c r="H122" s="8" t="n"/>
      <c r="I122" s="8" t="n"/>
      <c r="J122" s="8" t="n"/>
      <c r="K122" s="11">
        <f>IF(B122="","",MAX(0,IFERROR(I122,0)*IFERROR(H122,0)-IFERROR(J122,0)))</f>
        <v/>
      </c>
      <c r="L122" s="8" t="n"/>
      <c r="M122" s="11">
        <f>IF(B122="","",MAX(0,K122-L122))</f>
        <v/>
      </c>
      <c r="N122" s="11">
        <f>IF(B122="","",IF(L122&gt;=K122,"Paid",IF(L122&gt;0,"Partial","Unpaid")))</f>
        <v/>
      </c>
      <c r="O122" s="5" t="n"/>
      <c r="P122" s="8" t="n"/>
      <c r="Q122" s="8" t="n"/>
      <c r="R122" s="11">
        <f>IF(B122="","",IFERROR(K122,0)+IFERROR(P122,0)-IFERROR(Q122,0))</f>
        <v/>
      </c>
      <c r="S122" s="5" t="n"/>
      <c r="T122" s="5" t="n"/>
      <c r="U122" s="11">
        <f>IF(B122="","",TRIM(LOWER(C122)&amp;"|"&amp;LOWER(D122)))</f>
        <v/>
      </c>
    </row>
    <row r="123">
      <c r="A123" s="11">
        <f>IF(B123="","",TEXT(ROW()-3,"""DC-""0000"))</f>
        <v/>
      </c>
      <c r="B123" s="5" t="n"/>
      <c r="C123" s="5" t="n"/>
      <c r="D123" s="5" t="n"/>
      <c r="E123" s="5" t="n"/>
      <c r="F123" s="5" t="n"/>
      <c r="G123" s="5" t="n"/>
      <c r="H123" s="8" t="n"/>
      <c r="I123" s="8" t="n"/>
      <c r="J123" s="8" t="n"/>
      <c r="K123" s="11">
        <f>IF(B123="","",MAX(0,IFERROR(I123,0)*IFERROR(H123,0)-IFERROR(J123,0)))</f>
        <v/>
      </c>
      <c r="L123" s="8" t="n"/>
      <c r="M123" s="11">
        <f>IF(B123="","",MAX(0,K123-L123))</f>
        <v/>
      </c>
      <c r="N123" s="11">
        <f>IF(B123="","",IF(L123&gt;=K123,"Paid",IF(L123&gt;0,"Partial","Unpaid")))</f>
        <v/>
      </c>
      <c r="O123" s="5" t="n"/>
      <c r="P123" s="8" t="n"/>
      <c r="Q123" s="8" t="n"/>
      <c r="R123" s="11">
        <f>IF(B123="","",IFERROR(K123,0)+IFERROR(P123,0)-IFERROR(Q123,0))</f>
        <v/>
      </c>
      <c r="S123" s="5" t="n"/>
      <c r="T123" s="5" t="n"/>
      <c r="U123" s="11">
        <f>IF(B123="","",TRIM(LOWER(C123)&amp;"|"&amp;LOWER(D123)))</f>
        <v/>
      </c>
    </row>
    <row r="124">
      <c r="A124" s="11">
        <f>IF(B124="","",TEXT(ROW()-3,"""DC-""0000"))</f>
        <v/>
      </c>
      <c r="B124" s="5" t="n"/>
      <c r="C124" s="5" t="n"/>
      <c r="D124" s="5" t="n"/>
      <c r="E124" s="5" t="n"/>
      <c r="F124" s="5" t="n"/>
      <c r="G124" s="5" t="n"/>
      <c r="H124" s="8" t="n"/>
      <c r="I124" s="8" t="n"/>
      <c r="J124" s="8" t="n"/>
      <c r="K124" s="11">
        <f>IF(B124="","",MAX(0,IFERROR(I124,0)*IFERROR(H124,0)-IFERROR(J124,0)))</f>
        <v/>
      </c>
      <c r="L124" s="8" t="n"/>
      <c r="M124" s="11">
        <f>IF(B124="","",MAX(0,K124-L124))</f>
        <v/>
      </c>
      <c r="N124" s="11">
        <f>IF(B124="","",IF(L124&gt;=K124,"Paid",IF(L124&gt;0,"Partial","Unpaid")))</f>
        <v/>
      </c>
      <c r="O124" s="5" t="n"/>
      <c r="P124" s="8" t="n"/>
      <c r="Q124" s="8" t="n"/>
      <c r="R124" s="11">
        <f>IF(B124="","",IFERROR(K124,0)+IFERROR(P124,0)-IFERROR(Q124,0))</f>
        <v/>
      </c>
      <c r="S124" s="5" t="n"/>
      <c r="T124" s="5" t="n"/>
      <c r="U124" s="11">
        <f>IF(B124="","",TRIM(LOWER(C124)&amp;"|"&amp;LOWER(D124)))</f>
        <v/>
      </c>
    </row>
    <row r="125">
      <c r="A125" s="11">
        <f>IF(B125="","",TEXT(ROW()-3,"""DC-""0000"))</f>
        <v/>
      </c>
      <c r="B125" s="5" t="n"/>
      <c r="C125" s="5" t="n"/>
      <c r="D125" s="5" t="n"/>
      <c r="E125" s="5" t="n"/>
      <c r="F125" s="5" t="n"/>
      <c r="G125" s="5" t="n"/>
      <c r="H125" s="8" t="n"/>
      <c r="I125" s="8" t="n"/>
      <c r="J125" s="8" t="n"/>
      <c r="K125" s="11">
        <f>IF(B125="","",MAX(0,IFERROR(I125,0)*IFERROR(H125,0)-IFERROR(J125,0)))</f>
        <v/>
      </c>
      <c r="L125" s="8" t="n"/>
      <c r="M125" s="11">
        <f>IF(B125="","",MAX(0,K125-L125))</f>
        <v/>
      </c>
      <c r="N125" s="11">
        <f>IF(B125="","",IF(L125&gt;=K125,"Paid",IF(L125&gt;0,"Partial","Unpaid")))</f>
        <v/>
      </c>
      <c r="O125" s="5" t="n"/>
      <c r="P125" s="8" t="n"/>
      <c r="Q125" s="8" t="n"/>
      <c r="R125" s="11">
        <f>IF(B125="","",IFERROR(K125,0)+IFERROR(P125,0)-IFERROR(Q125,0))</f>
        <v/>
      </c>
      <c r="S125" s="5" t="n"/>
      <c r="T125" s="5" t="n"/>
      <c r="U125" s="11">
        <f>IF(B125="","",TRIM(LOWER(C125)&amp;"|"&amp;LOWER(D125)))</f>
        <v/>
      </c>
    </row>
    <row r="126">
      <c r="A126" s="11">
        <f>IF(B126="","",TEXT(ROW()-3,"""DC-""0000"))</f>
        <v/>
      </c>
      <c r="B126" s="5" t="n"/>
      <c r="C126" s="5" t="n"/>
      <c r="D126" s="5" t="n"/>
      <c r="E126" s="5" t="n"/>
      <c r="F126" s="5" t="n"/>
      <c r="G126" s="5" t="n"/>
      <c r="H126" s="8" t="n"/>
      <c r="I126" s="8" t="n"/>
      <c r="J126" s="8" t="n"/>
      <c r="K126" s="11">
        <f>IF(B126="","",MAX(0,IFERROR(I126,0)*IFERROR(H126,0)-IFERROR(J126,0)))</f>
        <v/>
      </c>
      <c r="L126" s="8" t="n"/>
      <c r="M126" s="11">
        <f>IF(B126="","",MAX(0,K126-L126))</f>
        <v/>
      </c>
      <c r="N126" s="11">
        <f>IF(B126="","",IF(L126&gt;=K126,"Paid",IF(L126&gt;0,"Partial","Unpaid")))</f>
        <v/>
      </c>
      <c r="O126" s="5" t="n"/>
      <c r="P126" s="8" t="n"/>
      <c r="Q126" s="8" t="n"/>
      <c r="R126" s="11">
        <f>IF(B126="","",IFERROR(K126,0)+IFERROR(P126,0)-IFERROR(Q126,0))</f>
        <v/>
      </c>
      <c r="S126" s="5" t="n"/>
      <c r="T126" s="5" t="n"/>
      <c r="U126" s="11">
        <f>IF(B126="","",TRIM(LOWER(C126)&amp;"|"&amp;LOWER(D126)))</f>
        <v/>
      </c>
    </row>
    <row r="127">
      <c r="A127" s="11">
        <f>IF(B127="","",TEXT(ROW()-3,"""DC-""0000"))</f>
        <v/>
      </c>
      <c r="B127" s="5" t="n"/>
      <c r="C127" s="5" t="n"/>
      <c r="D127" s="5" t="n"/>
      <c r="E127" s="5" t="n"/>
      <c r="F127" s="5" t="n"/>
      <c r="G127" s="5" t="n"/>
      <c r="H127" s="8" t="n"/>
      <c r="I127" s="8" t="n"/>
      <c r="J127" s="8" t="n"/>
      <c r="K127" s="11">
        <f>IF(B127="","",MAX(0,IFERROR(I127,0)*IFERROR(H127,0)-IFERROR(J127,0)))</f>
        <v/>
      </c>
      <c r="L127" s="8" t="n"/>
      <c r="M127" s="11">
        <f>IF(B127="","",MAX(0,K127-L127))</f>
        <v/>
      </c>
      <c r="N127" s="11">
        <f>IF(B127="","",IF(L127&gt;=K127,"Paid",IF(L127&gt;0,"Partial","Unpaid")))</f>
        <v/>
      </c>
      <c r="O127" s="5" t="n"/>
      <c r="P127" s="8" t="n"/>
      <c r="Q127" s="8" t="n"/>
      <c r="R127" s="11">
        <f>IF(B127="","",IFERROR(K127,0)+IFERROR(P127,0)-IFERROR(Q127,0))</f>
        <v/>
      </c>
      <c r="S127" s="5" t="n"/>
      <c r="T127" s="5" t="n"/>
      <c r="U127" s="11">
        <f>IF(B127="","",TRIM(LOWER(C127)&amp;"|"&amp;LOWER(D127)))</f>
        <v/>
      </c>
    </row>
    <row r="128">
      <c r="A128" s="11">
        <f>IF(B128="","",TEXT(ROW()-3,"""DC-""0000"))</f>
        <v/>
      </c>
      <c r="B128" s="5" t="n"/>
      <c r="C128" s="5" t="n"/>
      <c r="D128" s="5" t="n"/>
      <c r="E128" s="5" t="n"/>
      <c r="F128" s="5" t="n"/>
      <c r="G128" s="5" t="n"/>
      <c r="H128" s="8" t="n"/>
      <c r="I128" s="8" t="n"/>
      <c r="J128" s="8" t="n"/>
      <c r="K128" s="11">
        <f>IF(B128="","",MAX(0,IFERROR(I128,0)*IFERROR(H128,0)-IFERROR(J128,0)))</f>
        <v/>
      </c>
      <c r="L128" s="8" t="n"/>
      <c r="M128" s="11">
        <f>IF(B128="","",MAX(0,K128-L128))</f>
        <v/>
      </c>
      <c r="N128" s="11">
        <f>IF(B128="","",IF(L128&gt;=K128,"Paid",IF(L128&gt;0,"Partial","Unpaid")))</f>
        <v/>
      </c>
      <c r="O128" s="5" t="n"/>
      <c r="P128" s="8" t="n"/>
      <c r="Q128" s="8" t="n"/>
      <c r="R128" s="11">
        <f>IF(B128="","",IFERROR(K128,0)+IFERROR(P128,0)-IFERROR(Q128,0))</f>
        <v/>
      </c>
      <c r="S128" s="5" t="n"/>
      <c r="T128" s="5" t="n"/>
      <c r="U128" s="11">
        <f>IF(B128="","",TRIM(LOWER(C128)&amp;"|"&amp;LOWER(D128)))</f>
        <v/>
      </c>
    </row>
    <row r="129">
      <c r="A129" s="11">
        <f>IF(B129="","",TEXT(ROW()-3,"""DC-""0000"))</f>
        <v/>
      </c>
      <c r="B129" s="5" t="n"/>
      <c r="C129" s="5" t="n"/>
      <c r="D129" s="5" t="n"/>
      <c r="E129" s="5" t="n"/>
      <c r="F129" s="5" t="n"/>
      <c r="G129" s="5" t="n"/>
      <c r="H129" s="8" t="n"/>
      <c r="I129" s="8" t="n"/>
      <c r="J129" s="8" t="n"/>
      <c r="K129" s="11">
        <f>IF(B129="","",MAX(0,IFERROR(I129,0)*IFERROR(H129,0)-IFERROR(J129,0)))</f>
        <v/>
      </c>
      <c r="L129" s="8" t="n"/>
      <c r="M129" s="11">
        <f>IF(B129="","",MAX(0,K129-L129))</f>
        <v/>
      </c>
      <c r="N129" s="11">
        <f>IF(B129="","",IF(L129&gt;=K129,"Paid",IF(L129&gt;0,"Partial","Unpaid")))</f>
        <v/>
      </c>
      <c r="O129" s="5" t="n"/>
      <c r="P129" s="8" t="n"/>
      <c r="Q129" s="8" t="n"/>
      <c r="R129" s="11">
        <f>IF(B129="","",IFERROR(K129,0)+IFERROR(P129,0)-IFERROR(Q129,0))</f>
        <v/>
      </c>
      <c r="S129" s="5" t="n"/>
      <c r="T129" s="5" t="n"/>
      <c r="U129" s="11">
        <f>IF(B129="","",TRIM(LOWER(C129)&amp;"|"&amp;LOWER(D129)))</f>
        <v/>
      </c>
    </row>
    <row r="130">
      <c r="A130" s="11">
        <f>IF(B130="","",TEXT(ROW()-3,"""DC-""0000"))</f>
        <v/>
      </c>
      <c r="B130" s="5" t="n"/>
      <c r="C130" s="5" t="n"/>
      <c r="D130" s="5" t="n"/>
      <c r="E130" s="5" t="n"/>
      <c r="F130" s="5" t="n"/>
      <c r="G130" s="5" t="n"/>
      <c r="H130" s="8" t="n"/>
      <c r="I130" s="8" t="n"/>
      <c r="J130" s="8" t="n"/>
      <c r="K130" s="11">
        <f>IF(B130="","",MAX(0,IFERROR(I130,0)*IFERROR(H130,0)-IFERROR(J130,0)))</f>
        <v/>
      </c>
      <c r="L130" s="8" t="n"/>
      <c r="M130" s="11">
        <f>IF(B130="","",MAX(0,K130-L130))</f>
        <v/>
      </c>
      <c r="N130" s="11">
        <f>IF(B130="","",IF(L130&gt;=K130,"Paid",IF(L130&gt;0,"Partial","Unpaid")))</f>
        <v/>
      </c>
      <c r="O130" s="5" t="n"/>
      <c r="P130" s="8" t="n"/>
      <c r="Q130" s="8" t="n"/>
      <c r="R130" s="11">
        <f>IF(B130="","",IFERROR(K130,0)+IFERROR(P130,0)-IFERROR(Q130,0))</f>
        <v/>
      </c>
      <c r="S130" s="5" t="n"/>
      <c r="T130" s="5" t="n"/>
      <c r="U130" s="11">
        <f>IF(B130="","",TRIM(LOWER(C130)&amp;"|"&amp;LOWER(D130)))</f>
        <v/>
      </c>
    </row>
    <row r="131">
      <c r="A131" s="11">
        <f>IF(B131="","",TEXT(ROW()-3,"""DC-""0000"))</f>
        <v/>
      </c>
      <c r="B131" s="5" t="n"/>
      <c r="C131" s="5" t="n"/>
      <c r="D131" s="5" t="n"/>
      <c r="E131" s="5" t="n"/>
      <c r="F131" s="5" t="n"/>
      <c r="G131" s="5" t="n"/>
      <c r="H131" s="8" t="n"/>
      <c r="I131" s="8" t="n"/>
      <c r="J131" s="8" t="n"/>
      <c r="K131" s="11">
        <f>IF(B131="","",MAX(0,IFERROR(I131,0)*IFERROR(H131,0)-IFERROR(J131,0)))</f>
        <v/>
      </c>
      <c r="L131" s="8" t="n"/>
      <c r="M131" s="11">
        <f>IF(B131="","",MAX(0,K131-L131))</f>
        <v/>
      </c>
      <c r="N131" s="11">
        <f>IF(B131="","",IF(L131&gt;=K131,"Paid",IF(L131&gt;0,"Partial","Unpaid")))</f>
        <v/>
      </c>
      <c r="O131" s="5" t="n"/>
      <c r="P131" s="8" t="n"/>
      <c r="Q131" s="8" t="n"/>
      <c r="R131" s="11">
        <f>IF(B131="","",IFERROR(K131,0)+IFERROR(P131,0)-IFERROR(Q131,0))</f>
        <v/>
      </c>
      <c r="S131" s="5" t="n"/>
      <c r="T131" s="5" t="n"/>
      <c r="U131" s="11">
        <f>IF(B131="","",TRIM(LOWER(C131)&amp;"|"&amp;LOWER(D131)))</f>
        <v/>
      </c>
    </row>
    <row r="132">
      <c r="A132" s="11">
        <f>IF(B132="","",TEXT(ROW()-3,"""DC-""0000"))</f>
        <v/>
      </c>
      <c r="B132" s="5" t="n"/>
      <c r="C132" s="5" t="n"/>
      <c r="D132" s="5" t="n"/>
      <c r="E132" s="5" t="n"/>
      <c r="F132" s="5" t="n"/>
      <c r="G132" s="5" t="n"/>
      <c r="H132" s="8" t="n"/>
      <c r="I132" s="8" t="n"/>
      <c r="J132" s="8" t="n"/>
      <c r="K132" s="11">
        <f>IF(B132="","",MAX(0,IFERROR(I132,0)*IFERROR(H132,0)-IFERROR(J132,0)))</f>
        <v/>
      </c>
      <c r="L132" s="8" t="n"/>
      <c r="M132" s="11">
        <f>IF(B132="","",MAX(0,K132-L132))</f>
        <v/>
      </c>
      <c r="N132" s="11">
        <f>IF(B132="","",IF(L132&gt;=K132,"Paid",IF(L132&gt;0,"Partial","Unpaid")))</f>
        <v/>
      </c>
      <c r="O132" s="5" t="n"/>
      <c r="P132" s="8" t="n"/>
      <c r="Q132" s="8" t="n"/>
      <c r="R132" s="11">
        <f>IF(B132="","",IFERROR(K132,0)+IFERROR(P132,0)-IFERROR(Q132,0))</f>
        <v/>
      </c>
      <c r="S132" s="5" t="n"/>
      <c r="T132" s="5" t="n"/>
      <c r="U132" s="11">
        <f>IF(B132="","",TRIM(LOWER(C132)&amp;"|"&amp;LOWER(D132)))</f>
        <v/>
      </c>
    </row>
    <row r="133">
      <c r="A133" s="11">
        <f>IF(B133="","",TEXT(ROW()-3,"""DC-""0000"))</f>
        <v/>
      </c>
      <c r="B133" s="5" t="n"/>
      <c r="C133" s="5" t="n"/>
      <c r="D133" s="5" t="n"/>
      <c r="E133" s="5" t="n"/>
      <c r="F133" s="5" t="n"/>
      <c r="G133" s="5" t="n"/>
      <c r="H133" s="8" t="n"/>
      <c r="I133" s="8" t="n"/>
      <c r="J133" s="8" t="n"/>
      <c r="K133" s="11">
        <f>IF(B133="","",MAX(0,IFERROR(I133,0)*IFERROR(H133,0)-IFERROR(J133,0)))</f>
        <v/>
      </c>
      <c r="L133" s="8" t="n"/>
      <c r="M133" s="11">
        <f>IF(B133="","",MAX(0,K133-L133))</f>
        <v/>
      </c>
      <c r="N133" s="11">
        <f>IF(B133="","",IF(L133&gt;=K133,"Paid",IF(L133&gt;0,"Partial","Unpaid")))</f>
        <v/>
      </c>
      <c r="O133" s="5" t="n"/>
      <c r="P133" s="8" t="n"/>
      <c r="Q133" s="8" t="n"/>
      <c r="R133" s="11">
        <f>IF(B133="","",IFERROR(K133,0)+IFERROR(P133,0)-IFERROR(Q133,0))</f>
        <v/>
      </c>
      <c r="S133" s="5" t="n"/>
      <c r="T133" s="5" t="n"/>
      <c r="U133" s="11">
        <f>IF(B133="","",TRIM(LOWER(C133)&amp;"|"&amp;LOWER(D133)))</f>
        <v/>
      </c>
    </row>
    <row r="134">
      <c r="A134" s="11">
        <f>IF(B134="","",TEXT(ROW()-3,"""DC-""0000"))</f>
        <v/>
      </c>
      <c r="B134" s="5" t="n"/>
      <c r="C134" s="5" t="n"/>
      <c r="D134" s="5" t="n"/>
      <c r="E134" s="5" t="n"/>
      <c r="F134" s="5" t="n"/>
      <c r="G134" s="5" t="n"/>
      <c r="H134" s="8" t="n"/>
      <c r="I134" s="8" t="n"/>
      <c r="J134" s="8" t="n"/>
      <c r="K134" s="11">
        <f>IF(B134="","",MAX(0,IFERROR(I134,0)*IFERROR(H134,0)-IFERROR(J134,0)))</f>
        <v/>
      </c>
      <c r="L134" s="8" t="n"/>
      <c r="M134" s="11">
        <f>IF(B134="","",MAX(0,K134-L134))</f>
        <v/>
      </c>
      <c r="N134" s="11">
        <f>IF(B134="","",IF(L134&gt;=K134,"Paid",IF(L134&gt;0,"Partial","Unpaid")))</f>
        <v/>
      </c>
      <c r="O134" s="5" t="n"/>
      <c r="P134" s="8" t="n"/>
      <c r="Q134" s="8" t="n"/>
      <c r="R134" s="11">
        <f>IF(B134="","",IFERROR(K134,0)+IFERROR(P134,0)-IFERROR(Q134,0))</f>
        <v/>
      </c>
      <c r="S134" s="5" t="n"/>
      <c r="T134" s="5" t="n"/>
      <c r="U134" s="11">
        <f>IF(B134="","",TRIM(LOWER(C134)&amp;"|"&amp;LOWER(D134)))</f>
        <v/>
      </c>
    </row>
    <row r="135">
      <c r="A135" s="11">
        <f>IF(B135="","",TEXT(ROW()-3,"""DC-""0000"))</f>
        <v/>
      </c>
      <c r="B135" s="5" t="n"/>
      <c r="C135" s="5" t="n"/>
      <c r="D135" s="5" t="n"/>
      <c r="E135" s="5" t="n"/>
      <c r="F135" s="5" t="n"/>
      <c r="G135" s="5" t="n"/>
      <c r="H135" s="8" t="n"/>
      <c r="I135" s="8" t="n"/>
      <c r="J135" s="8" t="n"/>
      <c r="K135" s="11">
        <f>IF(B135="","",MAX(0,IFERROR(I135,0)*IFERROR(H135,0)-IFERROR(J135,0)))</f>
        <v/>
      </c>
      <c r="L135" s="8" t="n"/>
      <c r="M135" s="11">
        <f>IF(B135="","",MAX(0,K135-L135))</f>
        <v/>
      </c>
      <c r="N135" s="11">
        <f>IF(B135="","",IF(L135&gt;=K135,"Paid",IF(L135&gt;0,"Partial","Unpaid")))</f>
        <v/>
      </c>
      <c r="O135" s="5" t="n"/>
      <c r="P135" s="8" t="n"/>
      <c r="Q135" s="8" t="n"/>
      <c r="R135" s="11">
        <f>IF(B135="","",IFERROR(K135,0)+IFERROR(P135,0)-IFERROR(Q135,0))</f>
        <v/>
      </c>
      <c r="S135" s="5" t="n"/>
      <c r="T135" s="5" t="n"/>
      <c r="U135" s="11">
        <f>IF(B135="","",TRIM(LOWER(C135)&amp;"|"&amp;LOWER(D135)))</f>
        <v/>
      </c>
    </row>
    <row r="136">
      <c r="A136" s="11">
        <f>IF(B136="","",TEXT(ROW()-3,"""DC-""0000"))</f>
        <v/>
      </c>
      <c r="B136" s="5" t="n"/>
      <c r="C136" s="5" t="n"/>
      <c r="D136" s="5" t="n"/>
      <c r="E136" s="5" t="n"/>
      <c r="F136" s="5" t="n"/>
      <c r="G136" s="5" t="n"/>
      <c r="H136" s="8" t="n"/>
      <c r="I136" s="8" t="n"/>
      <c r="J136" s="8" t="n"/>
      <c r="K136" s="11">
        <f>IF(B136="","",MAX(0,IFERROR(I136,0)*IFERROR(H136,0)-IFERROR(J136,0)))</f>
        <v/>
      </c>
      <c r="L136" s="8" t="n"/>
      <c r="M136" s="11">
        <f>IF(B136="","",MAX(0,K136-L136))</f>
        <v/>
      </c>
      <c r="N136" s="11">
        <f>IF(B136="","",IF(L136&gt;=K136,"Paid",IF(L136&gt;0,"Partial","Unpaid")))</f>
        <v/>
      </c>
      <c r="O136" s="5" t="n"/>
      <c r="P136" s="8" t="n"/>
      <c r="Q136" s="8" t="n"/>
      <c r="R136" s="11">
        <f>IF(B136="","",IFERROR(K136,0)+IFERROR(P136,0)-IFERROR(Q136,0))</f>
        <v/>
      </c>
      <c r="S136" s="5" t="n"/>
      <c r="T136" s="5" t="n"/>
      <c r="U136" s="11">
        <f>IF(B136="","",TRIM(LOWER(C136)&amp;"|"&amp;LOWER(D136)))</f>
        <v/>
      </c>
    </row>
    <row r="137">
      <c r="A137" s="11">
        <f>IF(B137="","",TEXT(ROW()-3,"""DC-""0000"))</f>
        <v/>
      </c>
      <c r="B137" s="5" t="n"/>
      <c r="C137" s="5" t="n"/>
      <c r="D137" s="5" t="n"/>
      <c r="E137" s="5" t="n"/>
      <c r="F137" s="5" t="n"/>
      <c r="G137" s="5" t="n"/>
      <c r="H137" s="8" t="n"/>
      <c r="I137" s="8" t="n"/>
      <c r="J137" s="8" t="n"/>
      <c r="K137" s="11">
        <f>IF(B137="","",MAX(0,IFERROR(I137,0)*IFERROR(H137,0)-IFERROR(J137,0)))</f>
        <v/>
      </c>
      <c r="L137" s="8" t="n"/>
      <c r="M137" s="11">
        <f>IF(B137="","",MAX(0,K137-L137))</f>
        <v/>
      </c>
      <c r="N137" s="11">
        <f>IF(B137="","",IF(L137&gt;=K137,"Paid",IF(L137&gt;0,"Partial","Unpaid")))</f>
        <v/>
      </c>
      <c r="O137" s="5" t="n"/>
      <c r="P137" s="8" t="n"/>
      <c r="Q137" s="8" t="n"/>
      <c r="R137" s="11">
        <f>IF(B137="","",IFERROR(K137,0)+IFERROR(P137,0)-IFERROR(Q137,0))</f>
        <v/>
      </c>
      <c r="S137" s="5" t="n"/>
      <c r="T137" s="5" t="n"/>
      <c r="U137" s="11">
        <f>IF(B137="","",TRIM(LOWER(C137)&amp;"|"&amp;LOWER(D137)))</f>
        <v/>
      </c>
    </row>
    <row r="138">
      <c r="A138" s="11">
        <f>IF(B138="","",TEXT(ROW()-3,"""DC-""0000"))</f>
        <v/>
      </c>
      <c r="B138" s="5" t="n"/>
      <c r="C138" s="5" t="n"/>
      <c r="D138" s="5" t="n"/>
      <c r="E138" s="5" t="n"/>
      <c r="F138" s="5" t="n"/>
      <c r="G138" s="5" t="n"/>
      <c r="H138" s="8" t="n"/>
      <c r="I138" s="8" t="n"/>
      <c r="J138" s="8" t="n"/>
      <c r="K138" s="11">
        <f>IF(B138="","",MAX(0,IFERROR(I138,0)*IFERROR(H138,0)-IFERROR(J138,0)))</f>
        <v/>
      </c>
      <c r="L138" s="8" t="n"/>
      <c r="M138" s="11">
        <f>IF(B138="","",MAX(0,K138-L138))</f>
        <v/>
      </c>
      <c r="N138" s="11">
        <f>IF(B138="","",IF(L138&gt;=K138,"Paid",IF(L138&gt;0,"Partial","Unpaid")))</f>
        <v/>
      </c>
      <c r="O138" s="5" t="n"/>
      <c r="P138" s="8" t="n"/>
      <c r="Q138" s="8" t="n"/>
      <c r="R138" s="11">
        <f>IF(B138="","",IFERROR(K138,0)+IFERROR(P138,0)-IFERROR(Q138,0))</f>
        <v/>
      </c>
      <c r="S138" s="5" t="n"/>
      <c r="T138" s="5" t="n"/>
      <c r="U138" s="11">
        <f>IF(B138="","",TRIM(LOWER(C138)&amp;"|"&amp;LOWER(D138)))</f>
        <v/>
      </c>
    </row>
    <row r="139">
      <c r="A139" s="11">
        <f>IF(B139="","",TEXT(ROW()-3,"""DC-""0000"))</f>
        <v/>
      </c>
      <c r="B139" s="5" t="n"/>
      <c r="C139" s="5" t="n"/>
      <c r="D139" s="5" t="n"/>
      <c r="E139" s="5" t="n"/>
      <c r="F139" s="5" t="n"/>
      <c r="G139" s="5" t="n"/>
      <c r="H139" s="8" t="n"/>
      <c r="I139" s="8" t="n"/>
      <c r="J139" s="8" t="n"/>
      <c r="K139" s="11">
        <f>IF(B139="","",MAX(0,IFERROR(I139,0)*IFERROR(H139,0)-IFERROR(J139,0)))</f>
        <v/>
      </c>
      <c r="L139" s="8" t="n"/>
      <c r="M139" s="11">
        <f>IF(B139="","",MAX(0,K139-L139))</f>
        <v/>
      </c>
      <c r="N139" s="11">
        <f>IF(B139="","",IF(L139&gt;=K139,"Paid",IF(L139&gt;0,"Partial","Unpaid")))</f>
        <v/>
      </c>
      <c r="O139" s="5" t="n"/>
      <c r="P139" s="8" t="n"/>
      <c r="Q139" s="8" t="n"/>
      <c r="R139" s="11">
        <f>IF(B139="","",IFERROR(K139,0)+IFERROR(P139,0)-IFERROR(Q139,0))</f>
        <v/>
      </c>
      <c r="S139" s="5" t="n"/>
      <c r="T139" s="5" t="n"/>
      <c r="U139" s="11">
        <f>IF(B139="","",TRIM(LOWER(C139)&amp;"|"&amp;LOWER(D139)))</f>
        <v/>
      </c>
    </row>
    <row r="140">
      <c r="A140" s="11">
        <f>IF(B140="","",TEXT(ROW()-3,"""DC-""0000"))</f>
        <v/>
      </c>
      <c r="B140" s="5" t="n"/>
      <c r="C140" s="5" t="n"/>
      <c r="D140" s="5" t="n"/>
      <c r="E140" s="5" t="n"/>
      <c r="F140" s="5" t="n"/>
      <c r="G140" s="5" t="n"/>
      <c r="H140" s="8" t="n"/>
      <c r="I140" s="8" t="n"/>
      <c r="J140" s="8" t="n"/>
      <c r="K140" s="11">
        <f>IF(B140="","",MAX(0,IFERROR(I140,0)*IFERROR(H140,0)-IFERROR(J140,0)))</f>
        <v/>
      </c>
      <c r="L140" s="8" t="n"/>
      <c r="M140" s="11">
        <f>IF(B140="","",MAX(0,K140-L140))</f>
        <v/>
      </c>
      <c r="N140" s="11">
        <f>IF(B140="","",IF(L140&gt;=K140,"Paid",IF(L140&gt;0,"Partial","Unpaid")))</f>
        <v/>
      </c>
      <c r="O140" s="5" t="n"/>
      <c r="P140" s="8" t="n"/>
      <c r="Q140" s="8" t="n"/>
      <c r="R140" s="11">
        <f>IF(B140="","",IFERROR(K140,0)+IFERROR(P140,0)-IFERROR(Q140,0))</f>
        <v/>
      </c>
      <c r="S140" s="5" t="n"/>
      <c r="T140" s="5" t="n"/>
      <c r="U140" s="11">
        <f>IF(B140="","",TRIM(LOWER(C140)&amp;"|"&amp;LOWER(D140)))</f>
        <v/>
      </c>
    </row>
    <row r="141">
      <c r="A141" s="11">
        <f>IF(B141="","",TEXT(ROW()-3,"""DC-""0000"))</f>
        <v/>
      </c>
      <c r="B141" s="5" t="n"/>
      <c r="C141" s="5" t="n"/>
      <c r="D141" s="5" t="n"/>
      <c r="E141" s="5" t="n"/>
      <c r="F141" s="5" t="n"/>
      <c r="G141" s="5" t="n"/>
      <c r="H141" s="8" t="n"/>
      <c r="I141" s="8" t="n"/>
      <c r="J141" s="8" t="n"/>
      <c r="K141" s="11">
        <f>IF(B141="","",MAX(0,IFERROR(I141,0)*IFERROR(H141,0)-IFERROR(J141,0)))</f>
        <v/>
      </c>
      <c r="L141" s="8" t="n"/>
      <c r="M141" s="11">
        <f>IF(B141="","",MAX(0,K141-L141))</f>
        <v/>
      </c>
      <c r="N141" s="11">
        <f>IF(B141="","",IF(L141&gt;=K141,"Paid",IF(L141&gt;0,"Partial","Unpaid")))</f>
        <v/>
      </c>
      <c r="O141" s="5" t="n"/>
      <c r="P141" s="8" t="n"/>
      <c r="Q141" s="8" t="n"/>
      <c r="R141" s="11">
        <f>IF(B141="","",IFERROR(K141,0)+IFERROR(P141,0)-IFERROR(Q141,0))</f>
        <v/>
      </c>
      <c r="S141" s="5" t="n"/>
      <c r="T141" s="5" t="n"/>
      <c r="U141" s="11">
        <f>IF(B141="","",TRIM(LOWER(C141)&amp;"|"&amp;LOWER(D141)))</f>
        <v/>
      </c>
    </row>
    <row r="142">
      <c r="A142" s="11">
        <f>IF(B142="","",TEXT(ROW()-3,"""DC-""0000"))</f>
        <v/>
      </c>
      <c r="B142" s="5" t="n"/>
      <c r="C142" s="5" t="n"/>
      <c r="D142" s="5" t="n"/>
      <c r="E142" s="5" t="n"/>
      <c r="F142" s="5" t="n"/>
      <c r="G142" s="5" t="n"/>
      <c r="H142" s="8" t="n"/>
      <c r="I142" s="8" t="n"/>
      <c r="J142" s="8" t="n"/>
      <c r="K142" s="11">
        <f>IF(B142="","",MAX(0,IFERROR(I142,0)*IFERROR(H142,0)-IFERROR(J142,0)))</f>
        <v/>
      </c>
      <c r="L142" s="8" t="n"/>
      <c r="M142" s="11">
        <f>IF(B142="","",MAX(0,K142-L142))</f>
        <v/>
      </c>
      <c r="N142" s="11">
        <f>IF(B142="","",IF(L142&gt;=K142,"Paid",IF(L142&gt;0,"Partial","Unpaid")))</f>
        <v/>
      </c>
      <c r="O142" s="5" t="n"/>
      <c r="P142" s="8" t="n"/>
      <c r="Q142" s="8" t="n"/>
      <c r="R142" s="11">
        <f>IF(B142="","",IFERROR(K142,0)+IFERROR(P142,0)-IFERROR(Q142,0))</f>
        <v/>
      </c>
      <c r="S142" s="5" t="n"/>
      <c r="T142" s="5" t="n"/>
      <c r="U142" s="11">
        <f>IF(B142="","",TRIM(LOWER(C142)&amp;"|"&amp;LOWER(D142)))</f>
        <v/>
      </c>
    </row>
    <row r="143">
      <c r="A143" s="11">
        <f>IF(B143="","",TEXT(ROW()-3,"""DC-""0000"))</f>
        <v/>
      </c>
      <c r="B143" s="5" t="n"/>
      <c r="C143" s="5" t="n"/>
      <c r="D143" s="5" t="n"/>
      <c r="E143" s="5" t="n"/>
      <c r="F143" s="5" t="n"/>
      <c r="G143" s="5" t="n"/>
      <c r="H143" s="8" t="n"/>
      <c r="I143" s="8" t="n"/>
      <c r="J143" s="8" t="n"/>
      <c r="K143" s="11">
        <f>IF(B143="","",MAX(0,IFERROR(I143,0)*IFERROR(H143,0)-IFERROR(J143,0)))</f>
        <v/>
      </c>
      <c r="L143" s="8" t="n"/>
      <c r="M143" s="11">
        <f>IF(B143="","",MAX(0,K143-L143))</f>
        <v/>
      </c>
      <c r="N143" s="11">
        <f>IF(B143="","",IF(L143&gt;=K143,"Paid",IF(L143&gt;0,"Partial","Unpaid")))</f>
        <v/>
      </c>
      <c r="O143" s="5" t="n"/>
      <c r="P143" s="8" t="n"/>
      <c r="Q143" s="8" t="n"/>
      <c r="R143" s="11">
        <f>IF(B143="","",IFERROR(K143,0)+IFERROR(P143,0)-IFERROR(Q143,0))</f>
        <v/>
      </c>
      <c r="S143" s="5" t="n"/>
      <c r="T143" s="5" t="n"/>
      <c r="U143" s="11">
        <f>IF(B143="","",TRIM(LOWER(C143)&amp;"|"&amp;LOWER(D143)))</f>
        <v/>
      </c>
    </row>
    <row r="144">
      <c r="A144" s="11">
        <f>IF(B144="","",TEXT(ROW()-3,"""DC-""0000"))</f>
        <v/>
      </c>
      <c r="B144" s="5" t="n"/>
      <c r="C144" s="5" t="n"/>
      <c r="D144" s="5" t="n"/>
      <c r="E144" s="5" t="n"/>
      <c r="F144" s="5" t="n"/>
      <c r="G144" s="5" t="n"/>
      <c r="H144" s="8" t="n"/>
      <c r="I144" s="8" t="n"/>
      <c r="J144" s="8" t="n"/>
      <c r="K144" s="11">
        <f>IF(B144="","",MAX(0,IFERROR(I144,0)*IFERROR(H144,0)-IFERROR(J144,0)))</f>
        <v/>
      </c>
      <c r="L144" s="8" t="n"/>
      <c r="M144" s="11">
        <f>IF(B144="","",MAX(0,K144-L144))</f>
        <v/>
      </c>
      <c r="N144" s="11">
        <f>IF(B144="","",IF(L144&gt;=K144,"Paid",IF(L144&gt;0,"Partial","Unpaid")))</f>
        <v/>
      </c>
      <c r="O144" s="5" t="n"/>
      <c r="P144" s="8" t="n"/>
      <c r="Q144" s="8" t="n"/>
      <c r="R144" s="11">
        <f>IF(B144="","",IFERROR(K144,0)+IFERROR(P144,0)-IFERROR(Q144,0))</f>
        <v/>
      </c>
      <c r="S144" s="5" t="n"/>
      <c r="T144" s="5" t="n"/>
      <c r="U144" s="11">
        <f>IF(B144="","",TRIM(LOWER(C144)&amp;"|"&amp;LOWER(D144)))</f>
        <v/>
      </c>
    </row>
    <row r="145">
      <c r="A145" s="11">
        <f>IF(B145="","",TEXT(ROW()-3,"""DC-""0000"))</f>
        <v/>
      </c>
      <c r="B145" s="5" t="n"/>
      <c r="C145" s="5" t="n"/>
      <c r="D145" s="5" t="n"/>
      <c r="E145" s="5" t="n"/>
      <c r="F145" s="5" t="n"/>
      <c r="G145" s="5" t="n"/>
      <c r="H145" s="8" t="n"/>
      <c r="I145" s="8" t="n"/>
      <c r="J145" s="8" t="n"/>
      <c r="K145" s="11">
        <f>IF(B145="","",MAX(0,IFERROR(I145,0)*IFERROR(H145,0)-IFERROR(J145,0)))</f>
        <v/>
      </c>
      <c r="L145" s="8" t="n"/>
      <c r="M145" s="11">
        <f>IF(B145="","",MAX(0,K145-L145))</f>
        <v/>
      </c>
      <c r="N145" s="11">
        <f>IF(B145="","",IF(L145&gt;=K145,"Paid",IF(L145&gt;0,"Partial","Unpaid")))</f>
        <v/>
      </c>
      <c r="O145" s="5" t="n"/>
      <c r="P145" s="8" t="n"/>
      <c r="Q145" s="8" t="n"/>
      <c r="R145" s="11">
        <f>IF(B145="","",IFERROR(K145,0)+IFERROR(P145,0)-IFERROR(Q145,0))</f>
        <v/>
      </c>
      <c r="S145" s="5" t="n"/>
      <c r="T145" s="5" t="n"/>
      <c r="U145" s="11">
        <f>IF(B145="","",TRIM(LOWER(C145)&amp;"|"&amp;LOWER(D145)))</f>
        <v/>
      </c>
    </row>
    <row r="146">
      <c r="A146" s="11">
        <f>IF(B146="","",TEXT(ROW()-3,"""DC-""0000"))</f>
        <v/>
      </c>
      <c r="B146" s="5" t="n"/>
      <c r="C146" s="5" t="n"/>
      <c r="D146" s="5" t="n"/>
      <c r="E146" s="5" t="n"/>
      <c r="F146" s="5" t="n"/>
      <c r="G146" s="5" t="n"/>
      <c r="H146" s="8" t="n"/>
      <c r="I146" s="8" t="n"/>
      <c r="J146" s="8" t="n"/>
      <c r="K146" s="11">
        <f>IF(B146="","",MAX(0,IFERROR(I146,0)*IFERROR(H146,0)-IFERROR(J146,0)))</f>
        <v/>
      </c>
      <c r="L146" s="8" t="n"/>
      <c r="M146" s="11">
        <f>IF(B146="","",MAX(0,K146-L146))</f>
        <v/>
      </c>
      <c r="N146" s="11">
        <f>IF(B146="","",IF(L146&gt;=K146,"Paid",IF(L146&gt;0,"Partial","Unpaid")))</f>
        <v/>
      </c>
      <c r="O146" s="5" t="n"/>
      <c r="P146" s="8" t="n"/>
      <c r="Q146" s="8" t="n"/>
      <c r="R146" s="11">
        <f>IF(B146="","",IFERROR(K146,0)+IFERROR(P146,0)-IFERROR(Q146,0))</f>
        <v/>
      </c>
      <c r="S146" s="5" t="n"/>
      <c r="T146" s="5" t="n"/>
      <c r="U146" s="11">
        <f>IF(B146="","",TRIM(LOWER(C146)&amp;"|"&amp;LOWER(D146)))</f>
        <v/>
      </c>
    </row>
    <row r="147">
      <c r="A147" s="11">
        <f>IF(B147="","",TEXT(ROW()-3,"""DC-""0000"))</f>
        <v/>
      </c>
      <c r="B147" s="5" t="n"/>
      <c r="C147" s="5" t="n"/>
      <c r="D147" s="5" t="n"/>
      <c r="E147" s="5" t="n"/>
      <c r="F147" s="5" t="n"/>
      <c r="G147" s="5" t="n"/>
      <c r="H147" s="8" t="n"/>
      <c r="I147" s="8" t="n"/>
      <c r="J147" s="8" t="n"/>
      <c r="K147" s="11">
        <f>IF(B147="","",MAX(0,IFERROR(I147,0)*IFERROR(H147,0)-IFERROR(J147,0)))</f>
        <v/>
      </c>
      <c r="L147" s="8" t="n"/>
      <c r="M147" s="11">
        <f>IF(B147="","",MAX(0,K147-L147))</f>
        <v/>
      </c>
      <c r="N147" s="11">
        <f>IF(B147="","",IF(L147&gt;=K147,"Paid",IF(L147&gt;0,"Partial","Unpaid")))</f>
        <v/>
      </c>
      <c r="O147" s="5" t="n"/>
      <c r="P147" s="8" t="n"/>
      <c r="Q147" s="8" t="n"/>
      <c r="R147" s="11">
        <f>IF(B147="","",IFERROR(K147,0)+IFERROR(P147,0)-IFERROR(Q147,0))</f>
        <v/>
      </c>
      <c r="S147" s="5" t="n"/>
      <c r="T147" s="5" t="n"/>
      <c r="U147" s="11">
        <f>IF(B147="","",TRIM(LOWER(C147)&amp;"|"&amp;LOWER(D147)))</f>
        <v/>
      </c>
    </row>
    <row r="148">
      <c r="A148" s="11">
        <f>IF(B148="","",TEXT(ROW()-3,"""DC-""0000"))</f>
        <v/>
      </c>
      <c r="B148" s="5" t="n"/>
      <c r="C148" s="5" t="n"/>
      <c r="D148" s="5" t="n"/>
      <c r="E148" s="5" t="n"/>
      <c r="F148" s="5" t="n"/>
      <c r="G148" s="5" t="n"/>
      <c r="H148" s="8" t="n"/>
      <c r="I148" s="8" t="n"/>
      <c r="J148" s="8" t="n"/>
      <c r="K148" s="11">
        <f>IF(B148="","",MAX(0,IFERROR(I148,0)*IFERROR(H148,0)-IFERROR(J148,0)))</f>
        <v/>
      </c>
      <c r="L148" s="8" t="n"/>
      <c r="M148" s="11">
        <f>IF(B148="","",MAX(0,K148-L148))</f>
        <v/>
      </c>
      <c r="N148" s="11">
        <f>IF(B148="","",IF(L148&gt;=K148,"Paid",IF(L148&gt;0,"Partial","Unpaid")))</f>
        <v/>
      </c>
      <c r="O148" s="5" t="n"/>
      <c r="P148" s="8" t="n"/>
      <c r="Q148" s="8" t="n"/>
      <c r="R148" s="11">
        <f>IF(B148="","",IFERROR(K148,0)+IFERROR(P148,0)-IFERROR(Q148,0))</f>
        <v/>
      </c>
      <c r="S148" s="5" t="n"/>
      <c r="T148" s="5" t="n"/>
      <c r="U148" s="11">
        <f>IF(B148="","",TRIM(LOWER(C148)&amp;"|"&amp;LOWER(D148)))</f>
        <v/>
      </c>
    </row>
    <row r="149">
      <c r="A149" s="11">
        <f>IF(B149="","",TEXT(ROW()-3,"""DC-""0000"))</f>
        <v/>
      </c>
      <c r="B149" s="5" t="n"/>
      <c r="C149" s="5" t="n"/>
      <c r="D149" s="5" t="n"/>
      <c r="E149" s="5" t="n"/>
      <c r="F149" s="5" t="n"/>
      <c r="G149" s="5" t="n"/>
      <c r="H149" s="8" t="n"/>
      <c r="I149" s="8" t="n"/>
      <c r="J149" s="8" t="n"/>
      <c r="K149" s="11">
        <f>IF(B149="","",MAX(0,IFERROR(I149,0)*IFERROR(H149,0)-IFERROR(J149,0)))</f>
        <v/>
      </c>
      <c r="L149" s="8" t="n"/>
      <c r="M149" s="11">
        <f>IF(B149="","",MAX(0,K149-L149))</f>
        <v/>
      </c>
      <c r="N149" s="11">
        <f>IF(B149="","",IF(L149&gt;=K149,"Paid",IF(L149&gt;0,"Partial","Unpaid")))</f>
        <v/>
      </c>
      <c r="O149" s="5" t="n"/>
      <c r="P149" s="8" t="n"/>
      <c r="Q149" s="8" t="n"/>
      <c r="R149" s="11">
        <f>IF(B149="","",IFERROR(K149,0)+IFERROR(P149,0)-IFERROR(Q149,0))</f>
        <v/>
      </c>
      <c r="S149" s="5" t="n"/>
      <c r="T149" s="5" t="n"/>
      <c r="U149" s="11">
        <f>IF(B149="","",TRIM(LOWER(C149)&amp;"|"&amp;LOWER(D149)))</f>
        <v/>
      </c>
    </row>
    <row r="150">
      <c r="A150" s="11">
        <f>IF(B150="","",TEXT(ROW()-3,"""DC-""0000"))</f>
        <v/>
      </c>
      <c r="B150" s="5" t="n"/>
      <c r="C150" s="5" t="n"/>
      <c r="D150" s="5" t="n"/>
      <c r="E150" s="5" t="n"/>
      <c r="F150" s="5" t="n"/>
      <c r="G150" s="5" t="n"/>
      <c r="H150" s="8" t="n"/>
      <c r="I150" s="8" t="n"/>
      <c r="J150" s="8" t="n"/>
      <c r="K150" s="11">
        <f>IF(B150="","",MAX(0,IFERROR(I150,0)*IFERROR(H150,0)-IFERROR(J150,0)))</f>
        <v/>
      </c>
      <c r="L150" s="8" t="n"/>
      <c r="M150" s="11">
        <f>IF(B150="","",MAX(0,K150-L150))</f>
        <v/>
      </c>
      <c r="N150" s="11">
        <f>IF(B150="","",IF(L150&gt;=K150,"Paid",IF(L150&gt;0,"Partial","Unpaid")))</f>
        <v/>
      </c>
      <c r="O150" s="5" t="n"/>
      <c r="P150" s="8" t="n"/>
      <c r="Q150" s="8" t="n"/>
      <c r="R150" s="11">
        <f>IF(B150="","",IFERROR(K150,0)+IFERROR(P150,0)-IFERROR(Q150,0))</f>
        <v/>
      </c>
      <c r="S150" s="5" t="n"/>
      <c r="T150" s="5" t="n"/>
      <c r="U150" s="11">
        <f>IF(B150="","",TRIM(LOWER(C150)&amp;"|"&amp;LOWER(D150)))</f>
        <v/>
      </c>
    </row>
    <row r="151">
      <c r="A151" s="11">
        <f>IF(B151="","",TEXT(ROW()-3,"""DC-""0000"))</f>
        <v/>
      </c>
      <c r="B151" s="5" t="n"/>
      <c r="C151" s="5" t="n"/>
      <c r="D151" s="5" t="n"/>
      <c r="E151" s="5" t="n"/>
      <c r="F151" s="5" t="n"/>
      <c r="G151" s="5" t="n"/>
      <c r="H151" s="8" t="n"/>
      <c r="I151" s="8" t="n"/>
      <c r="J151" s="8" t="n"/>
      <c r="K151" s="11">
        <f>IF(B151="","",MAX(0,IFERROR(I151,0)*IFERROR(H151,0)-IFERROR(J151,0)))</f>
        <v/>
      </c>
      <c r="L151" s="8" t="n"/>
      <c r="M151" s="11">
        <f>IF(B151="","",MAX(0,K151-L151))</f>
        <v/>
      </c>
      <c r="N151" s="11">
        <f>IF(B151="","",IF(L151&gt;=K151,"Paid",IF(L151&gt;0,"Partial","Unpaid")))</f>
        <v/>
      </c>
      <c r="O151" s="5" t="n"/>
      <c r="P151" s="8" t="n"/>
      <c r="Q151" s="8" t="n"/>
      <c r="R151" s="11">
        <f>IF(B151="","",IFERROR(K151,0)+IFERROR(P151,0)-IFERROR(Q151,0))</f>
        <v/>
      </c>
      <c r="S151" s="5" t="n"/>
      <c r="T151" s="5" t="n"/>
      <c r="U151" s="11">
        <f>IF(B151="","",TRIM(LOWER(C151)&amp;"|"&amp;LOWER(D151)))</f>
        <v/>
      </c>
    </row>
    <row r="152">
      <c r="A152" s="11">
        <f>IF(B152="","",TEXT(ROW()-3,"""DC-""0000"))</f>
        <v/>
      </c>
      <c r="B152" s="5" t="n"/>
      <c r="C152" s="5" t="n"/>
      <c r="D152" s="5" t="n"/>
      <c r="E152" s="5" t="n"/>
      <c r="F152" s="5" t="n"/>
      <c r="G152" s="5" t="n"/>
      <c r="H152" s="8" t="n"/>
      <c r="I152" s="8" t="n"/>
      <c r="J152" s="8" t="n"/>
      <c r="K152" s="11">
        <f>IF(B152="","",MAX(0,IFERROR(I152,0)*IFERROR(H152,0)-IFERROR(J152,0)))</f>
        <v/>
      </c>
      <c r="L152" s="8" t="n"/>
      <c r="M152" s="11">
        <f>IF(B152="","",MAX(0,K152-L152))</f>
        <v/>
      </c>
      <c r="N152" s="11">
        <f>IF(B152="","",IF(L152&gt;=K152,"Paid",IF(L152&gt;0,"Partial","Unpaid")))</f>
        <v/>
      </c>
      <c r="O152" s="5" t="n"/>
      <c r="P152" s="8" t="n"/>
      <c r="Q152" s="8" t="n"/>
      <c r="R152" s="11">
        <f>IF(B152="","",IFERROR(K152,0)+IFERROR(P152,0)-IFERROR(Q152,0))</f>
        <v/>
      </c>
      <c r="S152" s="5" t="n"/>
      <c r="T152" s="5" t="n"/>
      <c r="U152" s="11">
        <f>IF(B152="","",TRIM(LOWER(C152)&amp;"|"&amp;LOWER(D152)))</f>
        <v/>
      </c>
    </row>
    <row r="153">
      <c r="A153" s="11">
        <f>IF(B153="","",TEXT(ROW()-3,"""DC-""0000"))</f>
        <v/>
      </c>
      <c r="B153" s="5" t="n"/>
      <c r="C153" s="5" t="n"/>
      <c r="D153" s="5" t="n"/>
      <c r="E153" s="5" t="n"/>
      <c r="F153" s="5" t="n"/>
      <c r="G153" s="5" t="n"/>
      <c r="H153" s="8" t="n"/>
      <c r="I153" s="8" t="n"/>
      <c r="J153" s="8" t="n"/>
      <c r="K153" s="11">
        <f>IF(B153="","",MAX(0,IFERROR(I153,0)*IFERROR(H153,0)-IFERROR(J153,0)))</f>
        <v/>
      </c>
      <c r="L153" s="8" t="n"/>
      <c r="M153" s="11">
        <f>IF(B153="","",MAX(0,K153-L153))</f>
        <v/>
      </c>
      <c r="N153" s="11">
        <f>IF(B153="","",IF(L153&gt;=K153,"Paid",IF(L153&gt;0,"Partial","Unpaid")))</f>
        <v/>
      </c>
      <c r="O153" s="5" t="n"/>
      <c r="P153" s="8" t="n"/>
      <c r="Q153" s="8" t="n"/>
      <c r="R153" s="11">
        <f>IF(B153="","",IFERROR(K153,0)+IFERROR(P153,0)-IFERROR(Q153,0))</f>
        <v/>
      </c>
      <c r="S153" s="5" t="n"/>
      <c r="T153" s="5" t="n"/>
      <c r="U153" s="11">
        <f>IF(B153="","",TRIM(LOWER(C153)&amp;"|"&amp;LOWER(D153)))</f>
        <v/>
      </c>
    </row>
    <row r="154">
      <c r="A154" s="11">
        <f>IF(B154="","",TEXT(ROW()-3,"""DC-""0000"))</f>
        <v/>
      </c>
      <c r="B154" s="5" t="n"/>
      <c r="C154" s="5" t="n"/>
      <c r="D154" s="5" t="n"/>
      <c r="E154" s="5" t="n"/>
      <c r="F154" s="5" t="n"/>
      <c r="G154" s="5" t="n"/>
      <c r="H154" s="8" t="n"/>
      <c r="I154" s="8" t="n"/>
      <c r="J154" s="8" t="n"/>
      <c r="K154" s="11">
        <f>IF(B154="","",MAX(0,IFERROR(I154,0)*IFERROR(H154,0)-IFERROR(J154,0)))</f>
        <v/>
      </c>
      <c r="L154" s="8" t="n"/>
      <c r="M154" s="11">
        <f>IF(B154="","",MAX(0,K154-L154))</f>
        <v/>
      </c>
      <c r="N154" s="11">
        <f>IF(B154="","",IF(L154&gt;=K154,"Paid",IF(L154&gt;0,"Partial","Unpaid")))</f>
        <v/>
      </c>
      <c r="O154" s="5" t="n"/>
      <c r="P154" s="8" t="n"/>
      <c r="Q154" s="8" t="n"/>
      <c r="R154" s="11">
        <f>IF(B154="","",IFERROR(K154,0)+IFERROR(P154,0)-IFERROR(Q154,0))</f>
        <v/>
      </c>
      <c r="S154" s="5" t="n"/>
      <c r="T154" s="5" t="n"/>
      <c r="U154" s="11">
        <f>IF(B154="","",TRIM(LOWER(C154)&amp;"|"&amp;LOWER(D154)))</f>
        <v/>
      </c>
    </row>
    <row r="155">
      <c r="A155" s="11">
        <f>IF(B155="","",TEXT(ROW()-3,"""DC-""0000"))</f>
        <v/>
      </c>
      <c r="B155" s="5" t="n"/>
      <c r="C155" s="5" t="n"/>
      <c r="D155" s="5" t="n"/>
      <c r="E155" s="5" t="n"/>
      <c r="F155" s="5" t="n"/>
      <c r="G155" s="5" t="n"/>
      <c r="H155" s="8" t="n"/>
      <c r="I155" s="8" t="n"/>
      <c r="J155" s="8" t="n"/>
      <c r="K155" s="11">
        <f>IF(B155="","",MAX(0,IFERROR(I155,0)*IFERROR(H155,0)-IFERROR(J155,0)))</f>
        <v/>
      </c>
      <c r="L155" s="8" t="n"/>
      <c r="M155" s="11">
        <f>IF(B155="","",MAX(0,K155-L155))</f>
        <v/>
      </c>
      <c r="N155" s="11">
        <f>IF(B155="","",IF(L155&gt;=K155,"Paid",IF(L155&gt;0,"Partial","Unpaid")))</f>
        <v/>
      </c>
      <c r="O155" s="5" t="n"/>
      <c r="P155" s="8" t="n"/>
      <c r="Q155" s="8" t="n"/>
      <c r="R155" s="11">
        <f>IF(B155="","",IFERROR(K155,0)+IFERROR(P155,0)-IFERROR(Q155,0))</f>
        <v/>
      </c>
      <c r="S155" s="5" t="n"/>
      <c r="T155" s="5" t="n"/>
      <c r="U155" s="11">
        <f>IF(B155="","",TRIM(LOWER(C155)&amp;"|"&amp;LOWER(D155)))</f>
        <v/>
      </c>
    </row>
    <row r="156">
      <c r="A156" s="11">
        <f>IF(B156="","",TEXT(ROW()-3,"""DC-""0000"))</f>
        <v/>
      </c>
      <c r="B156" s="5" t="n"/>
      <c r="C156" s="5" t="n"/>
      <c r="D156" s="5" t="n"/>
      <c r="E156" s="5" t="n"/>
      <c r="F156" s="5" t="n"/>
      <c r="G156" s="5" t="n"/>
      <c r="H156" s="8" t="n"/>
      <c r="I156" s="8" t="n"/>
      <c r="J156" s="8" t="n"/>
      <c r="K156" s="11">
        <f>IF(B156="","",MAX(0,IFERROR(I156,0)*IFERROR(H156,0)-IFERROR(J156,0)))</f>
        <v/>
      </c>
      <c r="L156" s="8" t="n"/>
      <c r="M156" s="11">
        <f>IF(B156="","",MAX(0,K156-L156))</f>
        <v/>
      </c>
      <c r="N156" s="11">
        <f>IF(B156="","",IF(L156&gt;=K156,"Paid",IF(L156&gt;0,"Partial","Unpaid")))</f>
        <v/>
      </c>
      <c r="O156" s="5" t="n"/>
      <c r="P156" s="8" t="n"/>
      <c r="Q156" s="8" t="n"/>
      <c r="R156" s="11">
        <f>IF(B156="","",IFERROR(K156,0)+IFERROR(P156,0)-IFERROR(Q156,0))</f>
        <v/>
      </c>
      <c r="S156" s="5" t="n"/>
      <c r="T156" s="5" t="n"/>
      <c r="U156" s="11">
        <f>IF(B156="","",TRIM(LOWER(C156)&amp;"|"&amp;LOWER(D156)))</f>
        <v/>
      </c>
    </row>
    <row r="157">
      <c r="A157" s="11">
        <f>IF(B157="","",TEXT(ROW()-3,"""DC-""0000"))</f>
        <v/>
      </c>
      <c r="B157" s="5" t="n"/>
      <c r="C157" s="5" t="n"/>
      <c r="D157" s="5" t="n"/>
      <c r="E157" s="5" t="n"/>
      <c r="F157" s="5" t="n"/>
      <c r="G157" s="5" t="n"/>
      <c r="H157" s="8" t="n"/>
      <c r="I157" s="8" t="n"/>
      <c r="J157" s="8" t="n"/>
      <c r="K157" s="11">
        <f>IF(B157="","",MAX(0,IFERROR(I157,0)*IFERROR(H157,0)-IFERROR(J157,0)))</f>
        <v/>
      </c>
      <c r="L157" s="8" t="n"/>
      <c r="M157" s="11">
        <f>IF(B157="","",MAX(0,K157-L157))</f>
        <v/>
      </c>
      <c r="N157" s="11">
        <f>IF(B157="","",IF(L157&gt;=K157,"Paid",IF(L157&gt;0,"Partial","Unpaid")))</f>
        <v/>
      </c>
      <c r="O157" s="5" t="n"/>
      <c r="P157" s="8" t="n"/>
      <c r="Q157" s="8" t="n"/>
      <c r="R157" s="11">
        <f>IF(B157="","",IFERROR(K157,0)+IFERROR(P157,0)-IFERROR(Q157,0))</f>
        <v/>
      </c>
      <c r="S157" s="5" t="n"/>
      <c r="T157" s="5" t="n"/>
      <c r="U157" s="11">
        <f>IF(B157="","",TRIM(LOWER(C157)&amp;"|"&amp;LOWER(D157)))</f>
        <v/>
      </c>
    </row>
    <row r="158">
      <c r="A158" s="11">
        <f>IF(B158="","",TEXT(ROW()-3,"""DC-""0000"))</f>
        <v/>
      </c>
      <c r="B158" s="5" t="n"/>
      <c r="C158" s="5" t="n"/>
      <c r="D158" s="5" t="n"/>
      <c r="E158" s="5" t="n"/>
      <c r="F158" s="5" t="n"/>
      <c r="G158" s="5" t="n"/>
      <c r="H158" s="8" t="n"/>
      <c r="I158" s="8" t="n"/>
      <c r="J158" s="8" t="n"/>
      <c r="K158" s="11">
        <f>IF(B158="","",MAX(0,IFERROR(I158,0)*IFERROR(H158,0)-IFERROR(J158,0)))</f>
        <v/>
      </c>
      <c r="L158" s="8" t="n"/>
      <c r="M158" s="11">
        <f>IF(B158="","",MAX(0,K158-L158))</f>
        <v/>
      </c>
      <c r="N158" s="11">
        <f>IF(B158="","",IF(L158&gt;=K158,"Paid",IF(L158&gt;0,"Partial","Unpaid")))</f>
        <v/>
      </c>
      <c r="O158" s="5" t="n"/>
      <c r="P158" s="8" t="n"/>
      <c r="Q158" s="8" t="n"/>
      <c r="R158" s="11">
        <f>IF(B158="","",IFERROR(K158,0)+IFERROR(P158,0)-IFERROR(Q158,0))</f>
        <v/>
      </c>
      <c r="S158" s="5" t="n"/>
      <c r="T158" s="5" t="n"/>
      <c r="U158" s="11">
        <f>IF(B158="","",TRIM(LOWER(C158)&amp;"|"&amp;LOWER(D158)))</f>
        <v/>
      </c>
    </row>
    <row r="159">
      <c r="A159" s="11">
        <f>IF(B159="","",TEXT(ROW()-3,"""DC-""0000"))</f>
        <v/>
      </c>
      <c r="B159" s="5" t="n"/>
      <c r="C159" s="5" t="n"/>
      <c r="D159" s="5" t="n"/>
      <c r="E159" s="5" t="n"/>
      <c r="F159" s="5" t="n"/>
      <c r="G159" s="5" t="n"/>
      <c r="H159" s="8" t="n"/>
      <c r="I159" s="8" t="n"/>
      <c r="J159" s="8" t="n"/>
      <c r="K159" s="11">
        <f>IF(B159="","",MAX(0,IFERROR(I159,0)*IFERROR(H159,0)-IFERROR(J159,0)))</f>
        <v/>
      </c>
      <c r="L159" s="8" t="n"/>
      <c r="M159" s="11">
        <f>IF(B159="","",MAX(0,K159-L159))</f>
        <v/>
      </c>
      <c r="N159" s="11">
        <f>IF(B159="","",IF(L159&gt;=K159,"Paid",IF(L159&gt;0,"Partial","Unpaid")))</f>
        <v/>
      </c>
      <c r="O159" s="5" t="n"/>
      <c r="P159" s="8" t="n"/>
      <c r="Q159" s="8" t="n"/>
      <c r="R159" s="11">
        <f>IF(B159="","",IFERROR(K159,0)+IFERROR(P159,0)-IFERROR(Q159,0))</f>
        <v/>
      </c>
      <c r="S159" s="5" t="n"/>
      <c r="T159" s="5" t="n"/>
      <c r="U159" s="11">
        <f>IF(B159="","",TRIM(LOWER(C159)&amp;"|"&amp;LOWER(D159)))</f>
        <v/>
      </c>
    </row>
    <row r="160">
      <c r="A160" s="11">
        <f>IF(B160="","",TEXT(ROW()-3,"""DC-""0000"))</f>
        <v/>
      </c>
      <c r="B160" s="5" t="n"/>
      <c r="C160" s="5" t="n"/>
      <c r="D160" s="5" t="n"/>
      <c r="E160" s="5" t="n"/>
      <c r="F160" s="5" t="n"/>
      <c r="G160" s="5" t="n"/>
      <c r="H160" s="8" t="n"/>
      <c r="I160" s="8" t="n"/>
      <c r="J160" s="8" t="n"/>
      <c r="K160" s="11">
        <f>IF(B160="","",MAX(0,IFERROR(I160,0)*IFERROR(H160,0)-IFERROR(J160,0)))</f>
        <v/>
      </c>
      <c r="L160" s="8" t="n"/>
      <c r="M160" s="11">
        <f>IF(B160="","",MAX(0,K160-L160))</f>
        <v/>
      </c>
      <c r="N160" s="11">
        <f>IF(B160="","",IF(L160&gt;=K160,"Paid",IF(L160&gt;0,"Partial","Unpaid")))</f>
        <v/>
      </c>
      <c r="O160" s="5" t="n"/>
      <c r="P160" s="8" t="n"/>
      <c r="Q160" s="8" t="n"/>
      <c r="R160" s="11">
        <f>IF(B160="","",IFERROR(K160,0)+IFERROR(P160,0)-IFERROR(Q160,0))</f>
        <v/>
      </c>
      <c r="S160" s="5" t="n"/>
      <c r="T160" s="5" t="n"/>
      <c r="U160" s="11">
        <f>IF(B160="","",TRIM(LOWER(C160)&amp;"|"&amp;LOWER(D160)))</f>
        <v/>
      </c>
    </row>
    <row r="161">
      <c r="A161" s="11">
        <f>IF(B161="","",TEXT(ROW()-3,"""DC-""0000"))</f>
        <v/>
      </c>
      <c r="B161" s="5" t="n"/>
      <c r="C161" s="5" t="n"/>
      <c r="D161" s="5" t="n"/>
      <c r="E161" s="5" t="n"/>
      <c r="F161" s="5" t="n"/>
      <c r="G161" s="5" t="n"/>
      <c r="H161" s="8" t="n"/>
      <c r="I161" s="8" t="n"/>
      <c r="J161" s="8" t="n"/>
      <c r="K161" s="11">
        <f>IF(B161="","",MAX(0,IFERROR(I161,0)*IFERROR(H161,0)-IFERROR(J161,0)))</f>
        <v/>
      </c>
      <c r="L161" s="8" t="n"/>
      <c r="M161" s="11">
        <f>IF(B161="","",MAX(0,K161-L161))</f>
        <v/>
      </c>
      <c r="N161" s="11">
        <f>IF(B161="","",IF(L161&gt;=K161,"Paid",IF(L161&gt;0,"Partial","Unpaid")))</f>
        <v/>
      </c>
      <c r="O161" s="5" t="n"/>
      <c r="P161" s="8" t="n"/>
      <c r="Q161" s="8" t="n"/>
      <c r="R161" s="11">
        <f>IF(B161="","",IFERROR(K161,0)+IFERROR(P161,0)-IFERROR(Q161,0))</f>
        <v/>
      </c>
      <c r="S161" s="5" t="n"/>
      <c r="T161" s="5" t="n"/>
      <c r="U161" s="11">
        <f>IF(B161="","",TRIM(LOWER(C161)&amp;"|"&amp;LOWER(D161)))</f>
        <v/>
      </c>
    </row>
    <row r="162">
      <c r="A162" s="11">
        <f>IF(B162="","",TEXT(ROW()-3,"""DC-""0000"))</f>
        <v/>
      </c>
      <c r="B162" s="5" t="n"/>
      <c r="C162" s="5" t="n"/>
      <c r="D162" s="5" t="n"/>
      <c r="E162" s="5" t="n"/>
      <c r="F162" s="5" t="n"/>
      <c r="G162" s="5" t="n"/>
      <c r="H162" s="8" t="n"/>
      <c r="I162" s="8" t="n"/>
      <c r="J162" s="8" t="n"/>
      <c r="K162" s="11">
        <f>IF(B162="","",MAX(0,IFERROR(I162,0)*IFERROR(H162,0)-IFERROR(J162,0)))</f>
        <v/>
      </c>
      <c r="L162" s="8" t="n"/>
      <c r="M162" s="11">
        <f>IF(B162="","",MAX(0,K162-L162))</f>
        <v/>
      </c>
      <c r="N162" s="11">
        <f>IF(B162="","",IF(L162&gt;=K162,"Paid",IF(L162&gt;0,"Partial","Unpaid")))</f>
        <v/>
      </c>
      <c r="O162" s="5" t="n"/>
      <c r="P162" s="8" t="n"/>
      <c r="Q162" s="8" t="n"/>
      <c r="R162" s="11">
        <f>IF(B162="","",IFERROR(K162,0)+IFERROR(P162,0)-IFERROR(Q162,0))</f>
        <v/>
      </c>
      <c r="S162" s="5" t="n"/>
      <c r="T162" s="5" t="n"/>
      <c r="U162" s="11">
        <f>IF(B162="","",TRIM(LOWER(C162)&amp;"|"&amp;LOWER(D162)))</f>
        <v/>
      </c>
    </row>
    <row r="163">
      <c r="A163" s="11">
        <f>IF(B163="","",TEXT(ROW()-3,"""DC-""0000"))</f>
        <v/>
      </c>
      <c r="B163" s="5" t="n"/>
      <c r="C163" s="5" t="n"/>
      <c r="D163" s="5" t="n"/>
      <c r="E163" s="5" t="n"/>
      <c r="F163" s="5" t="n"/>
      <c r="G163" s="5" t="n"/>
      <c r="H163" s="8" t="n"/>
      <c r="I163" s="8" t="n"/>
      <c r="J163" s="8" t="n"/>
      <c r="K163" s="11">
        <f>IF(B163="","",MAX(0,IFERROR(I163,0)*IFERROR(H163,0)-IFERROR(J163,0)))</f>
        <v/>
      </c>
      <c r="L163" s="8" t="n"/>
      <c r="M163" s="11">
        <f>IF(B163="","",MAX(0,K163-L163))</f>
        <v/>
      </c>
      <c r="N163" s="11">
        <f>IF(B163="","",IF(L163&gt;=K163,"Paid",IF(L163&gt;0,"Partial","Unpaid")))</f>
        <v/>
      </c>
      <c r="O163" s="5" t="n"/>
      <c r="P163" s="8" t="n"/>
      <c r="Q163" s="8" t="n"/>
      <c r="R163" s="11">
        <f>IF(B163="","",IFERROR(K163,0)+IFERROR(P163,0)-IFERROR(Q163,0))</f>
        <v/>
      </c>
      <c r="S163" s="5" t="n"/>
      <c r="T163" s="5" t="n"/>
      <c r="U163" s="11">
        <f>IF(B163="","",TRIM(LOWER(C163)&amp;"|"&amp;LOWER(D163)))</f>
        <v/>
      </c>
    </row>
    <row r="164">
      <c r="A164" s="11">
        <f>IF(B164="","",TEXT(ROW()-3,"""DC-""0000"))</f>
        <v/>
      </c>
      <c r="B164" s="5" t="n"/>
      <c r="C164" s="5" t="n"/>
      <c r="D164" s="5" t="n"/>
      <c r="E164" s="5" t="n"/>
      <c r="F164" s="5" t="n"/>
      <c r="G164" s="5" t="n"/>
      <c r="H164" s="8" t="n"/>
      <c r="I164" s="8" t="n"/>
      <c r="J164" s="8" t="n"/>
      <c r="K164" s="11">
        <f>IF(B164="","",MAX(0,IFERROR(I164,0)*IFERROR(H164,0)-IFERROR(J164,0)))</f>
        <v/>
      </c>
      <c r="L164" s="8" t="n"/>
      <c r="M164" s="11">
        <f>IF(B164="","",MAX(0,K164-L164))</f>
        <v/>
      </c>
      <c r="N164" s="11">
        <f>IF(B164="","",IF(L164&gt;=K164,"Paid",IF(L164&gt;0,"Partial","Unpaid")))</f>
        <v/>
      </c>
      <c r="O164" s="5" t="n"/>
      <c r="P164" s="8" t="n"/>
      <c r="Q164" s="8" t="n"/>
      <c r="R164" s="11">
        <f>IF(B164="","",IFERROR(K164,0)+IFERROR(P164,0)-IFERROR(Q164,0))</f>
        <v/>
      </c>
      <c r="S164" s="5" t="n"/>
      <c r="T164" s="5" t="n"/>
      <c r="U164" s="11">
        <f>IF(B164="","",TRIM(LOWER(C164)&amp;"|"&amp;LOWER(D164)))</f>
        <v/>
      </c>
    </row>
    <row r="165">
      <c r="A165" s="11">
        <f>IF(B165="","",TEXT(ROW()-3,"""DC-""0000"))</f>
        <v/>
      </c>
      <c r="B165" s="5" t="n"/>
      <c r="C165" s="5" t="n"/>
      <c r="D165" s="5" t="n"/>
      <c r="E165" s="5" t="n"/>
      <c r="F165" s="5" t="n"/>
      <c r="G165" s="5" t="n"/>
      <c r="H165" s="8" t="n"/>
      <c r="I165" s="8" t="n"/>
      <c r="J165" s="8" t="n"/>
      <c r="K165" s="11">
        <f>IF(B165="","",MAX(0,IFERROR(I165,0)*IFERROR(H165,0)-IFERROR(J165,0)))</f>
        <v/>
      </c>
      <c r="L165" s="8" t="n"/>
      <c r="M165" s="11">
        <f>IF(B165="","",MAX(0,K165-L165))</f>
        <v/>
      </c>
      <c r="N165" s="11">
        <f>IF(B165="","",IF(L165&gt;=K165,"Paid",IF(L165&gt;0,"Partial","Unpaid")))</f>
        <v/>
      </c>
      <c r="O165" s="5" t="n"/>
      <c r="P165" s="8" t="n"/>
      <c r="Q165" s="8" t="n"/>
      <c r="R165" s="11">
        <f>IF(B165="","",IFERROR(K165,0)+IFERROR(P165,0)-IFERROR(Q165,0))</f>
        <v/>
      </c>
      <c r="S165" s="5" t="n"/>
      <c r="T165" s="5" t="n"/>
      <c r="U165" s="11">
        <f>IF(B165="","",TRIM(LOWER(C165)&amp;"|"&amp;LOWER(D165)))</f>
        <v/>
      </c>
    </row>
    <row r="166">
      <c r="A166" s="11">
        <f>IF(B166="","",TEXT(ROW()-3,"""DC-""0000"))</f>
        <v/>
      </c>
      <c r="B166" s="5" t="n"/>
      <c r="C166" s="5" t="n"/>
      <c r="D166" s="5" t="n"/>
      <c r="E166" s="5" t="n"/>
      <c r="F166" s="5" t="n"/>
      <c r="G166" s="5" t="n"/>
      <c r="H166" s="8" t="n"/>
      <c r="I166" s="8" t="n"/>
      <c r="J166" s="8" t="n"/>
      <c r="K166" s="11">
        <f>IF(B166="","",MAX(0,IFERROR(I166,0)*IFERROR(H166,0)-IFERROR(J166,0)))</f>
        <v/>
      </c>
      <c r="L166" s="8" t="n"/>
      <c r="M166" s="11">
        <f>IF(B166="","",MAX(0,K166-L166))</f>
        <v/>
      </c>
      <c r="N166" s="11">
        <f>IF(B166="","",IF(L166&gt;=K166,"Paid",IF(L166&gt;0,"Partial","Unpaid")))</f>
        <v/>
      </c>
      <c r="O166" s="5" t="n"/>
      <c r="P166" s="8" t="n"/>
      <c r="Q166" s="8" t="n"/>
      <c r="R166" s="11">
        <f>IF(B166="","",IFERROR(K166,0)+IFERROR(P166,0)-IFERROR(Q166,0))</f>
        <v/>
      </c>
      <c r="S166" s="5" t="n"/>
      <c r="T166" s="5" t="n"/>
      <c r="U166" s="11">
        <f>IF(B166="","",TRIM(LOWER(C166)&amp;"|"&amp;LOWER(D166)))</f>
        <v/>
      </c>
    </row>
    <row r="167">
      <c r="A167" s="11">
        <f>IF(B167="","",TEXT(ROW()-3,"""DC-""0000"))</f>
        <v/>
      </c>
      <c r="B167" s="5" t="n"/>
      <c r="C167" s="5" t="n"/>
      <c r="D167" s="5" t="n"/>
      <c r="E167" s="5" t="n"/>
      <c r="F167" s="5" t="n"/>
      <c r="G167" s="5" t="n"/>
      <c r="H167" s="8" t="n"/>
      <c r="I167" s="8" t="n"/>
      <c r="J167" s="8" t="n"/>
      <c r="K167" s="11">
        <f>IF(B167="","",MAX(0,IFERROR(I167,0)*IFERROR(H167,0)-IFERROR(J167,0)))</f>
        <v/>
      </c>
      <c r="L167" s="8" t="n"/>
      <c r="M167" s="11">
        <f>IF(B167="","",MAX(0,K167-L167))</f>
        <v/>
      </c>
      <c r="N167" s="11">
        <f>IF(B167="","",IF(L167&gt;=K167,"Paid",IF(L167&gt;0,"Partial","Unpaid")))</f>
        <v/>
      </c>
      <c r="O167" s="5" t="n"/>
      <c r="P167" s="8" t="n"/>
      <c r="Q167" s="8" t="n"/>
      <c r="R167" s="11">
        <f>IF(B167="","",IFERROR(K167,0)+IFERROR(P167,0)-IFERROR(Q167,0))</f>
        <v/>
      </c>
      <c r="S167" s="5" t="n"/>
      <c r="T167" s="5" t="n"/>
      <c r="U167" s="11">
        <f>IF(B167="","",TRIM(LOWER(C167)&amp;"|"&amp;LOWER(D167)))</f>
        <v/>
      </c>
    </row>
    <row r="168">
      <c r="A168" s="11">
        <f>IF(B168="","",TEXT(ROW()-3,"""DC-""0000"))</f>
        <v/>
      </c>
      <c r="B168" s="5" t="n"/>
      <c r="C168" s="5" t="n"/>
      <c r="D168" s="5" t="n"/>
      <c r="E168" s="5" t="n"/>
      <c r="F168" s="5" t="n"/>
      <c r="G168" s="5" t="n"/>
      <c r="H168" s="8" t="n"/>
      <c r="I168" s="8" t="n"/>
      <c r="J168" s="8" t="n"/>
      <c r="K168" s="11">
        <f>IF(B168="","",MAX(0,IFERROR(I168,0)*IFERROR(H168,0)-IFERROR(J168,0)))</f>
        <v/>
      </c>
      <c r="L168" s="8" t="n"/>
      <c r="M168" s="11">
        <f>IF(B168="","",MAX(0,K168-L168))</f>
        <v/>
      </c>
      <c r="N168" s="11">
        <f>IF(B168="","",IF(L168&gt;=K168,"Paid",IF(L168&gt;0,"Partial","Unpaid")))</f>
        <v/>
      </c>
      <c r="O168" s="5" t="n"/>
      <c r="P168" s="8" t="n"/>
      <c r="Q168" s="8" t="n"/>
      <c r="R168" s="11">
        <f>IF(B168="","",IFERROR(K168,0)+IFERROR(P168,0)-IFERROR(Q168,0))</f>
        <v/>
      </c>
      <c r="S168" s="5" t="n"/>
      <c r="T168" s="5" t="n"/>
      <c r="U168" s="11">
        <f>IF(B168="","",TRIM(LOWER(C168)&amp;"|"&amp;LOWER(D168)))</f>
        <v/>
      </c>
    </row>
    <row r="169">
      <c r="A169" s="11">
        <f>IF(B169="","",TEXT(ROW()-3,"""DC-""0000"))</f>
        <v/>
      </c>
      <c r="B169" s="5" t="n"/>
      <c r="C169" s="5" t="n"/>
      <c r="D169" s="5" t="n"/>
      <c r="E169" s="5" t="n"/>
      <c r="F169" s="5" t="n"/>
      <c r="G169" s="5" t="n"/>
      <c r="H169" s="8" t="n"/>
      <c r="I169" s="8" t="n"/>
      <c r="J169" s="8" t="n"/>
      <c r="K169" s="11">
        <f>IF(B169="","",MAX(0,IFERROR(I169,0)*IFERROR(H169,0)-IFERROR(J169,0)))</f>
        <v/>
      </c>
      <c r="L169" s="8" t="n"/>
      <c r="M169" s="11">
        <f>IF(B169="","",MAX(0,K169-L169))</f>
        <v/>
      </c>
      <c r="N169" s="11">
        <f>IF(B169="","",IF(L169&gt;=K169,"Paid",IF(L169&gt;0,"Partial","Unpaid")))</f>
        <v/>
      </c>
      <c r="O169" s="5" t="n"/>
      <c r="P169" s="8" t="n"/>
      <c r="Q169" s="8" t="n"/>
      <c r="R169" s="11">
        <f>IF(B169="","",IFERROR(K169,0)+IFERROR(P169,0)-IFERROR(Q169,0))</f>
        <v/>
      </c>
      <c r="S169" s="5" t="n"/>
      <c r="T169" s="5" t="n"/>
      <c r="U169" s="11">
        <f>IF(B169="","",TRIM(LOWER(C169)&amp;"|"&amp;LOWER(D169)))</f>
        <v/>
      </c>
    </row>
    <row r="170">
      <c r="A170" s="11">
        <f>IF(B170="","",TEXT(ROW()-3,"""DC-""0000"))</f>
        <v/>
      </c>
      <c r="B170" s="5" t="n"/>
      <c r="C170" s="5" t="n"/>
      <c r="D170" s="5" t="n"/>
      <c r="E170" s="5" t="n"/>
      <c r="F170" s="5" t="n"/>
      <c r="G170" s="5" t="n"/>
      <c r="H170" s="8" t="n"/>
      <c r="I170" s="8" t="n"/>
      <c r="J170" s="8" t="n"/>
      <c r="K170" s="11">
        <f>IF(B170="","",MAX(0,IFERROR(I170,0)*IFERROR(H170,0)-IFERROR(J170,0)))</f>
        <v/>
      </c>
      <c r="L170" s="8" t="n"/>
      <c r="M170" s="11">
        <f>IF(B170="","",MAX(0,K170-L170))</f>
        <v/>
      </c>
      <c r="N170" s="11">
        <f>IF(B170="","",IF(L170&gt;=K170,"Paid",IF(L170&gt;0,"Partial","Unpaid")))</f>
        <v/>
      </c>
      <c r="O170" s="5" t="n"/>
      <c r="P170" s="8" t="n"/>
      <c r="Q170" s="8" t="n"/>
      <c r="R170" s="11">
        <f>IF(B170="","",IFERROR(K170,0)+IFERROR(P170,0)-IFERROR(Q170,0))</f>
        <v/>
      </c>
      <c r="S170" s="5" t="n"/>
      <c r="T170" s="5" t="n"/>
      <c r="U170" s="11">
        <f>IF(B170="","",TRIM(LOWER(C170)&amp;"|"&amp;LOWER(D170)))</f>
        <v/>
      </c>
    </row>
    <row r="171">
      <c r="A171" s="11">
        <f>IF(B171="","",TEXT(ROW()-3,"""DC-""0000"))</f>
        <v/>
      </c>
      <c r="B171" s="5" t="n"/>
      <c r="C171" s="5" t="n"/>
      <c r="D171" s="5" t="n"/>
      <c r="E171" s="5" t="n"/>
      <c r="F171" s="5" t="n"/>
      <c r="G171" s="5" t="n"/>
      <c r="H171" s="8" t="n"/>
      <c r="I171" s="8" t="n"/>
      <c r="J171" s="8" t="n"/>
      <c r="K171" s="11">
        <f>IF(B171="","",MAX(0,IFERROR(I171,0)*IFERROR(H171,0)-IFERROR(J171,0)))</f>
        <v/>
      </c>
      <c r="L171" s="8" t="n"/>
      <c r="M171" s="11">
        <f>IF(B171="","",MAX(0,K171-L171))</f>
        <v/>
      </c>
      <c r="N171" s="11">
        <f>IF(B171="","",IF(L171&gt;=K171,"Paid",IF(L171&gt;0,"Partial","Unpaid")))</f>
        <v/>
      </c>
      <c r="O171" s="5" t="n"/>
      <c r="P171" s="8" t="n"/>
      <c r="Q171" s="8" t="n"/>
      <c r="R171" s="11">
        <f>IF(B171="","",IFERROR(K171,0)+IFERROR(P171,0)-IFERROR(Q171,0))</f>
        <v/>
      </c>
      <c r="S171" s="5" t="n"/>
      <c r="T171" s="5" t="n"/>
      <c r="U171" s="11">
        <f>IF(B171="","",TRIM(LOWER(C171)&amp;"|"&amp;LOWER(D171)))</f>
        <v/>
      </c>
    </row>
    <row r="172">
      <c r="A172" s="11">
        <f>IF(B172="","",TEXT(ROW()-3,"""DC-""0000"))</f>
        <v/>
      </c>
      <c r="B172" s="5" t="n"/>
      <c r="C172" s="5" t="n"/>
      <c r="D172" s="5" t="n"/>
      <c r="E172" s="5" t="n"/>
      <c r="F172" s="5" t="n"/>
      <c r="G172" s="5" t="n"/>
      <c r="H172" s="8" t="n"/>
      <c r="I172" s="8" t="n"/>
      <c r="J172" s="8" t="n"/>
      <c r="K172" s="11">
        <f>IF(B172="","",MAX(0,IFERROR(I172,0)*IFERROR(H172,0)-IFERROR(J172,0)))</f>
        <v/>
      </c>
      <c r="L172" s="8" t="n"/>
      <c r="M172" s="11">
        <f>IF(B172="","",MAX(0,K172-L172))</f>
        <v/>
      </c>
      <c r="N172" s="11">
        <f>IF(B172="","",IF(L172&gt;=K172,"Paid",IF(L172&gt;0,"Partial","Unpaid")))</f>
        <v/>
      </c>
      <c r="O172" s="5" t="n"/>
      <c r="P172" s="8" t="n"/>
      <c r="Q172" s="8" t="n"/>
      <c r="R172" s="11">
        <f>IF(B172="","",IFERROR(K172,0)+IFERROR(P172,0)-IFERROR(Q172,0))</f>
        <v/>
      </c>
      <c r="S172" s="5" t="n"/>
      <c r="T172" s="5" t="n"/>
      <c r="U172" s="11">
        <f>IF(B172="","",TRIM(LOWER(C172)&amp;"|"&amp;LOWER(D172)))</f>
        <v/>
      </c>
    </row>
    <row r="173">
      <c r="A173" s="11">
        <f>IF(B173="","",TEXT(ROW()-3,"""DC-""0000"))</f>
        <v/>
      </c>
      <c r="B173" s="5" t="n"/>
      <c r="C173" s="5" t="n"/>
      <c r="D173" s="5" t="n"/>
      <c r="E173" s="5" t="n"/>
      <c r="F173" s="5" t="n"/>
      <c r="G173" s="5" t="n"/>
      <c r="H173" s="8" t="n"/>
      <c r="I173" s="8" t="n"/>
      <c r="J173" s="8" t="n"/>
      <c r="K173" s="11">
        <f>IF(B173="","",MAX(0,IFERROR(I173,0)*IFERROR(H173,0)-IFERROR(J173,0)))</f>
        <v/>
      </c>
      <c r="L173" s="8" t="n"/>
      <c r="M173" s="11">
        <f>IF(B173="","",MAX(0,K173-L173))</f>
        <v/>
      </c>
      <c r="N173" s="11">
        <f>IF(B173="","",IF(L173&gt;=K173,"Paid",IF(L173&gt;0,"Partial","Unpaid")))</f>
        <v/>
      </c>
      <c r="O173" s="5" t="n"/>
      <c r="P173" s="8" t="n"/>
      <c r="Q173" s="8" t="n"/>
      <c r="R173" s="11">
        <f>IF(B173="","",IFERROR(K173,0)+IFERROR(P173,0)-IFERROR(Q173,0))</f>
        <v/>
      </c>
      <c r="S173" s="5" t="n"/>
      <c r="T173" s="5" t="n"/>
      <c r="U173" s="11">
        <f>IF(B173="","",TRIM(LOWER(C173)&amp;"|"&amp;LOWER(D173)))</f>
        <v/>
      </c>
    </row>
    <row r="174">
      <c r="A174" s="11">
        <f>IF(B174="","",TEXT(ROW()-3,"""DC-""0000"))</f>
        <v/>
      </c>
      <c r="B174" s="5" t="n"/>
      <c r="C174" s="5" t="n"/>
      <c r="D174" s="5" t="n"/>
      <c r="E174" s="5" t="n"/>
      <c r="F174" s="5" t="n"/>
      <c r="G174" s="5" t="n"/>
      <c r="H174" s="8" t="n"/>
      <c r="I174" s="8" t="n"/>
      <c r="J174" s="8" t="n"/>
      <c r="K174" s="11">
        <f>IF(B174="","",MAX(0,IFERROR(I174,0)*IFERROR(H174,0)-IFERROR(J174,0)))</f>
        <v/>
      </c>
      <c r="L174" s="8" t="n"/>
      <c r="M174" s="11">
        <f>IF(B174="","",MAX(0,K174-L174))</f>
        <v/>
      </c>
      <c r="N174" s="11">
        <f>IF(B174="","",IF(L174&gt;=K174,"Paid",IF(L174&gt;0,"Partial","Unpaid")))</f>
        <v/>
      </c>
      <c r="O174" s="5" t="n"/>
      <c r="P174" s="8" t="n"/>
      <c r="Q174" s="8" t="n"/>
      <c r="R174" s="11">
        <f>IF(B174="","",IFERROR(K174,0)+IFERROR(P174,0)-IFERROR(Q174,0))</f>
        <v/>
      </c>
      <c r="S174" s="5" t="n"/>
      <c r="T174" s="5" t="n"/>
      <c r="U174" s="11">
        <f>IF(B174="","",TRIM(LOWER(C174)&amp;"|"&amp;LOWER(D174)))</f>
        <v/>
      </c>
    </row>
    <row r="175">
      <c r="A175" s="11">
        <f>IF(B175="","",TEXT(ROW()-3,"""DC-""0000"))</f>
        <v/>
      </c>
      <c r="B175" s="5" t="n"/>
      <c r="C175" s="5" t="n"/>
      <c r="D175" s="5" t="n"/>
      <c r="E175" s="5" t="n"/>
      <c r="F175" s="5" t="n"/>
      <c r="G175" s="5" t="n"/>
      <c r="H175" s="8" t="n"/>
      <c r="I175" s="8" t="n"/>
      <c r="J175" s="8" t="n"/>
      <c r="K175" s="11">
        <f>IF(B175="","",MAX(0,IFERROR(I175,0)*IFERROR(H175,0)-IFERROR(J175,0)))</f>
        <v/>
      </c>
      <c r="L175" s="8" t="n"/>
      <c r="M175" s="11">
        <f>IF(B175="","",MAX(0,K175-L175))</f>
        <v/>
      </c>
      <c r="N175" s="11">
        <f>IF(B175="","",IF(L175&gt;=K175,"Paid",IF(L175&gt;0,"Partial","Unpaid")))</f>
        <v/>
      </c>
      <c r="O175" s="5" t="n"/>
      <c r="P175" s="8" t="n"/>
      <c r="Q175" s="8" t="n"/>
      <c r="R175" s="11">
        <f>IF(B175="","",IFERROR(K175,0)+IFERROR(P175,0)-IFERROR(Q175,0))</f>
        <v/>
      </c>
      <c r="S175" s="5" t="n"/>
      <c r="T175" s="5" t="n"/>
      <c r="U175" s="11">
        <f>IF(B175="","",TRIM(LOWER(C175)&amp;"|"&amp;LOWER(D175)))</f>
        <v/>
      </c>
    </row>
    <row r="176">
      <c r="A176" s="11">
        <f>IF(B176="","",TEXT(ROW()-3,"""DC-""0000"))</f>
        <v/>
      </c>
      <c r="B176" s="5" t="n"/>
      <c r="C176" s="5" t="n"/>
      <c r="D176" s="5" t="n"/>
      <c r="E176" s="5" t="n"/>
      <c r="F176" s="5" t="n"/>
      <c r="G176" s="5" t="n"/>
      <c r="H176" s="8" t="n"/>
      <c r="I176" s="8" t="n"/>
      <c r="J176" s="8" t="n"/>
      <c r="K176" s="11">
        <f>IF(B176="","",MAX(0,IFERROR(I176,0)*IFERROR(H176,0)-IFERROR(J176,0)))</f>
        <v/>
      </c>
      <c r="L176" s="8" t="n"/>
      <c r="M176" s="11">
        <f>IF(B176="","",MAX(0,K176-L176))</f>
        <v/>
      </c>
      <c r="N176" s="11">
        <f>IF(B176="","",IF(L176&gt;=K176,"Paid",IF(L176&gt;0,"Partial","Unpaid")))</f>
        <v/>
      </c>
      <c r="O176" s="5" t="n"/>
      <c r="P176" s="8" t="n"/>
      <c r="Q176" s="8" t="n"/>
      <c r="R176" s="11">
        <f>IF(B176="","",IFERROR(K176,0)+IFERROR(P176,0)-IFERROR(Q176,0))</f>
        <v/>
      </c>
      <c r="S176" s="5" t="n"/>
      <c r="T176" s="5" t="n"/>
      <c r="U176" s="11">
        <f>IF(B176="","",TRIM(LOWER(C176)&amp;"|"&amp;LOWER(D176)))</f>
        <v/>
      </c>
    </row>
    <row r="177">
      <c r="A177" s="11">
        <f>IF(B177="","",TEXT(ROW()-3,"""DC-""0000"))</f>
        <v/>
      </c>
      <c r="B177" s="5" t="n"/>
      <c r="C177" s="5" t="n"/>
      <c r="D177" s="5" t="n"/>
      <c r="E177" s="5" t="n"/>
      <c r="F177" s="5" t="n"/>
      <c r="G177" s="5" t="n"/>
      <c r="H177" s="8" t="n"/>
      <c r="I177" s="8" t="n"/>
      <c r="J177" s="8" t="n"/>
      <c r="K177" s="11">
        <f>IF(B177="","",MAX(0,IFERROR(I177,0)*IFERROR(H177,0)-IFERROR(J177,0)))</f>
        <v/>
      </c>
      <c r="L177" s="8" t="n"/>
      <c r="M177" s="11">
        <f>IF(B177="","",MAX(0,K177-L177))</f>
        <v/>
      </c>
      <c r="N177" s="11">
        <f>IF(B177="","",IF(L177&gt;=K177,"Paid",IF(L177&gt;0,"Partial","Unpaid")))</f>
        <v/>
      </c>
      <c r="O177" s="5" t="n"/>
      <c r="P177" s="8" t="n"/>
      <c r="Q177" s="8" t="n"/>
      <c r="R177" s="11">
        <f>IF(B177="","",IFERROR(K177,0)+IFERROR(P177,0)-IFERROR(Q177,0))</f>
        <v/>
      </c>
      <c r="S177" s="5" t="n"/>
      <c r="T177" s="5" t="n"/>
      <c r="U177" s="11">
        <f>IF(B177="","",TRIM(LOWER(C177)&amp;"|"&amp;LOWER(D177)))</f>
        <v/>
      </c>
    </row>
    <row r="178">
      <c r="A178" s="11">
        <f>IF(B178="","",TEXT(ROW()-3,"""DC-""0000"))</f>
        <v/>
      </c>
      <c r="B178" s="5" t="n"/>
      <c r="C178" s="5" t="n"/>
      <c r="D178" s="5" t="n"/>
      <c r="E178" s="5" t="n"/>
      <c r="F178" s="5" t="n"/>
      <c r="G178" s="5" t="n"/>
      <c r="H178" s="8" t="n"/>
      <c r="I178" s="8" t="n"/>
      <c r="J178" s="8" t="n"/>
      <c r="K178" s="11">
        <f>IF(B178="","",MAX(0,IFERROR(I178,0)*IFERROR(H178,0)-IFERROR(J178,0)))</f>
        <v/>
      </c>
      <c r="L178" s="8" t="n"/>
      <c r="M178" s="11">
        <f>IF(B178="","",MAX(0,K178-L178))</f>
        <v/>
      </c>
      <c r="N178" s="11">
        <f>IF(B178="","",IF(L178&gt;=K178,"Paid",IF(L178&gt;0,"Partial","Unpaid")))</f>
        <v/>
      </c>
      <c r="O178" s="5" t="n"/>
      <c r="P178" s="8" t="n"/>
      <c r="Q178" s="8" t="n"/>
      <c r="R178" s="11">
        <f>IF(B178="","",IFERROR(K178,0)+IFERROR(P178,0)-IFERROR(Q178,0))</f>
        <v/>
      </c>
      <c r="S178" s="5" t="n"/>
      <c r="T178" s="5" t="n"/>
      <c r="U178" s="11">
        <f>IF(B178="","",TRIM(LOWER(C178)&amp;"|"&amp;LOWER(D178)))</f>
        <v/>
      </c>
    </row>
    <row r="179">
      <c r="A179" s="11">
        <f>IF(B179="","",TEXT(ROW()-3,"""DC-""0000"))</f>
        <v/>
      </c>
      <c r="B179" s="5" t="n"/>
      <c r="C179" s="5" t="n"/>
      <c r="D179" s="5" t="n"/>
      <c r="E179" s="5" t="n"/>
      <c r="F179" s="5" t="n"/>
      <c r="G179" s="5" t="n"/>
      <c r="H179" s="8" t="n"/>
      <c r="I179" s="8" t="n"/>
      <c r="J179" s="8" t="n"/>
      <c r="K179" s="11">
        <f>IF(B179="","",MAX(0,IFERROR(I179,0)*IFERROR(H179,0)-IFERROR(J179,0)))</f>
        <v/>
      </c>
      <c r="L179" s="8" t="n"/>
      <c r="M179" s="11">
        <f>IF(B179="","",MAX(0,K179-L179))</f>
        <v/>
      </c>
      <c r="N179" s="11">
        <f>IF(B179="","",IF(L179&gt;=K179,"Paid",IF(L179&gt;0,"Partial","Unpaid")))</f>
        <v/>
      </c>
      <c r="O179" s="5" t="n"/>
      <c r="P179" s="8" t="n"/>
      <c r="Q179" s="8" t="n"/>
      <c r="R179" s="11">
        <f>IF(B179="","",IFERROR(K179,0)+IFERROR(P179,0)-IFERROR(Q179,0))</f>
        <v/>
      </c>
      <c r="S179" s="5" t="n"/>
      <c r="T179" s="5" t="n"/>
      <c r="U179" s="11">
        <f>IF(B179="","",TRIM(LOWER(C179)&amp;"|"&amp;LOWER(D179)))</f>
        <v/>
      </c>
    </row>
    <row r="180">
      <c r="A180" s="11">
        <f>IF(B180="","",TEXT(ROW()-3,"""DC-""0000"))</f>
        <v/>
      </c>
      <c r="B180" s="5" t="n"/>
      <c r="C180" s="5" t="n"/>
      <c r="D180" s="5" t="n"/>
      <c r="E180" s="5" t="n"/>
      <c r="F180" s="5" t="n"/>
      <c r="G180" s="5" t="n"/>
      <c r="H180" s="8" t="n"/>
      <c r="I180" s="8" t="n"/>
      <c r="J180" s="8" t="n"/>
      <c r="K180" s="11">
        <f>IF(B180="","",MAX(0,IFERROR(I180,0)*IFERROR(H180,0)-IFERROR(J180,0)))</f>
        <v/>
      </c>
      <c r="L180" s="8" t="n"/>
      <c r="M180" s="11">
        <f>IF(B180="","",MAX(0,K180-L180))</f>
        <v/>
      </c>
      <c r="N180" s="11">
        <f>IF(B180="","",IF(L180&gt;=K180,"Paid",IF(L180&gt;0,"Partial","Unpaid")))</f>
        <v/>
      </c>
      <c r="O180" s="5" t="n"/>
      <c r="P180" s="8" t="n"/>
      <c r="Q180" s="8" t="n"/>
      <c r="R180" s="11">
        <f>IF(B180="","",IFERROR(K180,0)+IFERROR(P180,0)-IFERROR(Q180,0))</f>
        <v/>
      </c>
      <c r="S180" s="5" t="n"/>
      <c r="T180" s="5" t="n"/>
      <c r="U180" s="11">
        <f>IF(B180="","",TRIM(LOWER(C180)&amp;"|"&amp;LOWER(D180)))</f>
        <v/>
      </c>
    </row>
    <row r="181">
      <c r="A181" s="11">
        <f>IF(B181="","",TEXT(ROW()-3,"""DC-""0000"))</f>
        <v/>
      </c>
      <c r="B181" s="5" t="n"/>
      <c r="C181" s="5" t="n"/>
      <c r="D181" s="5" t="n"/>
      <c r="E181" s="5" t="n"/>
      <c r="F181" s="5" t="n"/>
      <c r="G181" s="5" t="n"/>
      <c r="H181" s="8" t="n"/>
      <c r="I181" s="8" t="n"/>
      <c r="J181" s="8" t="n"/>
      <c r="K181" s="11">
        <f>IF(B181="","",MAX(0,IFERROR(I181,0)*IFERROR(H181,0)-IFERROR(J181,0)))</f>
        <v/>
      </c>
      <c r="L181" s="8" t="n"/>
      <c r="M181" s="11">
        <f>IF(B181="","",MAX(0,K181-L181))</f>
        <v/>
      </c>
      <c r="N181" s="11">
        <f>IF(B181="","",IF(L181&gt;=K181,"Paid",IF(L181&gt;0,"Partial","Unpaid")))</f>
        <v/>
      </c>
      <c r="O181" s="5" t="n"/>
      <c r="P181" s="8" t="n"/>
      <c r="Q181" s="8" t="n"/>
      <c r="R181" s="11">
        <f>IF(B181="","",IFERROR(K181,0)+IFERROR(P181,0)-IFERROR(Q181,0))</f>
        <v/>
      </c>
      <c r="S181" s="5" t="n"/>
      <c r="T181" s="5" t="n"/>
      <c r="U181" s="11">
        <f>IF(B181="","",TRIM(LOWER(C181)&amp;"|"&amp;LOWER(D181)))</f>
        <v/>
      </c>
    </row>
    <row r="182">
      <c r="A182" s="11">
        <f>IF(B182="","",TEXT(ROW()-3,"""DC-""0000"))</f>
        <v/>
      </c>
      <c r="B182" s="5" t="n"/>
      <c r="C182" s="5" t="n"/>
      <c r="D182" s="5" t="n"/>
      <c r="E182" s="5" t="n"/>
      <c r="F182" s="5" t="n"/>
      <c r="G182" s="5" t="n"/>
      <c r="H182" s="8" t="n"/>
      <c r="I182" s="8" t="n"/>
      <c r="J182" s="8" t="n"/>
      <c r="K182" s="11">
        <f>IF(B182="","",MAX(0,IFERROR(I182,0)*IFERROR(H182,0)-IFERROR(J182,0)))</f>
        <v/>
      </c>
      <c r="L182" s="8" t="n"/>
      <c r="M182" s="11">
        <f>IF(B182="","",MAX(0,K182-L182))</f>
        <v/>
      </c>
      <c r="N182" s="11">
        <f>IF(B182="","",IF(L182&gt;=K182,"Paid",IF(L182&gt;0,"Partial","Unpaid")))</f>
        <v/>
      </c>
      <c r="O182" s="5" t="n"/>
      <c r="P182" s="8" t="n"/>
      <c r="Q182" s="8" t="n"/>
      <c r="R182" s="11">
        <f>IF(B182="","",IFERROR(K182,0)+IFERROR(P182,0)-IFERROR(Q182,0))</f>
        <v/>
      </c>
      <c r="S182" s="5" t="n"/>
      <c r="T182" s="5" t="n"/>
      <c r="U182" s="11">
        <f>IF(B182="","",TRIM(LOWER(C182)&amp;"|"&amp;LOWER(D182)))</f>
        <v/>
      </c>
    </row>
    <row r="183">
      <c r="A183" s="11">
        <f>IF(B183="","",TEXT(ROW()-3,"""DC-""0000"))</f>
        <v/>
      </c>
      <c r="B183" s="5" t="n"/>
      <c r="C183" s="5" t="n"/>
      <c r="D183" s="5" t="n"/>
      <c r="E183" s="5" t="n"/>
      <c r="F183" s="5" t="n"/>
      <c r="G183" s="5" t="n"/>
      <c r="H183" s="8" t="n"/>
      <c r="I183" s="8" t="n"/>
      <c r="J183" s="8" t="n"/>
      <c r="K183" s="11">
        <f>IF(B183="","",MAX(0,IFERROR(I183,0)*IFERROR(H183,0)-IFERROR(J183,0)))</f>
        <v/>
      </c>
      <c r="L183" s="8" t="n"/>
      <c r="M183" s="11">
        <f>IF(B183="","",MAX(0,K183-L183))</f>
        <v/>
      </c>
      <c r="N183" s="11">
        <f>IF(B183="","",IF(L183&gt;=K183,"Paid",IF(L183&gt;0,"Partial","Unpaid")))</f>
        <v/>
      </c>
      <c r="O183" s="5" t="n"/>
      <c r="P183" s="8" t="n"/>
      <c r="Q183" s="8" t="n"/>
      <c r="R183" s="11">
        <f>IF(B183="","",IFERROR(K183,0)+IFERROR(P183,0)-IFERROR(Q183,0))</f>
        <v/>
      </c>
      <c r="S183" s="5" t="n"/>
      <c r="T183" s="5" t="n"/>
      <c r="U183" s="11">
        <f>IF(B183="","",TRIM(LOWER(C183)&amp;"|"&amp;LOWER(D183)))</f>
        <v/>
      </c>
    </row>
    <row r="184">
      <c r="A184" s="11">
        <f>IF(B184="","",TEXT(ROW()-3,"""DC-""0000"))</f>
        <v/>
      </c>
      <c r="B184" s="5" t="n"/>
      <c r="C184" s="5" t="n"/>
      <c r="D184" s="5" t="n"/>
      <c r="E184" s="5" t="n"/>
      <c r="F184" s="5" t="n"/>
      <c r="G184" s="5" t="n"/>
      <c r="H184" s="8" t="n"/>
      <c r="I184" s="8" t="n"/>
      <c r="J184" s="8" t="n"/>
      <c r="K184" s="11">
        <f>IF(B184="","",MAX(0,IFERROR(I184,0)*IFERROR(H184,0)-IFERROR(J184,0)))</f>
        <v/>
      </c>
      <c r="L184" s="8" t="n"/>
      <c r="M184" s="11">
        <f>IF(B184="","",MAX(0,K184-L184))</f>
        <v/>
      </c>
      <c r="N184" s="11">
        <f>IF(B184="","",IF(L184&gt;=K184,"Paid",IF(L184&gt;0,"Partial","Unpaid")))</f>
        <v/>
      </c>
      <c r="O184" s="5" t="n"/>
      <c r="P184" s="8" t="n"/>
      <c r="Q184" s="8" t="n"/>
      <c r="R184" s="11">
        <f>IF(B184="","",IFERROR(K184,0)+IFERROR(P184,0)-IFERROR(Q184,0))</f>
        <v/>
      </c>
      <c r="S184" s="5" t="n"/>
      <c r="T184" s="5" t="n"/>
      <c r="U184" s="11">
        <f>IF(B184="","",TRIM(LOWER(C184)&amp;"|"&amp;LOWER(D184)))</f>
        <v/>
      </c>
    </row>
    <row r="185">
      <c r="A185" s="11">
        <f>IF(B185="","",TEXT(ROW()-3,"""DC-""0000"))</f>
        <v/>
      </c>
      <c r="B185" s="5" t="n"/>
      <c r="C185" s="5" t="n"/>
      <c r="D185" s="5" t="n"/>
      <c r="E185" s="5" t="n"/>
      <c r="F185" s="5" t="n"/>
      <c r="G185" s="5" t="n"/>
      <c r="H185" s="8" t="n"/>
      <c r="I185" s="8" t="n"/>
      <c r="J185" s="8" t="n"/>
      <c r="K185" s="11">
        <f>IF(B185="","",MAX(0,IFERROR(I185,0)*IFERROR(H185,0)-IFERROR(J185,0)))</f>
        <v/>
      </c>
      <c r="L185" s="8" t="n"/>
      <c r="M185" s="11">
        <f>IF(B185="","",MAX(0,K185-L185))</f>
        <v/>
      </c>
      <c r="N185" s="11">
        <f>IF(B185="","",IF(L185&gt;=K185,"Paid",IF(L185&gt;0,"Partial","Unpaid")))</f>
        <v/>
      </c>
      <c r="O185" s="5" t="n"/>
      <c r="P185" s="8" t="n"/>
      <c r="Q185" s="8" t="n"/>
      <c r="R185" s="11">
        <f>IF(B185="","",IFERROR(K185,0)+IFERROR(P185,0)-IFERROR(Q185,0))</f>
        <v/>
      </c>
      <c r="S185" s="5" t="n"/>
      <c r="T185" s="5" t="n"/>
      <c r="U185" s="11">
        <f>IF(B185="","",TRIM(LOWER(C185)&amp;"|"&amp;LOWER(D185)))</f>
        <v/>
      </c>
    </row>
    <row r="186">
      <c r="A186" s="11">
        <f>IF(B186="","",TEXT(ROW()-3,"""DC-""0000"))</f>
        <v/>
      </c>
      <c r="B186" s="5" t="n"/>
      <c r="C186" s="5" t="n"/>
      <c r="D186" s="5" t="n"/>
      <c r="E186" s="5" t="n"/>
      <c r="F186" s="5" t="n"/>
      <c r="G186" s="5" t="n"/>
      <c r="H186" s="8" t="n"/>
      <c r="I186" s="8" t="n"/>
      <c r="J186" s="8" t="n"/>
      <c r="K186" s="11">
        <f>IF(B186="","",MAX(0,IFERROR(I186,0)*IFERROR(H186,0)-IFERROR(J186,0)))</f>
        <v/>
      </c>
      <c r="L186" s="8" t="n"/>
      <c r="M186" s="11">
        <f>IF(B186="","",MAX(0,K186-L186))</f>
        <v/>
      </c>
      <c r="N186" s="11">
        <f>IF(B186="","",IF(L186&gt;=K186,"Paid",IF(L186&gt;0,"Partial","Unpaid")))</f>
        <v/>
      </c>
      <c r="O186" s="5" t="n"/>
      <c r="P186" s="8" t="n"/>
      <c r="Q186" s="8" t="n"/>
      <c r="R186" s="11">
        <f>IF(B186="","",IFERROR(K186,0)+IFERROR(P186,0)-IFERROR(Q186,0))</f>
        <v/>
      </c>
      <c r="S186" s="5" t="n"/>
      <c r="T186" s="5" t="n"/>
      <c r="U186" s="11">
        <f>IF(B186="","",TRIM(LOWER(C186)&amp;"|"&amp;LOWER(D186)))</f>
        <v/>
      </c>
    </row>
    <row r="187">
      <c r="A187" s="11">
        <f>IF(B187="","",TEXT(ROW()-3,"""DC-""0000"))</f>
        <v/>
      </c>
      <c r="B187" s="5" t="n"/>
      <c r="C187" s="5" t="n"/>
      <c r="D187" s="5" t="n"/>
      <c r="E187" s="5" t="n"/>
      <c r="F187" s="5" t="n"/>
      <c r="G187" s="5" t="n"/>
      <c r="H187" s="8" t="n"/>
      <c r="I187" s="8" t="n"/>
      <c r="J187" s="8" t="n"/>
      <c r="K187" s="11">
        <f>IF(B187="","",MAX(0,IFERROR(I187,0)*IFERROR(H187,0)-IFERROR(J187,0)))</f>
        <v/>
      </c>
      <c r="L187" s="8" t="n"/>
      <c r="M187" s="11">
        <f>IF(B187="","",MAX(0,K187-L187))</f>
        <v/>
      </c>
      <c r="N187" s="11">
        <f>IF(B187="","",IF(L187&gt;=K187,"Paid",IF(L187&gt;0,"Partial","Unpaid")))</f>
        <v/>
      </c>
      <c r="O187" s="5" t="n"/>
      <c r="P187" s="8" t="n"/>
      <c r="Q187" s="8" t="n"/>
      <c r="R187" s="11">
        <f>IF(B187="","",IFERROR(K187,0)+IFERROR(P187,0)-IFERROR(Q187,0))</f>
        <v/>
      </c>
      <c r="S187" s="5" t="n"/>
      <c r="T187" s="5" t="n"/>
      <c r="U187" s="11">
        <f>IF(B187="","",TRIM(LOWER(C187)&amp;"|"&amp;LOWER(D187)))</f>
        <v/>
      </c>
    </row>
    <row r="188">
      <c r="A188" s="11">
        <f>IF(B188="","",TEXT(ROW()-3,"""DC-""0000"))</f>
        <v/>
      </c>
      <c r="B188" s="5" t="n"/>
      <c r="C188" s="5" t="n"/>
      <c r="D188" s="5" t="n"/>
      <c r="E188" s="5" t="n"/>
      <c r="F188" s="5" t="n"/>
      <c r="G188" s="5" t="n"/>
      <c r="H188" s="8" t="n"/>
      <c r="I188" s="8" t="n"/>
      <c r="J188" s="8" t="n"/>
      <c r="K188" s="11">
        <f>IF(B188="","",MAX(0,IFERROR(I188,0)*IFERROR(H188,0)-IFERROR(J188,0)))</f>
        <v/>
      </c>
      <c r="L188" s="8" t="n"/>
      <c r="M188" s="11">
        <f>IF(B188="","",MAX(0,K188-L188))</f>
        <v/>
      </c>
      <c r="N188" s="11">
        <f>IF(B188="","",IF(L188&gt;=K188,"Paid",IF(L188&gt;0,"Partial","Unpaid")))</f>
        <v/>
      </c>
      <c r="O188" s="5" t="n"/>
      <c r="P188" s="8" t="n"/>
      <c r="Q188" s="8" t="n"/>
      <c r="R188" s="11">
        <f>IF(B188="","",IFERROR(K188,0)+IFERROR(P188,0)-IFERROR(Q188,0))</f>
        <v/>
      </c>
      <c r="S188" s="5" t="n"/>
      <c r="T188" s="5" t="n"/>
      <c r="U188" s="11">
        <f>IF(B188="","",TRIM(LOWER(C188)&amp;"|"&amp;LOWER(D188)))</f>
        <v/>
      </c>
    </row>
    <row r="189">
      <c r="A189" s="11">
        <f>IF(B189="","",TEXT(ROW()-3,"""DC-""0000"))</f>
        <v/>
      </c>
      <c r="B189" s="5" t="n"/>
      <c r="C189" s="5" t="n"/>
      <c r="D189" s="5" t="n"/>
      <c r="E189" s="5" t="n"/>
      <c r="F189" s="5" t="n"/>
      <c r="G189" s="5" t="n"/>
      <c r="H189" s="8" t="n"/>
      <c r="I189" s="8" t="n"/>
      <c r="J189" s="8" t="n"/>
      <c r="K189" s="11">
        <f>IF(B189="","",MAX(0,IFERROR(I189,0)*IFERROR(H189,0)-IFERROR(J189,0)))</f>
        <v/>
      </c>
      <c r="L189" s="8" t="n"/>
      <c r="M189" s="11">
        <f>IF(B189="","",MAX(0,K189-L189))</f>
        <v/>
      </c>
      <c r="N189" s="11">
        <f>IF(B189="","",IF(L189&gt;=K189,"Paid",IF(L189&gt;0,"Partial","Unpaid")))</f>
        <v/>
      </c>
      <c r="O189" s="5" t="n"/>
      <c r="P189" s="8" t="n"/>
      <c r="Q189" s="8" t="n"/>
      <c r="R189" s="11">
        <f>IF(B189="","",IFERROR(K189,0)+IFERROR(P189,0)-IFERROR(Q189,0))</f>
        <v/>
      </c>
      <c r="S189" s="5" t="n"/>
      <c r="T189" s="5" t="n"/>
      <c r="U189" s="11">
        <f>IF(B189="","",TRIM(LOWER(C189)&amp;"|"&amp;LOWER(D189)))</f>
        <v/>
      </c>
    </row>
    <row r="190">
      <c r="A190" s="11">
        <f>IF(B190="","",TEXT(ROW()-3,"""DC-""0000"))</f>
        <v/>
      </c>
      <c r="B190" s="5" t="n"/>
      <c r="C190" s="5" t="n"/>
      <c r="D190" s="5" t="n"/>
      <c r="E190" s="5" t="n"/>
      <c r="F190" s="5" t="n"/>
      <c r="G190" s="5" t="n"/>
      <c r="H190" s="8" t="n"/>
      <c r="I190" s="8" t="n"/>
      <c r="J190" s="8" t="n"/>
      <c r="K190" s="11">
        <f>IF(B190="","",MAX(0,IFERROR(I190,0)*IFERROR(H190,0)-IFERROR(J190,0)))</f>
        <v/>
      </c>
      <c r="L190" s="8" t="n"/>
      <c r="M190" s="11">
        <f>IF(B190="","",MAX(0,K190-L190))</f>
        <v/>
      </c>
      <c r="N190" s="11">
        <f>IF(B190="","",IF(L190&gt;=K190,"Paid",IF(L190&gt;0,"Partial","Unpaid")))</f>
        <v/>
      </c>
      <c r="O190" s="5" t="n"/>
      <c r="P190" s="8" t="n"/>
      <c r="Q190" s="8" t="n"/>
      <c r="R190" s="11">
        <f>IF(B190="","",IFERROR(K190,0)+IFERROR(P190,0)-IFERROR(Q190,0))</f>
        <v/>
      </c>
      <c r="S190" s="5" t="n"/>
      <c r="T190" s="5" t="n"/>
      <c r="U190" s="11">
        <f>IF(B190="","",TRIM(LOWER(C190)&amp;"|"&amp;LOWER(D190)))</f>
        <v/>
      </c>
    </row>
    <row r="191">
      <c r="A191" s="11">
        <f>IF(B191="","",TEXT(ROW()-3,"""DC-""0000"))</f>
        <v/>
      </c>
      <c r="B191" s="5" t="n"/>
      <c r="C191" s="5" t="n"/>
      <c r="D191" s="5" t="n"/>
      <c r="E191" s="5" t="n"/>
      <c r="F191" s="5" t="n"/>
      <c r="G191" s="5" t="n"/>
      <c r="H191" s="8" t="n"/>
      <c r="I191" s="8" t="n"/>
      <c r="J191" s="8" t="n"/>
      <c r="K191" s="11">
        <f>IF(B191="","",MAX(0,IFERROR(I191,0)*IFERROR(H191,0)-IFERROR(J191,0)))</f>
        <v/>
      </c>
      <c r="L191" s="8" t="n"/>
      <c r="M191" s="11">
        <f>IF(B191="","",MAX(0,K191-L191))</f>
        <v/>
      </c>
      <c r="N191" s="11">
        <f>IF(B191="","",IF(L191&gt;=K191,"Paid",IF(L191&gt;0,"Partial","Unpaid")))</f>
        <v/>
      </c>
      <c r="O191" s="5" t="n"/>
      <c r="P191" s="8" t="n"/>
      <c r="Q191" s="8" t="n"/>
      <c r="R191" s="11">
        <f>IF(B191="","",IFERROR(K191,0)+IFERROR(P191,0)-IFERROR(Q191,0))</f>
        <v/>
      </c>
      <c r="S191" s="5" t="n"/>
      <c r="T191" s="5" t="n"/>
      <c r="U191" s="11">
        <f>IF(B191="","",TRIM(LOWER(C191)&amp;"|"&amp;LOWER(D191)))</f>
        <v/>
      </c>
    </row>
    <row r="192">
      <c r="A192" s="11">
        <f>IF(B192="","",TEXT(ROW()-3,"""DC-""0000"))</f>
        <v/>
      </c>
      <c r="B192" s="5" t="n"/>
      <c r="C192" s="5" t="n"/>
      <c r="D192" s="5" t="n"/>
      <c r="E192" s="5" t="n"/>
      <c r="F192" s="5" t="n"/>
      <c r="G192" s="5" t="n"/>
      <c r="H192" s="8" t="n"/>
      <c r="I192" s="8" t="n"/>
      <c r="J192" s="8" t="n"/>
      <c r="K192" s="11">
        <f>IF(B192="","",MAX(0,IFERROR(I192,0)*IFERROR(H192,0)-IFERROR(J192,0)))</f>
        <v/>
      </c>
      <c r="L192" s="8" t="n"/>
      <c r="M192" s="11">
        <f>IF(B192="","",MAX(0,K192-L192))</f>
        <v/>
      </c>
      <c r="N192" s="11">
        <f>IF(B192="","",IF(L192&gt;=K192,"Paid",IF(L192&gt;0,"Partial","Unpaid")))</f>
        <v/>
      </c>
      <c r="O192" s="5" t="n"/>
      <c r="P192" s="8" t="n"/>
      <c r="Q192" s="8" t="n"/>
      <c r="R192" s="11">
        <f>IF(B192="","",IFERROR(K192,0)+IFERROR(P192,0)-IFERROR(Q192,0))</f>
        <v/>
      </c>
      <c r="S192" s="5" t="n"/>
      <c r="T192" s="5" t="n"/>
      <c r="U192" s="11">
        <f>IF(B192="","",TRIM(LOWER(C192)&amp;"|"&amp;LOWER(D192)))</f>
        <v/>
      </c>
    </row>
    <row r="193">
      <c r="A193" s="11">
        <f>IF(B193="","",TEXT(ROW()-3,"""DC-""0000"))</f>
        <v/>
      </c>
      <c r="B193" s="5" t="n"/>
      <c r="C193" s="5" t="n"/>
      <c r="D193" s="5" t="n"/>
      <c r="E193" s="5" t="n"/>
      <c r="F193" s="5" t="n"/>
      <c r="G193" s="5" t="n"/>
      <c r="H193" s="8" t="n"/>
      <c r="I193" s="8" t="n"/>
      <c r="J193" s="8" t="n"/>
      <c r="K193" s="11">
        <f>IF(B193="","",MAX(0,IFERROR(I193,0)*IFERROR(H193,0)-IFERROR(J193,0)))</f>
        <v/>
      </c>
      <c r="L193" s="8" t="n"/>
      <c r="M193" s="11">
        <f>IF(B193="","",MAX(0,K193-L193))</f>
        <v/>
      </c>
      <c r="N193" s="11">
        <f>IF(B193="","",IF(L193&gt;=K193,"Paid",IF(L193&gt;0,"Partial","Unpaid")))</f>
        <v/>
      </c>
      <c r="O193" s="5" t="n"/>
      <c r="P193" s="8" t="n"/>
      <c r="Q193" s="8" t="n"/>
      <c r="R193" s="11">
        <f>IF(B193="","",IFERROR(K193,0)+IFERROR(P193,0)-IFERROR(Q193,0))</f>
        <v/>
      </c>
      <c r="S193" s="5" t="n"/>
      <c r="T193" s="5" t="n"/>
      <c r="U193" s="11">
        <f>IF(B193="","",TRIM(LOWER(C193)&amp;"|"&amp;LOWER(D193)))</f>
        <v/>
      </c>
    </row>
    <row r="194">
      <c r="A194" s="11">
        <f>IF(B194="","",TEXT(ROW()-3,"""DC-""0000"))</f>
        <v/>
      </c>
      <c r="B194" s="5" t="n"/>
      <c r="C194" s="5" t="n"/>
      <c r="D194" s="5" t="n"/>
      <c r="E194" s="5" t="n"/>
      <c r="F194" s="5" t="n"/>
      <c r="G194" s="5" t="n"/>
      <c r="H194" s="8" t="n"/>
      <c r="I194" s="8" t="n"/>
      <c r="J194" s="8" t="n"/>
      <c r="K194" s="11">
        <f>IF(B194="","",MAX(0,IFERROR(I194,0)*IFERROR(H194,0)-IFERROR(J194,0)))</f>
        <v/>
      </c>
      <c r="L194" s="8" t="n"/>
      <c r="M194" s="11">
        <f>IF(B194="","",MAX(0,K194-L194))</f>
        <v/>
      </c>
      <c r="N194" s="11">
        <f>IF(B194="","",IF(L194&gt;=K194,"Paid",IF(L194&gt;0,"Partial","Unpaid")))</f>
        <v/>
      </c>
      <c r="O194" s="5" t="n"/>
      <c r="P194" s="8" t="n"/>
      <c r="Q194" s="8" t="n"/>
      <c r="R194" s="11">
        <f>IF(B194="","",IFERROR(K194,0)+IFERROR(P194,0)-IFERROR(Q194,0))</f>
        <v/>
      </c>
      <c r="S194" s="5" t="n"/>
      <c r="T194" s="5" t="n"/>
      <c r="U194" s="11">
        <f>IF(B194="","",TRIM(LOWER(C194)&amp;"|"&amp;LOWER(D194)))</f>
        <v/>
      </c>
    </row>
    <row r="195">
      <c r="A195" s="11">
        <f>IF(B195="","",TEXT(ROW()-3,"""DC-""0000"))</f>
        <v/>
      </c>
      <c r="B195" s="5" t="n"/>
      <c r="C195" s="5" t="n"/>
      <c r="D195" s="5" t="n"/>
      <c r="E195" s="5" t="n"/>
      <c r="F195" s="5" t="n"/>
      <c r="G195" s="5" t="n"/>
      <c r="H195" s="8" t="n"/>
      <c r="I195" s="8" t="n"/>
      <c r="J195" s="8" t="n"/>
      <c r="K195" s="11">
        <f>IF(B195="","",MAX(0,IFERROR(I195,0)*IFERROR(H195,0)-IFERROR(J195,0)))</f>
        <v/>
      </c>
      <c r="L195" s="8" t="n"/>
      <c r="M195" s="11">
        <f>IF(B195="","",MAX(0,K195-L195))</f>
        <v/>
      </c>
      <c r="N195" s="11">
        <f>IF(B195="","",IF(L195&gt;=K195,"Paid",IF(L195&gt;0,"Partial","Unpaid")))</f>
        <v/>
      </c>
      <c r="O195" s="5" t="n"/>
      <c r="P195" s="8" t="n"/>
      <c r="Q195" s="8" t="n"/>
      <c r="R195" s="11">
        <f>IF(B195="","",IFERROR(K195,0)+IFERROR(P195,0)-IFERROR(Q195,0))</f>
        <v/>
      </c>
      <c r="S195" s="5" t="n"/>
      <c r="T195" s="5" t="n"/>
      <c r="U195" s="11">
        <f>IF(B195="","",TRIM(LOWER(C195)&amp;"|"&amp;LOWER(D195)))</f>
        <v/>
      </c>
    </row>
    <row r="196">
      <c r="A196" s="11">
        <f>IF(B196="","",TEXT(ROW()-3,"""DC-""0000"))</f>
        <v/>
      </c>
      <c r="B196" s="5" t="n"/>
      <c r="C196" s="5" t="n"/>
      <c r="D196" s="5" t="n"/>
      <c r="E196" s="5" t="n"/>
      <c r="F196" s="5" t="n"/>
      <c r="G196" s="5" t="n"/>
      <c r="H196" s="8" t="n"/>
      <c r="I196" s="8" t="n"/>
      <c r="J196" s="8" t="n"/>
      <c r="K196" s="11">
        <f>IF(B196="","",MAX(0,IFERROR(I196,0)*IFERROR(H196,0)-IFERROR(J196,0)))</f>
        <v/>
      </c>
      <c r="L196" s="8" t="n"/>
      <c r="M196" s="11">
        <f>IF(B196="","",MAX(0,K196-L196))</f>
        <v/>
      </c>
      <c r="N196" s="11">
        <f>IF(B196="","",IF(L196&gt;=K196,"Paid",IF(L196&gt;0,"Partial","Unpaid")))</f>
        <v/>
      </c>
      <c r="O196" s="5" t="n"/>
      <c r="P196" s="8" t="n"/>
      <c r="Q196" s="8" t="n"/>
      <c r="R196" s="11">
        <f>IF(B196="","",IFERROR(K196,0)+IFERROR(P196,0)-IFERROR(Q196,0))</f>
        <v/>
      </c>
      <c r="S196" s="5" t="n"/>
      <c r="T196" s="5" t="n"/>
      <c r="U196" s="11">
        <f>IF(B196="","",TRIM(LOWER(C196)&amp;"|"&amp;LOWER(D196)))</f>
        <v/>
      </c>
    </row>
    <row r="197">
      <c r="A197" s="11">
        <f>IF(B197="","",TEXT(ROW()-3,"""DC-""0000"))</f>
        <v/>
      </c>
      <c r="B197" s="5" t="n"/>
      <c r="C197" s="5" t="n"/>
      <c r="D197" s="5" t="n"/>
      <c r="E197" s="5" t="n"/>
      <c r="F197" s="5" t="n"/>
      <c r="G197" s="5" t="n"/>
      <c r="H197" s="8" t="n"/>
      <c r="I197" s="8" t="n"/>
      <c r="J197" s="8" t="n"/>
      <c r="K197" s="11">
        <f>IF(B197="","",MAX(0,IFERROR(I197,0)*IFERROR(H197,0)-IFERROR(J197,0)))</f>
        <v/>
      </c>
      <c r="L197" s="8" t="n"/>
      <c r="M197" s="11">
        <f>IF(B197="","",MAX(0,K197-L197))</f>
        <v/>
      </c>
      <c r="N197" s="11">
        <f>IF(B197="","",IF(L197&gt;=K197,"Paid",IF(L197&gt;0,"Partial","Unpaid")))</f>
        <v/>
      </c>
      <c r="O197" s="5" t="n"/>
      <c r="P197" s="8" t="n"/>
      <c r="Q197" s="8" t="n"/>
      <c r="R197" s="11">
        <f>IF(B197="","",IFERROR(K197,0)+IFERROR(P197,0)-IFERROR(Q197,0))</f>
        <v/>
      </c>
      <c r="S197" s="5" t="n"/>
      <c r="T197" s="5" t="n"/>
      <c r="U197" s="11">
        <f>IF(B197="","",TRIM(LOWER(C197)&amp;"|"&amp;LOWER(D197)))</f>
        <v/>
      </c>
    </row>
    <row r="198">
      <c r="A198" s="11">
        <f>IF(B198="","",TEXT(ROW()-3,"""DC-""0000"))</f>
        <v/>
      </c>
      <c r="B198" s="5" t="n"/>
      <c r="C198" s="5" t="n"/>
      <c r="D198" s="5" t="n"/>
      <c r="E198" s="5" t="n"/>
      <c r="F198" s="5" t="n"/>
      <c r="G198" s="5" t="n"/>
      <c r="H198" s="8" t="n"/>
      <c r="I198" s="8" t="n"/>
      <c r="J198" s="8" t="n"/>
      <c r="K198" s="11">
        <f>IF(B198="","",MAX(0,IFERROR(I198,0)*IFERROR(H198,0)-IFERROR(J198,0)))</f>
        <v/>
      </c>
      <c r="L198" s="8" t="n"/>
      <c r="M198" s="11">
        <f>IF(B198="","",MAX(0,K198-L198))</f>
        <v/>
      </c>
      <c r="N198" s="11">
        <f>IF(B198="","",IF(L198&gt;=K198,"Paid",IF(L198&gt;0,"Partial","Unpaid")))</f>
        <v/>
      </c>
      <c r="O198" s="5" t="n"/>
      <c r="P198" s="8" t="n"/>
      <c r="Q198" s="8" t="n"/>
      <c r="R198" s="11">
        <f>IF(B198="","",IFERROR(K198,0)+IFERROR(P198,0)-IFERROR(Q198,0))</f>
        <v/>
      </c>
      <c r="S198" s="5" t="n"/>
      <c r="T198" s="5" t="n"/>
      <c r="U198" s="11">
        <f>IF(B198="","",TRIM(LOWER(C198)&amp;"|"&amp;LOWER(D198)))</f>
        <v/>
      </c>
    </row>
    <row r="199">
      <c r="A199" s="11">
        <f>IF(B199="","",TEXT(ROW()-3,"""DC-""0000"))</f>
        <v/>
      </c>
      <c r="B199" s="5" t="n"/>
      <c r="C199" s="5" t="n"/>
      <c r="D199" s="5" t="n"/>
      <c r="E199" s="5" t="n"/>
      <c r="F199" s="5" t="n"/>
      <c r="G199" s="5" t="n"/>
      <c r="H199" s="8" t="n"/>
      <c r="I199" s="8" t="n"/>
      <c r="J199" s="8" t="n"/>
      <c r="K199" s="11">
        <f>IF(B199="","",MAX(0,IFERROR(I199,0)*IFERROR(H199,0)-IFERROR(J199,0)))</f>
        <v/>
      </c>
      <c r="L199" s="8" t="n"/>
      <c r="M199" s="11">
        <f>IF(B199="","",MAX(0,K199-L199))</f>
        <v/>
      </c>
      <c r="N199" s="11">
        <f>IF(B199="","",IF(L199&gt;=K199,"Paid",IF(L199&gt;0,"Partial","Unpaid")))</f>
        <v/>
      </c>
      <c r="O199" s="5" t="n"/>
      <c r="P199" s="8" t="n"/>
      <c r="Q199" s="8" t="n"/>
      <c r="R199" s="11">
        <f>IF(B199="","",IFERROR(K199,0)+IFERROR(P199,0)-IFERROR(Q199,0))</f>
        <v/>
      </c>
      <c r="S199" s="5" t="n"/>
      <c r="T199" s="5" t="n"/>
      <c r="U199" s="11">
        <f>IF(B199="","",TRIM(LOWER(C199)&amp;"|"&amp;LOWER(D199)))</f>
        <v/>
      </c>
    </row>
    <row r="200">
      <c r="A200" s="11">
        <f>IF(B200="","",TEXT(ROW()-3,"""DC-""0000"))</f>
        <v/>
      </c>
      <c r="B200" s="5" t="n"/>
      <c r="C200" s="5" t="n"/>
      <c r="D200" s="5" t="n"/>
      <c r="E200" s="5" t="n"/>
      <c r="F200" s="5" t="n"/>
      <c r="G200" s="5" t="n"/>
      <c r="H200" s="8" t="n"/>
      <c r="I200" s="8" t="n"/>
      <c r="J200" s="8" t="n"/>
      <c r="K200" s="11">
        <f>IF(B200="","",MAX(0,IFERROR(I200,0)*IFERROR(H200,0)-IFERROR(J200,0)))</f>
        <v/>
      </c>
      <c r="L200" s="8" t="n"/>
      <c r="M200" s="11">
        <f>IF(B200="","",MAX(0,K200-L200))</f>
        <v/>
      </c>
      <c r="N200" s="11">
        <f>IF(B200="","",IF(L200&gt;=K200,"Paid",IF(L200&gt;0,"Partial","Unpaid")))</f>
        <v/>
      </c>
      <c r="O200" s="5" t="n"/>
      <c r="P200" s="8" t="n"/>
      <c r="Q200" s="8" t="n"/>
      <c r="R200" s="11">
        <f>IF(B200="","",IFERROR(K200,0)+IFERROR(P200,0)-IFERROR(Q200,0))</f>
        <v/>
      </c>
      <c r="S200" s="5" t="n"/>
      <c r="T200" s="5" t="n"/>
      <c r="U200" s="11">
        <f>IF(B200="","",TRIM(LOWER(C200)&amp;"|"&amp;LOWER(D200)))</f>
        <v/>
      </c>
    </row>
    <row r="201">
      <c r="A201" s="11">
        <f>IF(B201="","",TEXT(ROW()-3,"""DC-""0000"))</f>
        <v/>
      </c>
      <c r="B201" s="5" t="n"/>
      <c r="C201" s="5" t="n"/>
      <c r="D201" s="5" t="n"/>
      <c r="E201" s="5" t="n"/>
      <c r="F201" s="5" t="n"/>
      <c r="G201" s="5" t="n"/>
      <c r="H201" s="8" t="n"/>
      <c r="I201" s="8" t="n"/>
      <c r="J201" s="8" t="n"/>
      <c r="K201" s="11">
        <f>IF(B201="","",MAX(0,IFERROR(I201,0)*IFERROR(H201,0)-IFERROR(J201,0)))</f>
        <v/>
      </c>
      <c r="L201" s="8" t="n"/>
      <c r="M201" s="11">
        <f>IF(B201="","",MAX(0,K201-L201))</f>
        <v/>
      </c>
      <c r="N201" s="11">
        <f>IF(B201="","",IF(L201&gt;=K201,"Paid",IF(L201&gt;0,"Partial","Unpaid")))</f>
        <v/>
      </c>
      <c r="O201" s="5" t="n"/>
      <c r="P201" s="8" t="n"/>
      <c r="Q201" s="8" t="n"/>
      <c r="R201" s="11">
        <f>IF(B201="","",IFERROR(K201,0)+IFERROR(P201,0)-IFERROR(Q201,0))</f>
        <v/>
      </c>
      <c r="S201" s="5" t="n"/>
      <c r="T201" s="5" t="n"/>
      <c r="U201" s="11">
        <f>IF(B201="","",TRIM(LOWER(C201)&amp;"|"&amp;LOWER(D201)))</f>
        <v/>
      </c>
    </row>
    <row r="202">
      <c r="A202" s="11">
        <f>IF(B202="","",TEXT(ROW()-3,"""DC-""0000"))</f>
        <v/>
      </c>
      <c r="B202" s="5" t="n"/>
      <c r="C202" s="5" t="n"/>
      <c r="D202" s="5" t="n"/>
      <c r="E202" s="5" t="n"/>
      <c r="F202" s="5" t="n"/>
      <c r="G202" s="5" t="n"/>
      <c r="H202" s="8" t="n"/>
      <c r="I202" s="8" t="n"/>
      <c r="J202" s="8" t="n"/>
      <c r="K202" s="11">
        <f>IF(B202="","",MAX(0,IFERROR(I202,0)*IFERROR(H202,0)-IFERROR(J202,0)))</f>
        <v/>
      </c>
      <c r="L202" s="8" t="n"/>
      <c r="M202" s="11">
        <f>IF(B202="","",MAX(0,K202-L202))</f>
        <v/>
      </c>
      <c r="N202" s="11">
        <f>IF(B202="","",IF(L202&gt;=K202,"Paid",IF(L202&gt;0,"Partial","Unpaid")))</f>
        <v/>
      </c>
      <c r="O202" s="5" t="n"/>
      <c r="P202" s="8" t="n"/>
      <c r="Q202" s="8" t="n"/>
      <c r="R202" s="11">
        <f>IF(B202="","",IFERROR(K202,0)+IFERROR(P202,0)-IFERROR(Q202,0))</f>
        <v/>
      </c>
      <c r="S202" s="5" t="n"/>
      <c r="T202" s="5" t="n"/>
      <c r="U202" s="11">
        <f>IF(B202="","",TRIM(LOWER(C202)&amp;"|"&amp;LOWER(D202)))</f>
        <v/>
      </c>
    </row>
    <row r="203">
      <c r="A203" s="11">
        <f>IF(B203="","",TEXT(ROW()-3,"""DC-""0000"))</f>
        <v/>
      </c>
      <c r="B203" s="5" t="n"/>
      <c r="C203" s="5" t="n"/>
      <c r="D203" s="5" t="n"/>
      <c r="E203" s="5" t="n"/>
      <c r="F203" s="5" t="n"/>
      <c r="G203" s="5" t="n"/>
      <c r="H203" s="8" t="n"/>
      <c r="I203" s="8" t="n"/>
      <c r="J203" s="8" t="n"/>
      <c r="K203" s="11">
        <f>IF(B203="","",MAX(0,IFERROR(I203,0)*IFERROR(H203,0)-IFERROR(J203,0)))</f>
        <v/>
      </c>
      <c r="L203" s="8" t="n"/>
      <c r="M203" s="11">
        <f>IF(B203="","",MAX(0,K203-L203))</f>
        <v/>
      </c>
      <c r="N203" s="11">
        <f>IF(B203="","",IF(L203&gt;=K203,"Paid",IF(L203&gt;0,"Partial","Unpaid")))</f>
        <v/>
      </c>
      <c r="O203" s="5" t="n"/>
      <c r="P203" s="8" t="n"/>
      <c r="Q203" s="8" t="n"/>
      <c r="R203" s="11">
        <f>IF(B203="","",IFERROR(K203,0)+IFERROR(P203,0)-IFERROR(Q203,0))</f>
        <v/>
      </c>
      <c r="S203" s="5" t="n"/>
      <c r="T203" s="5" t="n"/>
      <c r="U203" s="11">
        <f>IF(B203="","",TRIM(LOWER(C203)&amp;"|"&amp;LOWER(D203)))</f>
        <v/>
      </c>
    </row>
    <row r="204">
      <c r="A204" s="11">
        <f>IF(B204="","",TEXT(ROW()-3,"""DC-""0000"))</f>
        <v/>
      </c>
      <c r="B204" s="5" t="n"/>
      <c r="C204" s="5" t="n"/>
      <c r="D204" s="5" t="n"/>
      <c r="E204" s="5" t="n"/>
      <c r="F204" s="5" t="n"/>
      <c r="G204" s="5" t="n"/>
      <c r="H204" s="8" t="n"/>
      <c r="I204" s="8" t="n"/>
      <c r="J204" s="8" t="n"/>
      <c r="K204" s="11">
        <f>IF(B204="","",MAX(0,IFERROR(I204,0)*IFERROR(H204,0)-IFERROR(J204,0)))</f>
        <v/>
      </c>
      <c r="L204" s="8" t="n"/>
      <c r="M204" s="11">
        <f>IF(B204="","",MAX(0,K204-L204))</f>
        <v/>
      </c>
      <c r="N204" s="11">
        <f>IF(B204="","",IF(L204&gt;=K204,"Paid",IF(L204&gt;0,"Partial","Unpaid")))</f>
        <v/>
      </c>
      <c r="O204" s="5" t="n"/>
      <c r="P204" s="8" t="n"/>
      <c r="Q204" s="8" t="n"/>
      <c r="R204" s="11">
        <f>IF(B204="","",IFERROR(K204,0)+IFERROR(P204,0)-IFERROR(Q204,0))</f>
        <v/>
      </c>
      <c r="S204" s="5" t="n"/>
      <c r="T204" s="5" t="n"/>
      <c r="U204" s="11">
        <f>IF(B204="","",TRIM(LOWER(C204)&amp;"|"&amp;LOWER(D204)))</f>
        <v/>
      </c>
    </row>
    <row r="205">
      <c r="A205" s="11">
        <f>IF(B205="","",TEXT(ROW()-3,"""DC-""0000"))</f>
        <v/>
      </c>
      <c r="B205" s="5" t="n"/>
      <c r="C205" s="5" t="n"/>
      <c r="D205" s="5" t="n"/>
      <c r="E205" s="5" t="n"/>
      <c r="F205" s="5" t="n"/>
      <c r="G205" s="5" t="n"/>
      <c r="H205" s="8" t="n"/>
      <c r="I205" s="8" t="n"/>
      <c r="J205" s="8" t="n"/>
      <c r="K205" s="11">
        <f>IF(B205="","",MAX(0,IFERROR(I205,0)*IFERROR(H205,0)-IFERROR(J205,0)))</f>
        <v/>
      </c>
      <c r="L205" s="8" t="n"/>
      <c r="M205" s="11">
        <f>IF(B205="","",MAX(0,K205-L205))</f>
        <v/>
      </c>
      <c r="N205" s="11">
        <f>IF(B205="","",IF(L205&gt;=K205,"Paid",IF(L205&gt;0,"Partial","Unpaid")))</f>
        <v/>
      </c>
      <c r="O205" s="5" t="n"/>
      <c r="P205" s="8" t="n"/>
      <c r="Q205" s="8" t="n"/>
      <c r="R205" s="11">
        <f>IF(B205="","",IFERROR(K205,0)+IFERROR(P205,0)-IFERROR(Q205,0))</f>
        <v/>
      </c>
      <c r="S205" s="5" t="n"/>
      <c r="T205" s="5" t="n"/>
      <c r="U205" s="11">
        <f>IF(B205="","",TRIM(LOWER(C205)&amp;"|"&amp;LOWER(D205)))</f>
        <v/>
      </c>
    </row>
    <row r="206">
      <c r="A206" s="11">
        <f>IF(B206="","",TEXT(ROW()-3,"""DC-""0000"))</f>
        <v/>
      </c>
      <c r="B206" s="5" t="n"/>
      <c r="C206" s="5" t="n"/>
      <c r="D206" s="5" t="n"/>
      <c r="E206" s="5" t="n"/>
      <c r="F206" s="5" t="n"/>
      <c r="G206" s="5" t="n"/>
      <c r="H206" s="8" t="n"/>
      <c r="I206" s="8" t="n"/>
      <c r="J206" s="8" t="n"/>
      <c r="K206" s="11">
        <f>IF(B206="","",MAX(0,IFERROR(I206,0)*IFERROR(H206,0)-IFERROR(J206,0)))</f>
        <v/>
      </c>
      <c r="L206" s="8" t="n"/>
      <c r="M206" s="11">
        <f>IF(B206="","",MAX(0,K206-L206))</f>
        <v/>
      </c>
      <c r="N206" s="11">
        <f>IF(B206="","",IF(L206&gt;=K206,"Paid",IF(L206&gt;0,"Partial","Unpaid")))</f>
        <v/>
      </c>
      <c r="O206" s="5" t="n"/>
      <c r="P206" s="8" t="n"/>
      <c r="Q206" s="8" t="n"/>
      <c r="R206" s="11">
        <f>IF(B206="","",IFERROR(K206,0)+IFERROR(P206,0)-IFERROR(Q206,0))</f>
        <v/>
      </c>
      <c r="S206" s="5" t="n"/>
      <c r="T206" s="5" t="n"/>
      <c r="U206" s="11">
        <f>IF(B206="","",TRIM(LOWER(C206)&amp;"|"&amp;LOWER(D206)))</f>
        <v/>
      </c>
    </row>
    <row r="207">
      <c r="A207" s="11">
        <f>IF(B207="","",TEXT(ROW()-3,"""DC-""0000"))</f>
        <v/>
      </c>
      <c r="B207" s="5" t="n"/>
      <c r="C207" s="5" t="n"/>
      <c r="D207" s="5" t="n"/>
      <c r="E207" s="5" t="n"/>
      <c r="F207" s="5" t="n"/>
      <c r="G207" s="5" t="n"/>
      <c r="H207" s="8" t="n"/>
      <c r="I207" s="8" t="n"/>
      <c r="J207" s="8" t="n"/>
      <c r="K207" s="11">
        <f>IF(B207="","",MAX(0,IFERROR(I207,0)*IFERROR(H207,0)-IFERROR(J207,0)))</f>
        <v/>
      </c>
      <c r="L207" s="8" t="n"/>
      <c r="M207" s="11">
        <f>IF(B207="","",MAX(0,K207-L207))</f>
        <v/>
      </c>
      <c r="N207" s="11">
        <f>IF(B207="","",IF(L207&gt;=K207,"Paid",IF(L207&gt;0,"Partial","Unpaid")))</f>
        <v/>
      </c>
      <c r="O207" s="5" t="n"/>
      <c r="P207" s="8" t="n"/>
      <c r="Q207" s="8" t="n"/>
      <c r="R207" s="11">
        <f>IF(B207="","",IFERROR(K207,0)+IFERROR(P207,0)-IFERROR(Q207,0))</f>
        <v/>
      </c>
      <c r="S207" s="5" t="n"/>
      <c r="T207" s="5" t="n"/>
      <c r="U207" s="11">
        <f>IF(B207="","",TRIM(LOWER(C207)&amp;"|"&amp;LOWER(D207)))</f>
        <v/>
      </c>
    </row>
    <row r="208">
      <c r="A208" s="11">
        <f>IF(B208="","",TEXT(ROW()-3,"""DC-""0000"))</f>
        <v/>
      </c>
      <c r="B208" s="5" t="n"/>
      <c r="C208" s="5" t="n"/>
      <c r="D208" s="5" t="n"/>
      <c r="E208" s="5" t="n"/>
      <c r="F208" s="5" t="n"/>
      <c r="G208" s="5" t="n"/>
      <c r="H208" s="8" t="n"/>
      <c r="I208" s="8" t="n"/>
      <c r="J208" s="8" t="n"/>
      <c r="K208" s="11">
        <f>IF(B208="","",MAX(0,IFERROR(I208,0)*IFERROR(H208,0)-IFERROR(J208,0)))</f>
        <v/>
      </c>
      <c r="L208" s="8" t="n"/>
      <c r="M208" s="11">
        <f>IF(B208="","",MAX(0,K208-L208))</f>
        <v/>
      </c>
      <c r="N208" s="11">
        <f>IF(B208="","",IF(L208&gt;=K208,"Paid",IF(L208&gt;0,"Partial","Unpaid")))</f>
        <v/>
      </c>
      <c r="O208" s="5" t="n"/>
      <c r="P208" s="8" t="n"/>
      <c r="Q208" s="8" t="n"/>
      <c r="R208" s="11">
        <f>IF(B208="","",IFERROR(K208,0)+IFERROR(P208,0)-IFERROR(Q208,0))</f>
        <v/>
      </c>
      <c r="S208" s="5" t="n"/>
      <c r="T208" s="5" t="n"/>
      <c r="U208" s="11">
        <f>IF(B208="","",TRIM(LOWER(C208)&amp;"|"&amp;LOWER(D208)))</f>
        <v/>
      </c>
    </row>
    <row r="209">
      <c r="A209" s="11">
        <f>IF(B209="","",TEXT(ROW()-3,"""DC-""0000"))</f>
        <v/>
      </c>
      <c r="B209" s="5" t="n"/>
      <c r="C209" s="5" t="n"/>
      <c r="D209" s="5" t="n"/>
      <c r="E209" s="5" t="n"/>
      <c r="F209" s="5" t="n"/>
      <c r="G209" s="5" t="n"/>
      <c r="H209" s="8" t="n"/>
      <c r="I209" s="8" t="n"/>
      <c r="J209" s="8" t="n"/>
      <c r="K209" s="11">
        <f>IF(B209="","",MAX(0,IFERROR(I209,0)*IFERROR(H209,0)-IFERROR(J209,0)))</f>
        <v/>
      </c>
      <c r="L209" s="8" t="n"/>
      <c r="M209" s="11">
        <f>IF(B209="","",MAX(0,K209-L209))</f>
        <v/>
      </c>
      <c r="N209" s="11">
        <f>IF(B209="","",IF(L209&gt;=K209,"Paid",IF(L209&gt;0,"Partial","Unpaid")))</f>
        <v/>
      </c>
      <c r="O209" s="5" t="n"/>
      <c r="P209" s="8" t="n"/>
      <c r="Q209" s="8" t="n"/>
      <c r="R209" s="11">
        <f>IF(B209="","",IFERROR(K209,0)+IFERROR(P209,0)-IFERROR(Q209,0))</f>
        <v/>
      </c>
      <c r="S209" s="5" t="n"/>
      <c r="T209" s="5" t="n"/>
      <c r="U209" s="11">
        <f>IF(B209="","",TRIM(LOWER(C209)&amp;"|"&amp;LOWER(D209)))</f>
        <v/>
      </c>
    </row>
    <row r="210">
      <c r="A210" s="11">
        <f>IF(B210="","",TEXT(ROW()-3,"""DC-""0000"))</f>
        <v/>
      </c>
      <c r="B210" s="5" t="n"/>
      <c r="C210" s="5" t="n"/>
      <c r="D210" s="5" t="n"/>
      <c r="E210" s="5" t="n"/>
      <c r="F210" s="5" t="n"/>
      <c r="G210" s="5" t="n"/>
      <c r="H210" s="8" t="n"/>
      <c r="I210" s="8" t="n"/>
      <c r="J210" s="8" t="n"/>
      <c r="K210" s="11">
        <f>IF(B210="","",MAX(0,IFERROR(I210,0)*IFERROR(H210,0)-IFERROR(J210,0)))</f>
        <v/>
      </c>
      <c r="L210" s="8" t="n"/>
      <c r="M210" s="11">
        <f>IF(B210="","",MAX(0,K210-L210))</f>
        <v/>
      </c>
      <c r="N210" s="11">
        <f>IF(B210="","",IF(L210&gt;=K210,"Paid",IF(L210&gt;0,"Partial","Unpaid")))</f>
        <v/>
      </c>
      <c r="O210" s="5" t="n"/>
      <c r="P210" s="8" t="n"/>
      <c r="Q210" s="8" t="n"/>
      <c r="R210" s="11">
        <f>IF(B210="","",IFERROR(K210,0)+IFERROR(P210,0)-IFERROR(Q210,0))</f>
        <v/>
      </c>
      <c r="S210" s="5" t="n"/>
      <c r="T210" s="5" t="n"/>
      <c r="U210" s="11">
        <f>IF(B210="","",TRIM(LOWER(C210)&amp;"|"&amp;LOWER(D210)))</f>
        <v/>
      </c>
    </row>
    <row r="211">
      <c r="A211" s="11">
        <f>IF(B211="","",TEXT(ROW()-3,"""DC-""0000"))</f>
        <v/>
      </c>
      <c r="B211" s="5" t="n"/>
      <c r="C211" s="5" t="n"/>
      <c r="D211" s="5" t="n"/>
      <c r="E211" s="5" t="n"/>
      <c r="F211" s="5" t="n"/>
      <c r="G211" s="5" t="n"/>
      <c r="H211" s="8" t="n"/>
      <c r="I211" s="8" t="n"/>
      <c r="J211" s="8" t="n"/>
      <c r="K211" s="11">
        <f>IF(B211="","",MAX(0,IFERROR(I211,0)*IFERROR(H211,0)-IFERROR(J211,0)))</f>
        <v/>
      </c>
      <c r="L211" s="8" t="n"/>
      <c r="M211" s="11">
        <f>IF(B211="","",MAX(0,K211-L211))</f>
        <v/>
      </c>
      <c r="N211" s="11">
        <f>IF(B211="","",IF(L211&gt;=K211,"Paid",IF(L211&gt;0,"Partial","Unpaid")))</f>
        <v/>
      </c>
      <c r="O211" s="5" t="n"/>
      <c r="P211" s="8" t="n"/>
      <c r="Q211" s="8" t="n"/>
      <c r="R211" s="11">
        <f>IF(B211="","",IFERROR(K211,0)+IFERROR(P211,0)-IFERROR(Q211,0))</f>
        <v/>
      </c>
      <c r="S211" s="5" t="n"/>
      <c r="T211" s="5" t="n"/>
      <c r="U211" s="11">
        <f>IF(B211="","",TRIM(LOWER(C211)&amp;"|"&amp;LOWER(D211)))</f>
        <v/>
      </c>
    </row>
    <row r="212">
      <c r="A212" s="11">
        <f>IF(B212="","",TEXT(ROW()-3,"""DC-""0000"))</f>
        <v/>
      </c>
      <c r="B212" s="5" t="n"/>
      <c r="C212" s="5" t="n"/>
      <c r="D212" s="5" t="n"/>
      <c r="E212" s="5" t="n"/>
      <c r="F212" s="5" t="n"/>
      <c r="G212" s="5" t="n"/>
      <c r="H212" s="8" t="n"/>
      <c r="I212" s="8" t="n"/>
      <c r="J212" s="8" t="n"/>
      <c r="K212" s="11">
        <f>IF(B212="","",MAX(0,IFERROR(I212,0)*IFERROR(H212,0)-IFERROR(J212,0)))</f>
        <v/>
      </c>
      <c r="L212" s="8" t="n"/>
      <c r="M212" s="11">
        <f>IF(B212="","",MAX(0,K212-L212))</f>
        <v/>
      </c>
      <c r="N212" s="11">
        <f>IF(B212="","",IF(L212&gt;=K212,"Paid",IF(L212&gt;0,"Partial","Unpaid")))</f>
        <v/>
      </c>
      <c r="O212" s="5" t="n"/>
      <c r="P212" s="8" t="n"/>
      <c r="Q212" s="8" t="n"/>
      <c r="R212" s="11">
        <f>IF(B212="","",IFERROR(K212,0)+IFERROR(P212,0)-IFERROR(Q212,0))</f>
        <v/>
      </c>
      <c r="S212" s="5" t="n"/>
      <c r="T212" s="5" t="n"/>
      <c r="U212" s="11">
        <f>IF(B212="","",TRIM(LOWER(C212)&amp;"|"&amp;LOWER(D212)))</f>
        <v/>
      </c>
    </row>
    <row r="213">
      <c r="A213" s="11">
        <f>IF(B213="","",TEXT(ROW()-3,"""DC-""0000"))</f>
        <v/>
      </c>
      <c r="B213" s="5" t="n"/>
      <c r="C213" s="5" t="n"/>
      <c r="D213" s="5" t="n"/>
      <c r="E213" s="5" t="n"/>
      <c r="F213" s="5" t="n"/>
      <c r="G213" s="5" t="n"/>
      <c r="H213" s="8" t="n"/>
      <c r="I213" s="8" t="n"/>
      <c r="J213" s="8" t="n"/>
      <c r="K213" s="11">
        <f>IF(B213="","",MAX(0,IFERROR(I213,0)*IFERROR(H213,0)-IFERROR(J213,0)))</f>
        <v/>
      </c>
      <c r="L213" s="8" t="n"/>
      <c r="M213" s="11">
        <f>IF(B213="","",MAX(0,K213-L213))</f>
        <v/>
      </c>
      <c r="N213" s="11">
        <f>IF(B213="","",IF(L213&gt;=K213,"Paid",IF(L213&gt;0,"Partial","Unpaid")))</f>
        <v/>
      </c>
      <c r="O213" s="5" t="n"/>
      <c r="P213" s="8" t="n"/>
      <c r="Q213" s="8" t="n"/>
      <c r="R213" s="11">
        <f>IF(B213="","",IFERROR(K213,0)+IFERROR(P213,0)-IFERROR(Q213,0))</f>
        <v/>
      </c>
      <c r="S213" s="5" t="n"/>
      <c r="T213" s="5" t="n"/>
      <c r="U213" s="11">
        <f>IF(B213="","",TRIM(LOWER(C213)&amp;"|"&amp;LOWER(D213)))</f>
        <v/>
      </c>
    </row>
    <row r="214">
      <c r="A214" s="11">
        <f>IF(B214="","",TEXT(ROW()-3,"""DC-""0000"))</f>
        <v/>
      </c>
      <c r="B214" s="5" t="n"/>
      <c r="C214" s="5" t="n"/>
      <c r="D214" s="5" t="n"/>
      <c r="E214" s="5" t="n"/>
      <c r="F214" s="5" t="n"/>
      <c r="G214" s="5" t="n"/>
      <c r="H214" s="8" t="n"/>
      <c r="I214" s="8" t="n"/>
      <c r="J214" s="8" t="n"/>
      <c r="K214" s="11">
        <f>IF(B214="","",MAX(0,IFERROR(I214,0)*IFERROR(H214,0)-IFERROR(J214,0)))</f>
        <v/>
      </c>
      <c r="L214" s="8" t="n"/>
      <c r="M214" s="11">
        <f>IF(B214="","",MAX(0,K214-L214))</f>
        <v/>
      </c>
      <c r="N214" s="11">
        <f>IF(B214="","",IF(L214&gt;=K214,"Paid",IF(L214&gt;0,"Partial","Unpaid")))</f>
        <v/>
      </c>
      <c r="O214" s="5" t="n"/>
      <c r="P214" s="8" t="n"/>
      <c r="Q214" s="8" t="n"/>
      <c r="R214" s="11">
        <f>IF(B214="","",IFERROR(K214,0)+IFERROR(P214,0)-IFERROR(Q214,0))</f>
        <v/>
      </c>
      <c r="S214" s="5" t="n"/>
      <c r="T214" s="5" t="n"/>
      <c r="U214" s="11">
        <f>IF(B214="","",TRIM(LOWER(C214)&amp;"|"&amp;LOWER(D214)))</f>
        <v/>
      </c>
    </row>
    <row r="215">
      <c r="A215" s="11">
        <f>IF(B215="","",TEXT(ROW()-3,"""DC-""0000"))</f>
        <v/>
      </c>
      <c r="B215" s="5" t="n"/>
      <c r="C215" s="5" t="n"/>
      <c r="D215" s="5" t="n"/>
      <c r="E215" s="5" t="n"/>
      <c r="F215" s="5" t="n"/>
      <c r="G215" s="5" t="n"/>
      <c r="H215" s="8" t="n"/>
      <c r="I215" s="8" t="n"/>
      <c r="J215" s="8" t="n"/>
      <c r="K215" s="11">
        <f>IF(B215="","",MAX(0,IFERROR(I215,0)*IFERROR(H215,0)-IFERROR(J215,0)))</f>
        <v/>
      </c>
      <c r="L215" s="8" t="n"/>
      <c r="M215" s="11">
        <f>IF(B215="","",MAX(0,K215-L215))</f>
        <v/>
      </c>
      <c r="N215" s="11">
        <f>IF(B215="","",IF(L215&gt;=K215,"Paid",IF(L215&gt;0,"Partial","Unpaid")))</f>
        <v/>
      </c>
      <c r="O215" s="5" t="n"/>
      <c r="P215" s="8" t="n"/>
      <c r="Q215" s="8" t="n"/>
      <c r="R215" s="11">
        <f>IF(B215="","",IFERROR(K215,0)+IFERROR(P215,0)-IFERROR(Q215,0))</f>
        <v/>
      </c>
      <c r="S215" s="5" t="n"/>
      <c r="T215" s="5" t="n"/>
      <c r="U215" s="11">
        <f>IF(B215="","",TRIM(LOWER(C215)&amp;"|"&amp;LOWER(D215)))</f>
        <v/>
      </c>
    </row>
    <row r="216">
      <c r="A216" s="11">
        <f>IF(B216="","",TEXT(ROW()-3,"""DC-""0000"))</f>
        <v/>
      </c>
      <c r="B216" s="5" t="n"/>
      <c r="C216" s="5" t="n"/>
      <c r="D216" s="5" t="n"/>
      <c r="E216" s="5" t="n"/>
      <c r="F216" s="5" t="n"/>
      <c r="G216" s="5" t="n"/>
      <c r="H216" s="8" t="n"/>
      <c r="I216" s="8" t="n"/>
      <c r="J216" s="8" t="n"/>
      <c r="K216" s="11">
        <f>IF(B216="","",MAX(0,IFERROR(I216,0)*IFERROR(H216,0)-IFERROR(J216,0)))</f>
        <v/>
      </c>
      <c r="L216" s="8" t="n"/>
      <c r="M216" s="11">
        <f>IF(B216="","",MAX(0,K216-L216))</f>
        <v/>
      </c>
      <c r="N216" s="11">
        <f>IF(B216="","",IF(L216&gt;=K216,"Paid",IF(L216&gt;0,"Partial","Unpaid")))</f>
        <v/>
      </c>
      <c r="O216" s="5" t="n"/>
      <c r="P216" s="8" t="n"/>
      <c r="Q216" s="8" t="n"/>
      <c r="R216" s="11">
        <f>IF(B216="","",IFERROR(K216,0)+IFERROR(P216,0)-IFERROR(Q216,0))</f>
        <v/>
      </c>
      <c r="S216" s="5" t="n"/>
      <c r="T216" s="5" t="n"/>
      <c r="U216" s="11">
        <f>IF(B216="","",TRIM(LOWER(C216)&amp;"|"&amp;LOWER(D216)))</f>
        <v/>
      </c>
    </row>
    <row r="217">
      <c r="A217" s="11">
        <f>IF(B217="","",TEXT(ROW()-3,"""DC-""0000"))</f>
        <v/>
      </c>
      <c r="B217" s="5" t="n"/>
      <c r="C217" s="5" t="n"/>
      <c r="D217" s="5" t="n"/>
      <c r="E217" s="5" t="n"/>
      <c r="F217" s="5" t="n"/>
      <c r="G217" s="5" t="n"/>
      <c r="H217" s="8" t="n"/>
      <c r="I217" s="8" t="n"/>
      <c r="J217" s="8" t="n"/>
      <c r="K217" s="11">
        <f>IF(B217="","",MAX(0,IFERROR(I217,0)*IFERROR(H217,0)-IFERROR(J217,0)))</f>
        <v/>
      </c>
      <c r="L217" s="8" t="n"/>
      <c r="M217" s="11">
        <f>IF(B217="","",MAX(0,K217-L217))</f>
        <v/>
      </c>
      <c r="N217" s="11">
        <f>IF(B217="","",IF(L217&gt;=K217,"Paid",IF(L217&gt;0,"Partial","Unpaid")))</f>
        <v/>
      </c>
      <c r="O217" s="5" t="n"/>
      <c r="P217" s="8" t="n"/>
      <c r="Q217" s="8" t="n"/>
      <c r="R217" s="11">
        <f>IF(B217="","",IFERROR(K217,0)+IFERROR(P217,0)-IFERROR(Q217,0))</f>
        <v/>
      </c>
      <c r="S217" s="5" t="n"/>
      <c r="T217" s="5" t="n"/>
      <c r="U217" s="11">
        <f>IF(B217="","",TRIM(LOWER(C217)&amp;"|"&amp;LOWER(D217)))</f>
        <v/>
      </c>
    </row>
    <row r="218">
      <c r="A218" s="11">
        <f>IF(B218="","",TEXT(ROW()-3,"""DC-""0000"))</f>
        <v/>
      </c>
      <c r="B218" s="5" t="n"/>
      <c r="C218" s="5" t="n"/>
      <c r="D218" s="5" t="n"/>
      <c r="E218" s="5" t="n"/>
      <c r="F218" s="5" t="n"/>
      <c r="G218" s="5" t="n"/>
      <c r="H218" s="8" t="n"/>
      <c r="I218" s="8" t="n"/>
      <c r="J218" s="8" t="n"/>
      <c r="K218" s="11">
        <f>IF(B218="","",MAX(0,IFERROR(I218,0)*IFERROR(H218,0)-IFERROR(J218,0)))</f>
        <v/>
      </c>
      <c r="L218" s="8" t="n"/>
      <c r="M218" s="11">
        <f>IF(B218="","",MAX(0,K218-L218))</f>
        <v/>
      </c>
      <c r="N218" s="11">
        <f>IF(B218="","",IF(L218&gt;=K218,"Paid",IF(L218&gt;0,"Partial","Unpaid")))</f>
        <v/>
      </c>
      <c r="O218" s="5" t="n"/>
      <c r="P218" s="8" t="n"/>
      <c r="Q218" s="8" t="n"/>
      <c r="R218" s="11">
        <f>IF(B218="","",IFERROR(K218,0)+IFERROR(P218,0)-IFERROR(Q218,0))</f>
        <v/>
      </c>
      <c r="S218" s="5" t="n"/>
      <c r="T218" s="5" t="n"/>
      <c r="U218" s="11">
        <f>IF(B218="","",TRIM(LOWER(C218)&amp;"|"&amp;LOWER(D218)))</f>
        <v/>
      </c>
    </row>
    <row r="219">
      <c r="A219" s="11">
        <f>IF(B219="","",TEXT(ROW()-3,"""DC-""0000"))</f>
        <v/>
      </c>
      <c r="B219" s="5" t="n"/>
      <c r="C219" s="5" t="n"/>
      <c r="D219" s="5" t="n"/>
      <c r="E219" s="5" t="n"/>
      <c r="F219" s="5" t="n"/>
      <c r="G219" s="5" t="n"/>
      <c r="H219" s="8" t="n"/>
      <c r="I219" s="8" t="n"/>
      <c r="J219" s="8" t="n"/>
      <c r="K219" s="11">
        <f>IF(B219="","",MAX(0,IFERROR(I219,0)*IFERROR(H219,0)-IFERROR(J219,0)))</f>
        <v/>
      </c>
      <c r="L219" s="8" t="n"/>
      <c r="M219" s="11">
        <f>IF(B219="","",MAX(0,K219-L219))</f>
        <v/>
      </c>
      <c r="N219" s="11">
        <f>IF(B219="","",IF(L219&gt;=K219,"Paid",IF(L219&gt;0,"Partial","Unpaid")))</f>
        <v/>
      </c>
      <c r="O219" s="5" t="n"/>
      <c r="P219" s="8" t="n"/>
      <c r="Q219" s="8" t="n"/>
      <c r="R219" s="11">
        <f>IF(B219="","",IFERROR(K219,0)+IFERROR(P219,0)-IFERROR(Q219,0))</f>
        <v/>
      </c>
      <c r="S219" s="5" t="n"/>
      <c r="T219" s="5" t="n"/>
      <c r="U219" s="11">
        <f>IF(B219="","",TRIM(LOWER(C219)&amp;"|"&amp;LOWER(D219)))</f>
        <v/>
      </c>
    </row>
    <row r="220">
      <c r="A220" s="11">
        <f>IF(B220="","",TEXT(ROW()-3,"""DC-""0000"))</f>
        <v/>
      </c>
      <c r="B220" s="5" t="n"/>
      <c r="C220" s="5" t="n"/>
      <c r="D220" s="5" t="n"/>
      <c r="E220" s="5" t="n"/>
      <c r="F220" s="5" t="n"/>
      <c r="G220" s="5" t="n"/>
      <c r="H220" s="8" t="n"/>
      <c r="I220" s="8" t="n"/>
      <c r="J220" s="8" t="n"/>
      <c r="K220" s="11">
        <f>IF(B220="","",MAX(0,IFERROR(I220,0)*IFERROR(H220,0)-IFERROR(J220,0)))</f>
        <v/>
      </c>
      <c r="L220" s="8" t="n"/>
      <c r="M220" s="11">
        <f>IF(B220="","",MAX(0,K220-L220))</f>
        <v/>
      </c>
      <c r="N220" s="11">
        <f>IF(B220="","",IF(L220&gt;=K220,"Paid",IF(L220&gt;0,"Partial","Unpaid")))</f>
        <v/>
      </c>
      <c r="O220" s="5" t="n"/>
      <c r="P220" s="8" t="n"/>
      <c r="Q220" s="8" t="n"/>
      <c r="R220" s="11">
        <f>IF(B220="","",IFERROR(K220,0)+IFERROR(P220,0)-IFERROR(Q220,0))</f>
        <v/>
      </c>
      <c r="S220" s="5" t="n"/>
      <c r="T220" s="5" t="n"/>
      <c r="U220" s="11">
        <f>IF(B220="","",TRIM(LOWER(C220)&amp;"|"&amp;LOWER(D220)))</f>
        <v/>
      </c>
    </row>
    <row r="221">
      <c r="A221" s="11">
        <f>IF(B221="","",TEXT(ROW()-3,"""DC-""0000"))</f>
        <v/>
      </c>
      <c r="B221" s="5" t="n"/>
      <c r="C221" s="5" t="n"/>
      <c r="D221" s="5" t="n"/>
      <c r="E221" s="5" t="n"/>
      <c r="F221" s="5" t="n"/>
      <c r="G221" s="5" t="n"/>
      <c r="H221" s="8" t="n"/>
      <c r="I221" s="8" t="n"/>
      <c r="J221" s="8" t="n"/>
      <c r="K221" s="11">
        <f>IF(B221="","",MAX(0,IFERROR(I221,0)*IFERROR(H221,0)-IFERROR(J221,0)))</f>
        <v/>
      </c>
      <c r="L221" s="8" t="n"/>
      <c r="M221" s="11">
        <f>IF(B221="","",MAX(0,K221-L221))</f>
        <v/>
      </c>
      <c r="N221" s="11">
        <f>IF(B221="","",IF(L221&gt;=K221,"Paid",IF(L221&gt;0,"Partial","Unpaid")))</f>
        <v/>
      </c>
      <c r="O221" s="5" t="n"/>
      <c r="P221" s="8" t="n"/>
      <c r="Q221" s="8" t="n"/>
      <c r="R221" s="11">
        <f>IF(B221="","",IFERROR(K221,0)+IFERROR(P221,0)-IFERROR(Q221,0))</f>
        <v/>
      </c>
      <c r="S221" s="5" t="n"/>
      <c r="T221" s="5" t="n"/>
      <c r="U221" s="11">
        <f>IF(B221="","",TRIM(LOWER(C221)&amp;"|"&amp;LOWER(D221)))</f>
        <v/>
      </c>
    </row>
    <row r="222">
      <c r="A222" s="11">
        <f>IF(B222="","",TEXT(ROW()-3,"""DC-""0000"))</f>
        <v/>
      </c>
      <c r="B222" s="5" t="n"/>
      <c r="C222" s="5" t="n"/>
      <c r="D222" s="5" t="n"/>
      <c r="E222" s="5" t="n"/>
      <c r="F222" s="5" t="n"/>
      <c r="G222" s="5" t="n"/>
      <c r="H222" s="8" t="n"/>
      <c r="I222" s="8" t="n"/>
      <c r="J222" s="8" t="n"/>
      <c r="K222" s="11">
        <f>IF(B222="","",MAX(0,IFERROR(I222,0)*IFERROR(H222,0)-IFERROR(J222,0)))</f>
        <v/>
      </c>
      <c r="L222" s="8" t="n"/>
      <c r="M222" s="11">
        <f>IF(B222="","",MAX(0,K222-L222))</f>
        <v/>
      </c>
      <c r="N222" s="11">
        <f>IF(B222="","",IF(L222&gt;=K222,"Paid",IF(L222&gt;0,"Partial","Unpaid")))</f>
        <v/>
      </c>
      <c r="O222" s="5" t="n"/>
      <c r="P222" s="8" t="n"/>
      <c r="Q222" s="8" t="n"/>
      <c r="R222" s="11">
        <f>IF(B222="","",IFERROR(K222,0)+IFERROR(P222,0)-IFERROR(Q222,0))</f>
        <v/>
      </c>
      <c r="S222" s="5" t="n"/>
      <c r="T222" s="5" t="n"/>
      <c r="U222" s="11">
        <f>IF(B222="","",TRIM(LOWER(C222)&amp;"|"&amp;LOWER(D222)))</f>
        <v/>
      </c>
    </row>
    <row r="223">
      <c r="A223" s="11">
        <f>IF(B223="","",TEXT(ROW()-3,"""DC-""0000"))</f>
        <v/>
      </c>
      <c r="B223" s="5" t="n"/>
      <c r="C223" s="5" t="n"/>
      <c r="D223" s="5" t="n"/>
      <c r="E223" s="5" t="n"/>
      <c r="F223" s="5" t="n"/>
      <c r="G223" s="5" t="n"/>
      <c r="H223" s="8" t="n"/>
      <c r="I223" s="8" t="n"/>
      <c r="J223" s="8" t="n"/>
      <c r="K223" s="11">
        <f>IF(B223="","",MAX(0,IFERROR(I223,0)*IFERROR(H223,0)-IFERROR(J223,0)))</f>
        <v/>
      </c>
      <c r="L223" s="8" t="n"/>
      <c r="M223" s="11">
        <f>IF(B223="","",MAX(0,K223-L223))</f>
        <v/>
      </c>
      <c r="N223" s="11">
        <f>IF(B223="","",IF(L223&gt;=K223,"Paid",IF(L223&gt;0,"Partial","Unpaid")))</f>
        <v/>
      </c>
      <c r="O223" s="5" t="n"/>
      <c r="P223" s="8" t="n"/>
      <c r="Q223" s="8" t="n"/>
      <c r="R223" s="11">
        <f>IF(B223="","",IFERROR(K223,0)+IFERROR(P223,0)-IFERROR(Q223,0))</f>
        <v/>
      </c>
      <c r="S223" s="5" t="n"/>
      <c r="T223" s="5" t="n"/>
      <c r="U223" s="11">
        <f>IF(B223="","",TRIM(LOWER(C223)&amp;"|"&amp;LOWER(D223)))</f>
        <v/>
      </c>
    </row>
    <row r="224">
      <c r="A224" s="11">
        <f>IF(B224="","",TEXT(ROW()-3,"""DC-""0000"))</f>
        <v/>
      </c>
      <c r="B224" s="5" t="n"/>
      <c r="C224" s="5" t="n"/>
      <c r="D224" s="5" t="n"/>
      <c r="E224" s="5" t="n"/>
      <c r="F224" s="5" t="n"/>
      <c r="G224" s="5" t="n"/>
      <c r="H224" s="8" t="n"/>
      <c r="I224" s="8" t="n"/>
      <c r="J224" s="8" t="n"/>
      <c r="K224" s="11">
        <f>IF(B224="","",MAX(0,IFERROR(I224,0)*IFERROR(H224,0)-IFERROR(J224,0)))</f>
        <v/>
      </c>
      <c r="L224" s="8" t="n"/>
      <c r="M224" s="11">
        <f>IF(B224="","",MAX(0,K224-L224))</f>
        <v/>
      </c>
      <c r="N224" s="11">
        <f>IF(B224="","",IF(L224&gt;=K224,"Paid",IF(L224&gt;0,"Partial","Unpaid")))</f>
        <v/>
      </c>
      <c r="O224" s="5" t="n"/>
      <c r="P224" s="8" t="n"/>
      <c r="Q224" s="8" t="n"/>
      <c r="R224" s="11">
        <f>IF(B224="","",IFERROR(K224,0)+IFERROR(P224,0)-IFERROR(Q224,0))</f>
        <v/>
      </c>
      <c r="S224" s="5" t="n"/>
      <c r="T224" s="5" t="n"/>
      <c r="U224" s="11">
        <f>IF(B224="","",TRIM(LOWER(C224)&amp;"|"&amp;LOWER(D224)))</f>
        <v/>
      </c>
    </row>
    <row r="225">
      <c r="A225" s="11">
        <f>IF(B225="","",TEXT(ROW()-3,"""DC-""0000"))</f>
        <v/>
      </c>
      <c r="B225" s="5" t="n"/>
      <c r="C225" s="5" t="n"/>
      <c r="D225" s="5" t="n"/>
      <c r="E225" s="5" t="n"/>
      <c r="F225" s="5" t="n"/>
      <c r="G225" s="5" t="n"/>
      <c r="H225" s="8" t="n"/>
      <c r="I225" s="8" t="n"/>
      <c r="J225" s="8" t="n"/>
      <c r="K225" s="11">
        <f>IF(B225="","",MAX(0,IFERROR(I225,0)*IFERROR(H225,0)-IFERROR(J225,0)))</f>
        <v/>
      </c>
      <c r="L225" s="8" t="n"/>
      <c r="M225" s="11">
        <f>IF(B225="","",MAX(0,K225-L225))</f>
        <v/>
      </c>
      <c r="N225" s="11">
        <f>IF(B225="","",IF(L225&gt;=K225,"Paid",IF(L225&gt;0,"Partial","Unpaid")))</f>
        <v/>
      </c>
      <c r="O225" s="5" t="n"/>
      <c r="P225" s="8" t="n"/>
      <c r="Q225" s="8" t="n"/>
      <c r="R225" s="11">
        <f>IF(B225="","",IFERROR(K225,0)+IFERROR(P225,0)-IFERROR(Q225,0))</f>
        <v/>
      </c>
      <c r="S225" s="5" t="n"/>
      <c r="T225" s="5" t="n"/>
      <c r="U225" s="11">
        <f>IF(B225="","",TRIM(LOWER(C225)&amp;"|"&amp;LOWER(D225)))</f>
        <v/>
      </c>
    </row>
    <row r="226">
      <c r="A226" s="11">
        <f>IF(B226="","",TEXT(ROW()-3,"""DC-""0000"))</f>
        <v/>
      </c>
      <c r="B226" s="5" t="n"/>
      <c r="C226" s="5" t="n"/>
      <c r="D226" s="5" t="n"/>
      <c r="E226" s="5" t="n"/>
      <c r="F226" s="5" t="n"/>
      <c r="G226" s="5" t="n"/>
      <c r="H226" s="8" t="n"/>
      <c r="I226" s="8" t="n"/>
      <c r="J226" s="8" t="n"/>
      <c r="K226" s="11">
        <f>IF(B226="","",MAX(0,IFERROR(I226,0)*IFERROR(H226,0)-IFERROR(J226,0)))</f>
        <v/>
      </c>
      <c r="L226" s="8" t="n"/>
      <c r="M226" s="11">
        <f>IF(B226="","",MAX(0,K226-L226))</f>
        <v/>
      </c>
      <c r="N226" s="11">
        <f>IF(B226="","",IF(L226&gt;=K226,"Paid",IF(L226&gt;0,"Partial","Unpaid")))</f>
        <v/>
      </c>
      <c r="O226" s="5" t="n"/>
      <c r="P226" s="8" t="n"/>
      <c r="Q226" s="8" t="n"/>
      <c r="R226" s="11">
        <f>IF(B226="","",IFERROR(K226,0)+IFERROR(P226,0)-IFERROR(Q226,0))</f>
        <v/>
      </c>
      <c r="S226" s="5" t="n"/>
      <c r="T226" s="5" t="n"/>
      <c r="U226" s="11">
        <f>IF(B226="","",TRIM(LOWER(C226)&amp;"|"&amp;LOWER(D226)))</f>
        <v/>
      </c>
    </row>
    <row r="227">
      <c r="A227" s="11">
        <f>IF(B227="","",TEXT(ROW()-3,"""DC-""0000"))</f>
        <v/>
      </c>
      <c r="B227" s="5" t="n"/>
      <c r="C227" s="5" t="n"/>
      <c r="D227" s="5" t="n"/>
      <c r="E227" s="5" t="n"/>
      <c r="F227" s="5" t="n"/>
      <c r="G227" s="5" t="n"/>
      <c r="H227" s="8" t="n"/>
      <c r="I227" s="8" t="n"/>
      <c r="J227" s="8" t="n"/>
      <c r="K227" s="11">
        <f>IF(B227="","",MAX(0,IFERROR(I227,0)*IFERROR(H227,0)-IFERROR(J227,0)))</f>
        <v/>
      </c>
      <c r="L227" s="8" t="n"/>
      <c r="M227" s="11">
        <f>IF(B227="","",MAX(0,K227-L227))</f>
        <v/>
      </c>
      <c r="N227" s="11">
        <f>IF(B227="","",IF(L227&gt;=K227,"Paid",IF(L227&gt;0,"Partial","Unpaid")))</f>
        <v/>
      </c>
      <c r="O227" s="5" t="n"/>
      <c r="P227" s="8" t="n"/>
      <c r="Q227" s="8" t="n"/>
      <c r="R227" s="11">
        <f>IF(B227="","",IFERROR(K227,0)+IFERROR(P227,0)-IFERROR(Q227,0))</f>
        <v/>
      </c>
      <c r="S227" s="5" t="n"/>
      <c r="T227" s="5" t="n"/>
      <c r="U227" s="11">
        <f>IF(B227="","",TRIM(LOWER(C227)&amp;"|"&amp;LOWER(D227)))</f>
        <v/>
      </c>
    </row>
    <row r="228">
      <c r="A228" s="11">
        <f>IF(B228="","",TEXT(ROW()-3,"""DC-""0000"))</f>
        <v/>
      </c>
      <c r="B228" s="5" t="n"/>
      <c r="C228" s="5" t="n"/>
      <c r="D228" s="5" t="n"/>
      <c r="E228" s="5" t="n"/>
      <c r="F228" s="5" t="n"/>
      <c r="G228" s="5" t="n"/>
      <c r="H228" s="8" t="n"/>
      <c r="I228" s="8" t="n"/>
      <c r="J228" s="8" t="n"/>
      <c r="K228" s="11">
        <f>IF(B228="","",MAX(0,IFERROR(I228,0)*IFERROR(H228,0)-IFERROR(J228,0)))</f>
        <v/>
      </c>
      <c r="L228" s="8" t="n"/>
      <c r="M228" s="11">
        <f>IF(B228="","",MAX(0,K228-L228))</f>
        <v/>
      </c>
      <c r="N228" s="11">
        <f>IF(B228="","",IF(L228&gt;=K228,"Paid",IF(L228&gt;0,"Partial","Unpaid")))</f>
        <v/>
      </c>
      <c r="O228" s="5" t="n"/>
      <c r="P228" s="8" t="n"/>
      <c r="Q228" s="8" t="n"/>
      <c r="R228" s="11">
        <f>IF(B228="","",IFERROR(K228,0)+IFERROR(P228,0)-IFERROR(Q228,0))</f>
        <v/>
      </c>
      <c r="S228" s="5" t="n"/>
      <c r="T228" s="5" t="n"/>
      <c r="U228" s="11">
        <f>IF(B228="","",TRIM(LOWER(C228)&amp;"|"&amp;LOWER(D228)))</f>
        <v/>
      </c>
    </row>
    <row r="229">
      <c r="A229" s="11">
        <f>IF(B229="","",TEXT(ROW()-3,"""DC-""0000"))</f>
        <v/>
      </c>
      <c r="B229" s="5" t="n"/>
      <c r="C229" s="5" t="n"/>
      <c r="D229" s="5" t="n"/>
      <c r="E229" s="5" t="n"/>
      <c r="F229" s="5" t="n"/>
      <c r="G229" s="5" t="n"/>
      <c r="H229" s="8" t="n"/>
      <c r="I229" s="8" t="n"/>
      <c r="J229" s="8" t="n"/>
      <c r="K229" s="11">
        <f>IF(B229="","",MAX(0,IFERROR(I229,0)*IFERROR(H229,0)-IFERROR(J229,0)))</f>
        <v/>
      </c>
      <c r="L229" s="8" t="n"/>
      <c r="M229" s="11">
        <f>IF(B229="","",MAX(0,K229-L229))</f>
        <v/>
      </c>
      <c r="N229" s="11">
        <f>IF(B229="","",IF(L229&gt;=K229,"Paid",IF(L229&gt;0,"Partial","Unpaid")))</f>
        <v/>
      </c>
      <c r="O229" s="5" t="n"/>
      <c r="P229" s="8" t="n"/>
      <c r="Q229" s="8" t="n"/>
      <c r="R229" s="11">
        <f>IF(B229="","",IFERROR(K229,0)+IFERROR(P229,0)-IFERROR(Q229,0))</f>
        <v/>
      </c>
      <c r="S229" s="5" t="n"/>
      <c r="T229" s="5" t="n"/>
      <c r="U229" s="11">
        <f>IF(B229="","",TRIM(LOWER(C229)&amp;"|"&amp;LOWER(D229)))</f>
        <v/>
      </c>
    </row>
    <row r="230">
      <c r="A230" s="11">
        <f>IF(B230="","",TEXT(ROW()-3,"""DC-""0000"))</f>
        <v/>
      </c>
      <c r="B230" s="5" t="n"/>
      <c r="C230" s="5" t="n"/>
      <c r="D230" s="5" t="n"/>
      <c r="E230" s="5" t="n"/>
      <c r="F230" s="5" t="n"/>
      <c r="G230" s="5" t="n"/>
      <c r="H230" s="8" t="n"/>
      <c r="I230" s="8" t="n"/>
      <c r="J230" s="8" t="n"/>
      <c r="K230" s="11">
        <f>IF(B230="","",MAX(0,IFERROR(I230,0)*IFERROR(H230,0)-IFERROR(J230,0)))</f>
        <v/>
      </c>
      <c r="L230" s="8" t="n"/>
      <c r="M230" s="11">
        <f>IF(B230="","",MAX(0,K230-L230))</f>
        <v/>
      </c>
      <c r="N230" s="11">
        <f>IF(B230="","",IF(L230&gt;=K230,"Paid",IF(L230&gt;0,"Partial","Unpaid")))</f>
        <v/>
      </c>
      <c r="O230" s="5" t="n"/>
      <c r="P230" s="8" t="n"/>
      <c r="Q230" s="8" t="n"/>
      <c r="R230" s="11">
        <f>IF(B230="","",IFERROR(K230,0)+IFERROR(P230,0)-IFERROR(Q230,0))</f>
        <v/>
      </c>
      <c r="S230" s="5" t="n"/>
      <c r="T230" s="5" t="n"/>
      <c r="U230" s="11">
        <f>IF(B230="","",TRIM(LOWER(C230)&amp;"|"&amp;LOWER(D230)))</f>
        <v/>
      </c>
    </row>
    <row r="231">
      <c r="A231" s="11">
        <f>IF(B231="","",TEXT(ROW()-3,"""DC-""0000"))</f>
        <v/>
      </c>
      <c r="B231" s="5" t="n"/>
      <c r="C231" s="5" t="n"/>
      <c r="D231" s="5" t="n"/>
      <c r="E231" s="5" t="n"/>
      <c r="F231" s="5" t="n"/>
      <c r="G231" s="5" t="n"/>
      <c r="H231" s="8" t="n"/>
      <c r="I231" s="8" t="n"/>
      <c r="J231" s="8" t="n"/>
      <c r="K231" s="11">
        <f>IF(B231="","",MAX(0,IFERROR(I231,0)*IFERROR(H231,0)-IFERROR(J231,0)))</f>
        <v/>
      </c>
      <c r="L231" s="8" t="n"/>
      <c r="M231" s="11">
        <f>IF(B231="","",MAX(0,K231-L231))</f>
        <v/>
      </c>
      <c r="N231" s="11">
        <f>IF(B231="","",IF(L231&gt;=K231,"Paid",IF(L231&gt;0,"Partial","Unpaid")))</f>
        <v/>
      </c>
      <c r="O231" s="5" t="n"/>
      <c r="P231" s="8" t="n"/>
      <c r="Q231" s="8" t="n"/>
      <c r="R231" s="11">
        <f>IF(B231="","",IFERROR(K231,0)+IFERROR(P231,0)-IFERROR(Q231,0))</f>
        <v/>
      </c>
      <c r="S231" s="5" t="n"/>
      <c r="T231" s="5" t="n"/>
      <c r="U231" s="11">
        <f>IF(B231="","",TRIM(LOWER(C231)&amp;"|"&amp;LOWER(D231)))</f>
        <v/>
      </c>
    </row>
    <row r="232">
      <c r="A232" s="11">
        <f>IF(B232="","",TEXT(ROW()-3,"""DC-""0000"))</f>
        <v/>
      </c>
      <c r="B232" s="5" t="n"/>
      <c r="C232" s="5" t="n"/>
      <c r="D232" s="5" t="n"/>
      <c r="E232" s="5" t="n"/>
      <c r="F232" s="5" t="n"/>
      <c r="G232" s="5" t="n"/>
      <c r="H232" s="8" t="n"/>
      <c r="I232" s="8" t="n"/>
      <c r="J232" s="8" t="n"/>
      <c r="K232" s="11">
        <f>IF(B232="","",MAX(0,IFERROR(I232,0)*IFERROR(H232,0)-IFERROR(J232,0)))</f>
        <v/>
      </c>
      <c r="L232" s="8" t="n"/>
      <c r="M232" s="11">
        <f>IF(B232="","",MAX(0,K232-L232))</f>
        <v/>
      </c>
      <c r="N232" s="11">
        <f>IF(B232="","",IF(L232&gt;=K232,"Paid",IF(L232&gt;0,"Partial","Unpaid")))</f>
        <v/>
      </c>
      <c r="O232" s="5" t="n"/>
      <c r="P232" s="8" t="n"/>
      <c r="Q232" s="8" t="n"/>
      <c r="R232" s="11">
        <f>IF(B232="","",IFERROR(K232,0)+IFERROR(P232,0)-IFERROR(Q232,0))</f>
        <v/>
      </c>
      <c r="S232" s="5" t="n"/>
      <c r="T232" s="5" t="n"/>
      <c r="U232" s="11">
        <f>IF(B232="","",TRIM(LOWER(C232)&amp;"|"&amp;LOWER(D232)))</f>
        <v/>
      </c>
    </row>
    <row r="233">
      <c r="A233" s="11">
        <f>IF(B233="","",TEXT(ROW()-3,"""DC-""0000"))</f>
        <v/>
      </c>
      <c r="B233" s="5" t="n"/>
      <c r="C233" s="5" t="n"/>
      <c r="D233" s="5" t="n"/>
      <c r="E233" s="5" t="n"/>
      <c r="F233" s="5" t="n"/>
      <c r="G233" s="5" t="n"/>
      <c r="H233" s="8" t="n"/>
      <c r="I233" s="8" t="n"/>
      <c r="J233" s="8" t="n"/>
      <c r="K233" s="11">
        <f>IF(B233="","",MAX(0,IFERROR(I233,0)*IFERROR(H233,0)-IFERROR(J233,0)))</f>
        <v/>
      </c>
      <c r="L233" s="8" t="n"/>
      <c r="M233" s="11">
        <f>IF(B233="","",MAX(0,K233-L233))</f>
        <v/>
      </c>
      <c r="N233" s="11">
        <f>IF(B233="","",IF(L233&gt;=K233,"Paid",IF(L233&gt;0,"Partial","Unpaid")))</f>
        <v/>
      </c>
      <c r="O233" s="5" t="n"/>
      <c r="P233" s="8" t="n"/>
      <c r="Q233" s="8" t="n"/>
      <c r="R233" s="11">
        <f>IF(B233="","",IFERROR(K233,0)+IFERROR(P233,0)-IFERROR(Q233,0))</f>
        <v/>
      </c>
      <c r="S233" s="5" t="n"/>
      <c r="T233" s="5" t="n"/>
      <c r="U233" s="11">
        <f>IF(B233="","",TRIM(LOWER(C233)&amp;"|"&amp;LOWER(D233)))</f>
        <v/>
      </c>
    </row>
    <row r="234">
      <c r="A234" s="11">
        <f>IF(B234="","",TEXT(ROW()-3,"""DC-""0000"))</f>
        <v/>
      </c>
      <c r="B234" s="5" t="n"/>
      <c r="C234" s="5" t="n"/>
      <c r="D234" s="5" t="n"/>
      <c r="E234" s="5" t="n"/>
      <c r="F234" s="5" t="n"/>
      <c r="G234" s="5" t="n"/>
      <c r="H234" s="8" t="n"/>
      <c r="I234" s="8" t="n"/>
      <c r="J234" s="8" t="n"/>
      <c r="K234" s="11">
        <f>IF(B234="","",MAX(0,IFERROR(I234,0)*IFERROR(H234,0)-IFERROR(J234,0)))</f>
        <v/>
      </c>
      <c r="L234" s="8" t="n"/>
      <c r="M234" s="11">
        <f>IF(B234="","",MAX(0,K234-L234))</f>
        <v/>
      </c>
      <c r="N234" s="11">
        <f>IF(B234="","",IF(L234&gt;=K234,"Paid",IF(L234&gt;0,"Partial","Unpaid")))</f>
        <v/>
      </c>
      <c r="O234" s="5" t="n"/>
      <c r="P234" s="8" t="n"/>
      <c r="Q234" s="8" t="n"/>
      <c r="R234" s="11">
        <f>IF(B234="","",IFERROR(K234,0)+IFERROR(P234,0)-IFERROR(Q234,0))</f>
        <v/>
      </c>
      <c r="S234" s="5" t="n"/>
      <c r="T234" s="5" t="n"/>
      <c r="U234" s="11">
        <f>IF(B234="","",TRIM(LOWER(C234)&amp;"|"&amp;LOWER(D234)))</f>
        <v/>
      </c>
    </row>
    <row r="235">
      <c r="A235" s="11">
        <f>IF(B235="","",TEXT(ROW()-3,"""DC-""0000"))</f>
        <v/>
      </c>
      <c r="B235" s="5" t="n"/>
      <c r="C235" s="5" t="n"/>
      <c r="D235" s="5" t="n"/>
      <c r="E235" s="5" t="n"/>
      <c r="F235" s="5" t="n"/>
      <c r="G235" s="5" t="n"/>
      <c r="H235" s="8" t="n"/>
      <c r="I235" s="8" t="n"/>
      <c r="J235" s="8" t="n"/>
      <c r="K235" s="11">
        <f>IF(B235="","",MAX(0,IFERROR(I235,0)*IFERROR(H235,0)-IFERROR(J235,0)))</f>
        <v/>
      </c>
      <c r="L235" s="8" t="n"/>
      <c r="M235" s="11">
        <f>IF(B235="","",MAX(0,K235-L235))</f>
        <v/>
      </c>
      <c r="N235" s="11">
        <f>IF(B235="","",IF(L235&gt;=K235,"Paid",IF(L235&gt;0,"Partial","Unpaid")))</f>
        <v/>
      </c>
      <c r="O235" s="5" t="n"/>
      <c r="P235" s="8" t="n"/>
      <c r="Q235" s="8" t="n"/>
      <c r="R235" s="11">
        <f>IF(B235="","",IFERROR(K235,0)+IFERROR(P235,0)-IFERROR(Q235,0))</f>
        <v/>
      </c>
      <c r="S235" s="5" t="n"/>
      <c r="T235" s="5" t="n"/>
      <c r="U235" s="11">
        <f>IF(B235="","",TRIM(LOWER(C235)&amp;"|"&amp;LOWER(D235)))</f>
        <v/>
      </c>
    </row>
    <row r="236">
      <c r="A236" s="11">
        <f>IF(B236="","",TEXT(ROW()-3,"""DC-""0000"))</f>
        <v/>
      </c>
      <c r="B236" s="5" t="n"/>
      <c r="C236" s="5" t="n"/>
      <c r="D236" s="5" t="n"/>
      <c r="E236" s="5" t="n"/>
      <c r="F236" s="5" t="n"/>
      <c r="G236" s="5" t="n"/>
      <c r="H236" s="8" t="n"/>
      <c r="I236" s="8" t="n"/>
      <c r="J236" s="8" t="n"/>
      <c r="K236" s="11">
        <f>IF(B236="","",MAX(0,IFERROR(I236,0)*IFERROR(H236,0)-IFERROR(J236,0)))</f>
        <v/>
      </c>
      <c r="L236" s="8" t="n"/>
      <c r="M236" s="11">
        <f>IF(B236="","",MAX(0,K236-L236))</f>
        <v/>
      </c>
      <c r="N236" s="11">
        <f>IF(B236="","",IF(L236&gt;=K236,"Paid",IF(L236&gt;0,"Partial","Unpaid")))</f>
        <v/>
      </c>
      <c r="O236" s="5" t="n"/>
      <c r="P236" s="8" t="n"/>
      <c r="Q236" s="8" t="n"/>
      <c r="R236" s="11">
        <f>IF(B236="","",IFERROR(K236,0)+IFERROR(P236,0)-IFERROR(Q236,0))</f>
        <v/>
      </c>
      <c r="S236" s="5" t="n"/>
      <c r="T236" s="5" t="n"/>
      <c r="U236" s="11">
        <f>IF(B236="","",TRIM(LOWER(C236)&amp;"|"&amp;LOWER(D236)))</f>
        <v/>
      </c>
    </row>
    <row r="237">
      <c r="A237" s="11">
        <f>IF(B237="","",TEXT(ROW()-3,"""DC-""0000"))</f>
        <v/>
      </c>
      <c r="B237" s="5" t="n"/>
      <c r="C237" s="5" t="n"/>
      <c r="D237" s="5" t="n"/>
      <c r="E237" s="5" t="n"/>
      <c r="F237" s="5" t="n"/>
      <c r="G237" s="5" t="n"/>
      <c r="H237" s="8" t="n"/>
      <c r="I237" s="8" t="n"/>
      <c r="J237" s="8" t="n"/>
      <c r="K237" s="11">
        <f>IF(B237="","",MAX(0,IFERROR(I237,0)*IFERROR(H237,0)-IFERROR(J237,0)))</f>
        <v/>
      </c>
      <c r="L237" s="8" t="n"/>
      <c r="M237" s="11">
        <f>IF(B237="","",MAX(0,K237-L237))</f>
        <v/>
      </c>
      <c r="N237" s="11">
        <f>IF(B237="","",IF(L237&gt;=K237,"Paid",IF(L237&gt;0,"Partial","Unpaid")))</f>
        <v/>
      </c>
      <c r="O237" s="5" t="n"/>
      <c r="P237" s="8" t="n"/>
      <c r="Q237" s="8" t="n"/>
      <c r="R237" s="11">
        <f>IF(B237="","",IFERROR(K237,0)+IFERROR(P237,0)-IFERROR(Q237,0))</f>
        <v/>
      </c>
      <c r="S237" s="5" t="n"/>
      <c r="T237" s="5" t="n"/>
      <c r="U237" s="11">
        <f>IF(B237="","",TRIM(LOWER(C237)&amp;"|"&amp;LOWER(D237)))</f>
        <v/>
      </c>
    </row>
    <row r="238">
      <c r="A238" s="11">
        <f>IF(B238="","",TEXT(ROW()-3,"""DC-""0000"))</f>
        <v/>
      </c>
      <c r="B238" s="5" t="n"/>
      <c r="C238" s="5" t="n"/>
      <c r="D238" s="5" t="n"/>
      <c r="E238" s="5" t="n"/>
      <c r="F238" s="5" t="n"/>
      <c r="G238" s="5" t="n"/>
      <c r="H238" s="8" t="n"/>
      <c r="I238" s="8" t="n"/>
      <c r="J238" s="8" t="n"/>
      <c r="K238" s="11">
        <f>IF(B238="","",MAX(0,IFERROR(I238,0)*IFERROR(H238,0)-IFERROR(J238,0)))</f>
        <v/>
      </c>
      <c r="L238" s="8" t="n"/>
      <c r="M238" s="11">
        <f>IF(B238="","",MAX(0,K238-L238))</f>
        <v/>
      </c>
      <c r="N238" s="11">
        <f>IF(B238="","",IF(L238&gt;=K238,"Paid",IF(L238&gt;0,"Partial","Unpaid")))</f>
        <v/>
      </c>
      <c r="O238" s="5" t="n"/>
      <c r="P238" s="8" t="n"/>
      <c r="Q238" s="8" t="n"/>
      <c r="R238" s="11">
        <f>IF(B238="","",IFERROR(K238,0)+IFERROR(P238,0)-IFERROR(Q238,0))</f>
        <v/>
      </c>
      <c r="S238" s="5" t="n"/>
      <c r="T238" s="5" t="n"/>
      <c r="U238" s="11">
        <f>IF(B238="","",TRIM(LOWER(C238)&amp;"|"&amp;LOWER(D238)))</f>
        <v/>
      </c>
    </row>
    <row r="239">
      <c r="A239" s="11">
        <f>IF(B239="","",TEXT(ROW()-3,"""DC-""0000"))</f>
        <v/>
      </c>
      <c r="B239" s="5" t="n"/>
      <c r="C239" s="5" t="n"/>
      <c r="D239" s="5" t="n"/>
      <c r="E239" s="5" t="n"/>
      <c r="F239" s="5" t="n"/>
      <c r="G239" s="5" t="n"/>
      <c r="H239" s="8" t="n"/>
      <c r="I239" s="8" t="n"/>
      <c r="J239" s="8" t="n"/>
      <c r="K239" s="11">
        <f>IF(B239="","",MAX(0,IFERROR(I239,0)*IFERROR(H239,0)-IFERROR(J239,0)))</f>
        <v/>
      </c>
      <c r="L239" s="8" t="n"/>
      <c r="M239" s="11">
        <f>IF(B239="","",MAX(0,K239-L239))</f>
        <v/>
      </c>
      <c r="N239" s="11">
        <f>IF(B239="","",IF(L239&gt;=K239,"Paid",IF(L239&gt;0,"Partial","Unpaid")))</f>
        <v/>
      </c>
      <c r="O239" s="5" t="n"/>
      <c r="P239" s="8" t="n"/>
      <c r="Q239" s="8" t="n"/>
      <c r="R239" s="11">
        <f>IF(B239="","",IFERROR(K239,0)+IFERROR(P239,0)-IFERROR(Q239,0))</f>
        <v/>
      </c>
      <c r="S239" s="5" t="n"/>
      <c r="T239" s="5" t="n"/>
      <c r="U239" s="11">
        <f>IF(B239="","",TRIM(LOWER(C239)&amp;"|"&amp;LOWER(D239)))</f>
        <v/>
      </c>
    </row>
    <row r="240">
      <c r="A240" s="11">
        <f>IF(B240="","",TEXT(ROW()-3,"""DC-""0000"))</f>
        <v/>
      </c>
      <c r="B240" s="5" t="n"/>
      <c r="C240" s="5" t="n"/>
      <c r="D240" s="5" t="n"/>
      <c r="E240" s="5" t="n"/>
      <c r="F240" s="5" t="n"/>
      <c r="G240" s="5" t="n"/>
      <c r="H240" s="8" t="n"/>
      <c r="I240" s="8" t="n"/>
      <c r="J240" s="8" t="n"/>
      <c r="K240" s="11">
        <f>IF(B240="","",MAX(0,IFERROR(I240,0)*IFERROR(H240,0)-IFERROR(J240,0)))</f>
        <v/>
      </c>
      <c r="L240" s="8" t="n"/>
      <c r="M240" s="11">
        <f>IF(B240="","",MAX(0,K240-L240))</f>
        <v/>
      </c>
      <c r="N240" s="11">
        <f>IF(B240="","",IF(L240&gt;=K240,"Paid",IF(L240&gt;0,"Partial","Unpaid")))</f>
        <v/>
      </c>
      <c r="O240" s="5" t="n"/>
      <c r="P240" s="8" t="n"/>
      <c r="Q240" s="8" t="n"/>
      <c r="R240" s="11">
        <f>IF(B240="","",IFERROR(K240,0)+IFERROR(P240,0)-IFERROR(Q240,0))</f>
        <v/>
      </c>
      <c r="S240" s="5" t="n"/>
      <c r="T240" s="5" t="n"/>
      <c r="U240" s="11">
        <f>IF(B240="","",TRIM(LOWER(C240)&amp;"|"&amp;LOWER(D240)))</f>
        <v/>
      </c>
    </row>
    <row r="241">
      <c r="A241" s="11">
        <f>IF(B241="","",TEXT(ROW()-3,"""DC-""0000"))</f>
        <v/>
      </c>
      <c r="B241" s="5" t="n"/>
      <c r="C241" s="5" t="n"/>
      <c r="D241" s="5" t="n"/>
      <c r="E241" s="5" t="n"/>
      <c r="F241" s="5" t="n"/>
      <c r="G241" s="5" t="n"/>
      <c r="H241" s="8" t="n"/>
      <c r="I241" s="8" t="n"/>
      <c r="J241" s="8" t="n"/>
      <c r="K241" s="11">
        <f>IF(B241="","",MAX(0,IFERROR(I241,0)*IFERROR(H241,0)-IFERROR(J241,0)))</f>
        <v/>
      </c>
      <c r="L241" s="8" t="n"/>
      <c r="M241" s="11">
        <f>IF(B241="","",MAX(0,K241-L241))</f>
        <v/>
      </c>
      <c r="N241" s="11">
        <f>IF(B241="","",IF(L241&gt;=K241,"Paid",IF(L241&gt;0,"Partial","Unpaid")))</f>
        <v/>
      </c>
      <c r="O241" s="5" t="n"/>
      <c r="P241" s="8" t="n"/>
      <c r="Q241" s="8" t="n"/>
      <c r="R241" s="11">
        <f>IF(B241="","",IFERROR(K241,0)+IFERROR(P241,0)-IFERROR(Q241,0))</f>
        <v/>
      </c>
      <c r="S241" s="5" t="n"/>
      <c r="T241" s="5" t="n"/>
      <c r="U241" s="11">
        <f>IF(B241="","",TRIM(LOWER(C241)&amp;"|"&amp;LOWER(D241)))</f>
        <v/>
      </c>
    </row>
    <row r="242">
      <c r="A242" s="11">
        <f>IF(B242="","",TEXT(ROW()-3,"""DC-""0000"))</f>
        <v/>
      </c>
      <c r="B242" s="5" t="n"/>
      <c r="C242" s="5" t="n"/>
      <c r="D242" s="5" t="n"/>
      <c r="E242" s="5" t="n"/>
      <c r="F242" s="5" t="n"/>
      <c r="G242" s="5" t="n"/>
      <c r="H242" s="8" t="n"/>
      <c r="I242" s="8" t="n"/>
      <c r="J242" s="8" t="n"/>
      <c r="K242" s="11">
        <f>IF(B242="","",MAX(0,IFERROR(I242,0)*IFERROR(H242,0)-IFERROR(J242,0)))</f>
        <v/>
      </c>
      <c r="L242" s="8" t="n"/>
      <c r="M242" s="11">
        <f>IF(B242="","",MAX(0,K242-L242))</f>
        <v/>
      </c>
      <c r="N242" s="11">
        <f>IF(B242="","",IF(L242&gt;=K242,"Paid",IF(L242&gt;0,"Partial","Unpaid")))</f>
        <v/>
      </c>
      <c r="O242" s="5" t="n"/>
      <c r="P242" s="8" t="n"/>
      <c r="Q242" s="8" t="n"/>
      <c r="R242" s="11">
        <f>IF(B242="","",IFERROR(K242,0)+IFERROR(P242,0)-IFERROR(Q242,0))</f>
        <v/>
      </c>
      <c r="S242" s="5" t="n"/>
      <c r="T242" s="5" t="n"/>
      <c r="U242" s="11">
        <f>IF(B242="","",TRIM(LOWER(C242)&amp;"|"&amp;LOWER(D242)))</f>
        <v/>
      </c>
    </row>
    <row r="243">
      <c r="A243" s="11">
        <f>IF(B243="","",TEXT(ROW()-3,"""DC-""0000"))</f>
        <v/>
      </c>
      <c r="B243" s="5" t="n"/>
      <c r="C243" s="5" t="n"/>
      <c r="D243" s="5" t="n"/>
      <c r="E243" s="5" t="n"/>
      <c r="F243" s="5" t="n"/>
      <c r="G243" s="5" t="n"/>
      <c r="H243" s="8" t="n"/>
      <c r="I243" s="8" t="n"/>
      <c r="J243" s="8" t="n"/>
      <c r="K243" s="11">
        <f>IF(B243="","",MAX(0,IFERROR(I243,0)*IFERROR(H243,0)-IFERROR(J243,0)))</f>
        <v/>
      </c>
      <c r="L243" s="8" t="n"/>
      <c r="M243" s="11">
        <f>IF(B243="","",MAX(0,K243-L243))</f>
        <v/>
      </c>
      <c r="N243" s="11">
        <f>IF(B243="","",IF(L243&gt;=K243,"Paid",IF(L243&gt;0,"Partial","Unpaid")))</f>
        <v/>
      </c>
      <c r="O243" s="5" t="n"/>
      <c r="P243" s="8" t="n"/>
      <c r="Q243" s="8" t="n"/>
      <c r="R243" s="11">
        <f>IF(B243="","",IFERROR(K243,0)+IFERROR(P243,0)-IFERROR(Q243,0))</f>
        <v/>
      </c>
      <c r="S243" s="5" t="n"/>
      <c r="T243" s="5" t="n"/>
      <c r="U243" s="11">
        <f>IF(B243="","",TRIM(LOWER(C243)&amp;"|"&amp;LOWER(D243)))</f>
        <v/>
      </c>
    </row>
    <row r="244">
      <c r="A244" s="11">
        <f>IF(B244="","",TEXT(ROW()-3,"""DC-""0000"))</f>
        <v/>
      </c>
      <c r="B244" s="5" t="n"/>
      <c r="C244" s="5" t="n"/>
      <c r="D244" s="5" t="n"/>
      <c r="E244" s="5" t="n"/>
      <c r="F244" s="5" t="n"/>
      <c r="G244" s="5" t="n"/>
      <c r="H244" s="8" t="n"/>
      <c r="I244" s="8" t="n"/>
      <c r="J244" s="8" t="n"/>
      <c r="K244" s="11">
        <f>IF(B244="","",MAX(0,IFERROR(I244,0)*IFERROR(H244,0)-IFERROR(J244,0)))</f>
        <v/>
      </c>
      <c r="L244" s="8" t="n"/>
      <c r="M244" s="11">
        <f>IF(B244="","",MAX(0,K244-L244))</f>
        <v/>
      </c>
      <c r="N244" s="11">
        <f>IF(B244="","",IF(L244&gt;=K244,"Paid",IF(L244&gt;0,"Partial","Unpaid")))</f>
        <v/>
      </c>
      <c r="O244" s="5" t="n"/>
      <c r="P244" s="8" t="n"/>
      <c r="Q244" s="8" t="n"/>
      <c r="R244" s="11">
        <f>IF(B244="","",IFERROR(K244,0)+IFERROR(P244,0)-IFERROR(Q244,0))</f>
        <v/>
      </c>
      <c r="S244" s="5" t="n"/>
      <c r="T244" s="5" t="n"/>
      <c r="U244" s="11">
        <f>IF(B244="","",TRIM(LOWER(C244)&amp;"|"&amp;LOWER(D244)))</f>
        <v/>
      </c>
    </row>
    <row r="245">
      <c r="A245" s="11">
        <f>IF(B245="","",TEXT(ROW()-3,"""DC-""0000"))</f>
        <v/>
      </c>
      <c r="B245" s="5" t="n"/>
      <c r="C245" s="5" t="n"/>
      <c r="D245" s="5" t="n"/>
      <c r="E245" s="5" t="n"/>
      <c r="F245" s="5" t="n"/>
      <c r="G245" s="5" t="n"/>
      <c r="H245" s="8" t="n"/>
      <c r="I245" s="8" t="n"/>
      <c r="J245" s="8" t="n"/>
      <c r="K245" s="11">
        <f>IF(B245="","",MAX(0,IFERROR(I245,0)*IFERROR(H245,0)-IFERROR(J245,0)))</f>
        <v/>
      </c>
      <c r="L245" s="8" t="n"/>
      <c r="M245" s="11">
        <f>IF(B245="","",MAX(0,K245-L245))</f>
        <v/>
      </c>
      <c r="N245" s="11">
        <f>IF(B245="","",IF(L245&gt;=K245,"Paid",IF(L245&gt;0,"Partial","Unpaid")))</f>
        <v/>
      </c>
      <c r="O245" s="5" t="n"/>
      <c r="P245" s="8" t="n"/>
      <c r="Q245" s="8" t="n"/>
      <c r="R245" s="11">
        <f>IF(B245="","",IFERROR(K245,0)+IFERROR(P245,0)-IFERROR(Q245,0))</f>
        <v/>
      </c>
      <c r="S245" s="5" t="n"/>
      <c r="T245" s="5" t="n"/>
      <c r="U245" s="11">
        <f>IF(B245="","",TRIM(LOWER(C245)&amp;"|"&amp;LOWER(D245)))</f>
        <v/>
      </c>
    </row>
    <row r="246">
      <c r="A246" s="11">
        <f>IF(B246="","",TEXT(ROW()-3,"""DC-""0000"))</f>
        <v/>
      </c>
      <c r="B246" s="5" t="n"/>
      <c r="C246" s="5" t="n"/>
      <c r="D246" s="5" t="n"/>
      <c r="E246" s="5" t="n"/>
      <c r="F246" s="5" t="n"/>
      <c r="G246" s="5" t="n"/>
      <c r="H246" s="8" t="n"/>
      <c r="I246" s="8" t="n"/>
      <c r="J246" s="8" t="n"/>
      <c r="K246" s="11">
        <f>IF(B246="","",MAX(0,IFERROR(I246,0)*IFERROR(H246,0)-IFERROR(J246,0)))</f>
        <v/>
      </c>
      <c r="L246" s="8" t="n"/>
      <c r="M246" s="11">
        <f>IF(B246="","",MAX(0,K246-L246))</f>
        <v/>
      </c>
      <c r="N246" s="11">
        <f>IF(B246="","",IF(L246&gt;=K246,"Paid",IF(L246&gt;0,"Partial","Unpaid")))</f>
        <v/>
      </c>
      <c r="O246" s="5" t="n"/>
      <c r="P246" s="8" t="n"/>
      <c r="Q246" s="8" t="n"/>
      <c r="R246" s="11">
        <f>IF(B246="","",IFERROR(K246,0)+IFERROR(P246,0)-IFERROR(Q246,0))</f>
        <v/>
      </c>
      <c r="S246" s="5" t="n"/>
      <c r="T246" s="5" t="n"/>
      <c r="U246" s="11">
        <f>IF(B246="","",TRIM(LOWER(C246)&amp;"|"&amp;LOWER(D246)))</f>
        <v/>
      </c>
    </row>
    <row r="247">
      <c r="A247" s="11">
        <f>IF(B247="","",TEXT(ROW()-3,"""DC-""0000"))</f>
        <v/>
      </c>
      <c r="B247" s="5" t="n"/>
      <c r="C247" s="5" t="n"/>
      <c r="D247" s="5" t="n"/>
      <c r="E247" s="5" t="n"/>
      <c r="F247" s="5" t="n"/>
      <c r="G247" s="5" t="n"/>
      <c r="H247" s="8" t="n"/>
      <c r="I247" s="8" t="n"/>
      <c r="J247" s="8" t="n"/>
      <c r="K247" s="11">
        <f>IF(B247="","",MAX(0,IFERROR(I247,0)*IFERROR(H247,0)-IFERROR(J247,0)))</f>
        <v/>
      </c>
      <c r="L247" s="8" t="n"/>
      <c r="M247" s="11">
        <f>IF(B247="","",MAX(0,K247-L247))</f>
        <v/>
      </c>
      <c r="N247" s="11">
        <f>IF(B247="","",IF(L247&gt;=K247,"Paid",IF(L247&gt;0,"Partial","Unpaid")))</f>
        <v/>
      </c>
      <c r="O247" s="5" t="n"/>
      <c r="P247" s="8" t="n"/>
      <c r="Q247" s="8" t="n"/>
      <c r="R247" s="11">
        <f>IF(B247="","",IFERROR(K247,0)+IFERROR(P247,0)-IFERROR(Q247,0))</f>
        <v/>
      </c>
      <c r="S247" s="5" t="n"/>
      <c r="T247" s="5" t="n"/>
      <c r="U247" s="11">
        <f>IF(B247="","",TRIM(LOWER(C247)&amp;"|"&amp;LOWER(D247)))</f>
        <v/>
      </c>
    </row>
    <row r="248">
      <c r="A248" s="11">
        <f>IF(B248="","",TEXT(ROW()-3,"""DC-""0000"))</f>
        <v/>
      </c>
      <c r="B248" s="5" t="n"/>
      <c r="C248" s="5" t="n"/>
      <c r="D248" s="5" t="n"/>
      <c r="E248" s="5" t="n"/>
      <c r="F248" s="5" t="n"/>
      <c r="G248" s="5" t="n"/>
      <c r="H248" s="8" t="n"/>
      <c r="I248" s="8" t="n"/>
      <c r="J248" s="8" t="n"/>
      <c r="K248" s="11">
        <f>IF(B248="","",MAX(0,IFERROR(I248,0)*IFERROR(H248,0)-IFERROR(J248,0)))</f>
        <v/>
      </c>
      <c r="L248" s="8" t="n"/>
      <c r="M248" s="11">
        <f>IF(B248="","",MAX(0,K248-L248))</f>
        <v/>
      </c>
      <c r="N248" s="11">
        <f>IF(B248="","",IF(L248&gt;=K248,"Paid",IF(L248&gt;0,"Partial","Unpaid")))</f>
        <v/>
      </c>
      <c r="O248" s="5" t="n"/>
      <c r="P248" s="8" t="n"/>
      <c r="Q248" s="8" t="n"/>
      <c r="R248" s="11">
        <f>IF(B248="","",IFERROR(K248,0)+IFERROR(P248,0)-IFERROR(Q248,0))</f>
        <v/>
      </c>
      <c r="S248" s="5" t="n"/>
      <c r="T248" s="5" t="n"/>
      <c r="U248" s="11">
        <f>IF(B248="","",TRIM(LOWER(C248)&amp;"|"&amp;LOWER(D248)))</f>
        <v/>
      </c>
    </row>
    <row r="249">
      <c r="A249" s="11">
        <f>IF(B249="","",TEXT(ROW()-3,"""DC-""0000"))</f>
        <v/>
      </c>
      <c r="B249" s="5" t="n"/>
      <c r="C249" s="5" t="n"/>
      <c r="D249" s="5" t="n"/>
      <c r="E249" s="5" t="n"/>
      <c r="F249" s="5" t="n"/>
      <c r="G249" s="5" t="n"/>
      <c r="H249" s="8" t="n"/>
      <c r="I249" s="8" t="n"/>
      <c r="J249" s="8" t="n"/>
      <c r="K249" s="11">
        <f>IF(B249="","",MAX(0,IFERROR(I249,0)*IFERROR(H249,0)-IFERROR(J249,0)))</f>
        <v/>
      </c>
      <c r="L249" s="8" t="n"/>
      <c r="M249" s="11">
        <f>IF(B249="","",MAX(0,K249-L249))</f>
        <v/>
      </c>
      <c r="N249" s="11">
        <f>IF(B249="","",IF(L249&gt;=K249,"Paid",IF(L249&gt;0,"Partial","Unpaid")))</f>
        <v/>
      </c>
      <c r="O249" s="5" t="n"/>
      <c r="P249" s="8" t="n"/>
      <c r="Q249" s="8" t="n"/>
      <c r="R249" s="11">
        <f>IF(B249="","",IFERROR(K249,0)+IFERROR(P249,0)-IFERROR(Q249,0))</f>
        <v/>
      </c>
      <c r="S249" s="5" t="n"/>
      <c r="T249" s="5" t="n"/>
      <c r="U249" s="11">
        <f>IF(B249="","",TRIM(LOWER(C249)&amp;"|"&amp;LOWER(D249)))</f>
        <v/>
      </c>
    </row>
    <row r="250">
      <c r="A250" s="11">
        <f>IF(B250="","",TEXT(ROW()-3,"""DC-""0000"))</f>
        <v/>
      </c>
      <c r="B250" s="5" t="n"/>
      <c r="C250" s="5" t="n"/>
      <c r="D250" s="5" t="n"/>
      <c r="E250" s="5" t="n"/>
      <c r="F250" s="5" t="n"/>
      <c r="G250" s="5" t="n"/>
      <c r="H250" s="8" t="n"/>
      <c r="I250" s="8" t="n"/>
      <c r="J250" s="8" t="n"/>
      <c r="K250" s="11">
        <f>IF(B250="","",MAX(0,IFERROR(I250,0)*IFERROR(H250,0)-IFERROR(J250,0)))</f>
        <v/>
      </c>
      <c r="L250" s="8" t="n"/>
      <c r="M250" s="11">
        <f>IF(B250="","",MAX(0,K250-L250))</f>
        <v/>
      </c>
      <c r="N250" s="11">
        <f>IF(B250="","",IF(L250&gt;=K250,"Paid",IF(L250&gt;0,"Partial","Unpaid")))</f>
        <v/>
      </c>
      <c r="O250" s="5" t="n"/>
      <c r="P250" s="8" t="n"/>
      <c r="Q250" s="8" t="n"/>
      <c r="R250" s="11">
        <f>IF(B250="","",IFERROR(K250,0)+IFERROR(P250,0)-IFERROR(Q250,0))</f>
        <v/>
      </c>
      <c r="S250" s="5" t="n"/>
      <c r="T250" s="5" t="n"/>
      <c r="U250" s="11">
        <f>IF(B250="","",TRIM(LOWER(C250)&amp;"|"&amp;LOWER(D250)))</f>
        <v/>
      </c>
    </row>
    <row r="251">
      <c r="A251" s="11">
        <f>IF(B251="","",TEXT(ROW()-3,"""DC-""0000"))</f>
        <v/>
      </c>
      <c r="B251" s="5" t="n"/>
      <c r="C251" s="5" t="n"/>
      <c r="D251" s="5" t="n"/>
      <c r="E251" s="5" t="n"/>
      <c r="F251" s="5" t="n"/>
      <c r="G251" s="5" t="n"/>
      <c r="H251" s="8" t="n"/>
      <c r="I251" s="8" t="n"/>
      <c r="J251" s="8" t="n"/>
      <c r="K251" s="11">
        <f>IF(B251="","",MAX(0,IFERROR(I251,0)*IFERROR(H251,0)-IFERROR(J251,0)))</f>
        <v/>
      </c>
      <c r="L251" s="8" t="n"/>
      <c r="M251" s="11">
        <f>IF(B251="","",MAX(0,K251-L251))</f>
        <v/>
      </c>
      <c r="N251" s="11">
        <f>IF(B251="","",IF(L251&gt;=K251,"Paid",IF(L251&gt;0,"Partial","Unpaid")))</f>
        <v/>
      </c>
      <c r="O251" s="5" t="n"/>
      <c r="P251" s="8" t="n"/>
      <c r="Q251" s="8" t="n"/>
      <c r="R251" s="11">
        <f>IF(B251="","",IFERROR(K251,0)+IFERROR(P251,0)-IFERROR(Q251,0))</f>
        <v/>
      </c>
      <c r="S251" s="5" t="n"/>
      <c r="T251" s="5" t="n"/>
      <c r="U251" s="11">
        <f>IF(B251="","",TRIM(LOWER(C251)&amp;"|"&amp;LOWER(D251)))</f>
        <v/>
      </c>
    </row>
    <row r="252">
      <c r="A252" s="11">
        <f>IF(B252="","",TEXT(ROW()-3,"""DC-""0000"))</f>
        <v/>
      </c>
      <c r="B252" s="5" t="n"/>
      <c r="C252" s="5" t="n"/>
      <c r="D252" s="5" t="n"/>
      <c r="E252" s="5" t="n"/>
      <c r="F252" s="5" t="n"/>
      <c r="G252" s="5" t="n"/>
      <c r="H252" s="8" t="n"/>
      <c r="I252" s="8" t="n"/>
      <c r="J252" s="8" t="n"/>
      <c r="K252" s="11">
        <f>IF(B252="","",MAX(0,IFERROR(I252,0)*IFERROR(H252,0)-IFERROR(J252,0)))</f>
        <v/>
      </c>
      <c r="L252" s="8" t="n"/>
      <c r="M252" s="11">
        <f>IF(B252="","",MAX(0,K252-L252))</f>
        <v/>
      </c>
      <c r="N252" s="11">
        <f>IF(B252="","",IF(L252&gt;=K252,"Paid",IF(L252&gt;0,"Partial","Unpaid")))</f>
        <v/>
      </c>
      <c r="O252" s="5" t="n"/>
      <c r="P252" s="8" t="n"/>
      <c r="Q252" s="8" t="n"/>
      <c r="R252" s="11">
        <f>IF(B252="","",IFERROR(K252,0)+IFERROR(P252,0)-IFERROR(Q252,0))</f>
        <v/>
      </c>
      <c r="S252" s="5" t="n"/>
      <c r="T252" s="5" t="n"/>
      <c r="U252" s="11">
        <f>IF(B252="","",TRIM(LOWER(C252)&amp;"|"&amp;LOWER(D252)))</f>
        <v/>
      </c>
    </row>
    <row r="253">
      <c r="A253" s="11">
        <f>IF(B253="","",TEXT(ROW()-3,"""DC-""0000"))</f>
        <v/>
      </c>
      <c r="B253" s="5" t="n"/>
      <c r="C253" s="5" t="n"/>
      <c r="D253" s="5" t="n"/>
      <c r="E253" s="5" t="n"/>
      <c r="F253" s="5" t="n"/>
      <c r="G253" s="5" t="n"/>
      <c r="H253" s="8" t="n"/>
      <c r="I253" s="8" t="n"/>
      <c r="J253" s="8" t="n"/>
      <c r="K253" s="11">
        <f>IF(B253="","",MAX(0,IFERROR(I253,0)*IFERROR(H253,0)-IFERROR(J253,0)))</f>
        <v/>
      </c>
      <c r="L253" s="8" t="n"/>
      <c r="M253" s="11">
        <f>IF(B253="","",MAX(0,K253-L253))</f>
        <v/>
      </c>
      <c r="N253" s="11">
        <f>IF(B253="","",IF(L253&gt;=K253,"Paid",IF(L253&gt;0,"Partial","Unpaid")))</f>
        <v/>
      </c>
      <c r="O253" s="5" t="n"/>
      <c r="P253" s="8" t="n"/>
      <c r="Q253" s="8" t="n"/>
      <c r="R253" s="11">
        <f>IF(B253="","",IFERROR(K253,0)+IFERROR(P253,0)-IFERROR(Q253,0))</f>
        <v/>
      </c>
      <c r="S253" s="5" t="n"/>
      <c r="T253" s="5" t="n"/>
      <c r="U253" s="11">
        <f>IF(B253="","",TRIM(LOWER(C253)&amp;"|"&amp;LOWER(D253)))</f>
        <v/>
      </c>
    </row>
    <row r="254">
      <c r="A254" s="11">
        <f>IF(B254="","",TEXT(ROW()-3,"""DC-""0000"))</f>
        <v/>
      </c>
      <c r="B254" s="5" t="n"/>
      <c r="C254" s="5" t="n"/>
      <c r="D254" s="5" t="n"/>
      <c r="E254" s="5" t="n"/>
      <c r="F254" s="5" t="n"/>
      <c r="G254" s="5" t="n"/>
      <c r="H254" s="8" t="n"/>
      <c r="I254" s="8" t="n"/>
      <c r="J254" s="8" t="n"/>
      <c r="K254" s="11">
        <f>IF(B254="","",MAX(0,IFERROR(I254,0)*IFERROR(H254,0)-IFERROR(J254,0)))</f>
        <v/>
      </c>
      <c r="L254" s="8" t="n"/>
      <c r="M254" s="11">
        <f>IF(B254="","",MAX(0,K254-L254))</f>
        <v/>
      </c>
      <c r="N254" s="11">
        <f>IF(B254="","",IF(L254&gt;=K254,"Paid",IF(L254&gt;0,"Partial","Unpaid")))</f>
        <v/>
      </c>
      <c r="O254" s="5" t="n"/>
      <c r="P254" s="8" t="n"/>
      <c r="Q254" s="8" t="n"/>
      <c r="R254" s="11">
        <f>IF(B254="","",IFERROR(K254,0)+IFERROR(P254,0)-IFERROR(Q254,0))</f>
        <v/>
      </c>
      <c r="S254" s="5" t="n"/>
      <c r="T254" s="5" t="n"/>
      <c r="U254" s="11">
        <f>IF(B254="","",TRIM(LOWER(C254)&amp;"|"&amp;LOWER(D254)))</f>
        <v/>
      </c>
    </row>
    <row r="255">
      <c r="A255" s="11">
        <f>IF(B255="","",TEXT(ROW()-3,"""DC-""0000"))</f>
        <v/>
      </c>
      <c r="B255" s="5" t="n"/>
      <c r="C255" s="5" t="n"/>
      <c r="D255" s="5" t="n"/>
      <c r="E255" s="5" t="n"/>
      <c r="F255" s="5" t="n"/>
      <c r="G255" s="5" t="n"/>
      <c r="H255" s="8" t="n"/>
      <c r="I255" s="8" t="n"/>
      <c r="J255" s="8" t="n"/>
      <c r="K255" s="11">
        <f>IF(B255="","",MAX(0,IFERROR(I255,0)*IFERROR(H255,0)-IFERROR(J255,0)))</f>
        <v/>
      </c>
      <c r="L255" s="8" t="n"/>
      <c r="M255" s="11">
        <f>IF(B255="","",MAX(0,K255-L255))</f>
        <v/>
      </c>
      <c r="N255" s="11">
        <f>IF(B255="","",IF(L255&gt;=K255,"Paid",IF(L255&gt;0,"Partial","Unpaid")))</f>
        <v/>
      </c>
      <c r="O255" s="5" t="n"/>
      <c r="P255" s="8" t="n"/>
      <c r="Q255" s="8" t="n"/>
      <c r="R255" s="11">
        <f>IF(B255="","",IFERROR(K255,0)+IFERROR(P255,0)-IFERROR(Q255,0))</f>
        <v/>
      </c>
      <c r="S255" s="5" t="n"/>
      <c r="T255" s="5" t="n"/>
      <c r="U255" s="11">
        <f>IF(B255="","",TRIM(LOWER(C255)&amp;"|"&amp;LOWER(D255)))</f>
        <v/>
      </c>
    </row>
    <row r="256">
      <c r="A256" s="11">
        <f>IF(B256="","",TEXT(ROW()-3,"""DC-""0000"))</f>
        <v/>
      </c>
      <c r="B256" s="5" t="n"/>
      <c r="C256" s="5" t="n"/>
      <c r="D256" s="5" t="n"/>
      <c r="E256" s="5" t="n"/>
      <c r="F256" s="5" t="n"/>
      <c r="G256" s="5" t="n"/>
      <c r="H256" s="8" t="n"/>
      <c r="I256" s="8" t="n"/>
      <c r="J256" s="8" t="n"/>
      <c r="K256" s="11">
        <f>IF(B256="","",MAX(0,IFERROR(I256,0)*IFERROR(H256,0)-IFERROR(J256,0)))</f>
        <v/>
      </c>
      <c r="L256" s="8" t="n"/>
      <c r="M256" s="11">
        <f>IF(B256="","",MAX(0,K256-L256))</f>
        <v/>
      </c>
      <c r="N256" s="11">
        <f>IF(B256="","",IF(L256&gt;=K256,"Paid",IF(L256&gt;0,"Partial","Unpaid")))</f>
        <v/>
      </c>
      <c r="O256" s="5" t="n"/>
      <c r="P256" s="8" t="n"/>
      <c r="Q256" s="8" t="n"/>
      <c r="R256" s="11">
        <f>IF(B256="","",IFERROR(K256,0)+IFERROR(P256,0)-IFERROR(Q256,0))</f>
        <v/>
      </c>
      <c r="S256" s="5" t="n"/>
      <c r="T256" s="5" t="n"/>
      <c r="U256" s="11">
        <f>IF(B256="","",TRIM(LOWER(C256)&amp;"|"&amp;LOWER(D256)))</f>
        <v/>
      </c>
    </row>
    <row r="257">
      <c r="A257" s="11">
        <f>IF(B257="","",TEXT(ROW()-3,"""DC-""0000"))</f>
        <v/>
      </c>
      <c r="B257" s="5" t="n"/>
      <c r="C257" s="5" t="n"/>
      <c r="D257" s="5" t="n"/>
      <c r="E257" s="5" t="n"/>
      <c r="F257" s="5" t="n"/>
      <c r="G257" s="5" t="n"/>
      <c r="H257" s="8" t="n"/>
      <c r="I257" s="8" t="n"/>
      <c r="J257" s="8" t="n"/>
      <c r="K257" s="11">
        <f>IF(B257="","",MAX(0,IFERROR(I257,0)*IFERROR(H257,0)-IFERROR(J257,0)))</f>
        <v/>
      </c>
      <c r="L257" s="8" t="n"/>
      <c r="M257" s="11">
        <f>IF(B257="","",MAX(0,K257-L257))</f>
        <v/>
      </c>
      <c r="N257" s="11">
        <f>IF(B257="","",IF(L257&gt;=K257,"Paid",IF(L257&gt;0,"Partial","Unpaid")))</f>
        <v/>
      </c>
      <c r="O257" s="5" t="n"/>
      <c r="P257" s="8" t="n"/>
      <c r="Q257" s="8" t="n"/>
      <c r="R257" s="11">
        <f>IF(B257="","",IFERROR(K257,0)+IFERROR(P257,0)-IFERROR(Q257,0))</f>
        <v/>
      </c>
      <c r="S257" s="5" t="n"/>
      <c r="T257" s="5" t="n"/>
      <c r="U257" s="11">
        <f>IF(B257="","",TRIM(LOWER(C257)&amp;"|"&amp;LOWER(D257)))</f>
        <v/>
      </c>
    </row>
    <row r="258">
      <c r="A258" s="11">
        <f>IF(B258="","",TEXT(ROW()-3,"""DC-""0000"))</f>
        <v/>
      </c>
      <c r="B258" s="5" t="n"/>
      <c r="C258" s="5" t="n"/>
      <c r="D258" s="5" t="n"/>
      <c r="E258" s="5" t="n"/>
      <c r="F258" s="5" t="n"/>
      <c r="G258" s="5" t="n"/>
      <c r="H258" s="8" t="n"/>
      <c r="I258" s="8" t="n"/>
      <c r="J258" s="8" t="n"/>
      <c r="K258" s="11">
        <f>IF(B258="","",MAX(0,IFERROR(I258,0)*IFERROR(H258,0)-IFERROR(J258,0)))</f>
        <v/>
      </c>
      <c r="L258" s="8" t="n"/>
      <c r="M258" s="11">
        <f>IF(B258="","",MAX(0,K258-L258))</f>
        <v/>
      </c>
      <c r="N258" s="11">
        <f>IF(B258="","",IF(L258&gt;=K258,"Paid",IF(L258&gt;0,"Partial","Unpaid")))</f>
        <v/>
      </c>
      <c r="O258" s="5" t="n"/>
      <c r="P258" s="8" t="n"/>
      <c r="Q258" s="8" t="n"/>
      <c r="R258" s="11">
        <f>IF(B258="","",IFERROR(K258,0)+IFERROR(P258,0)-IFERROR(Q258,0))</f>
        <v/>
      </c>
      <c r="S258" s="5" t="n"/>
      <c r="T258" s="5" t="n"/>
      <c r="U258" s="11">
        <f>IF(B258="","",TRIM(LOWER(C258)&amp;"|"&amp;LOWER(D258)))</f>
        <v/>
      </c>
    </row>
    <row r="259">
      <c r="A259" s="11">
        <f>IF(B259="","",TEXT(ROW()-3,"""DC-""0000"))</f>
        <v/>
      </c>
      <c r="B259" s="5" t="n"/>
      <c r="C259" s="5" t="n"/>
      <c r="D259" s="5" t="n"/>
      <c r="E259" s="5" t="n"/>
      <c r="F259" s="5" t="n"/>
      <c r="G259" s="5" t="n"/>
      <c r="H259" s="8" t="n"/>
      <c r="I259" s="8" t="n"/>
      <c r="J259" s="8" t="n"/>
      <c r="K259" s="11">
        <f>IF(B259="","",MAX(0,IFERROR(I259,0)*IFERROR(H259,0)-IFERROR(J259,0)))</f>
        <v/>
      </c>
      <c r="L259" s="8" t="n"/>
      <c r="M259" s="11">
        <f>IF(B259="","",MAX(0,K259-L259))</f>
        <v/>
      </c>
      <c r="N259" s="11">
        <f>IF(B259="","",IF(L259&gt;=K259,"Paid",IF(L259&gt;0,"Partial","Unpaid")))</f>
        <v/>
      </c>
      <c r="O259" s="5" t="n"/>
      <c r="P259" s="8" t="n"/>
      <c r="Q259" s="8" t="n"/>
      <c r="R259" s="11">
        <f>IF(B259="","",IFERROR(K259,0)+IFERROR(P259,0)-IFERROR(Q259,0))</f>
        <v/>
      </c>
      <c r="S259" s="5" t="n"/>
      <c r="T259" s="5" t="n"/>
      <c r="U259" s="11">
        <f>IF(B259="","",TRIM(LOWER(C259)&amp;"|"&amp;LOWER(D259)))</f>
        <v/>
      </c>
    </row>
    <row r="260">
      <c r="A260" s="11">
        <f>IF(B260="","",TEXT(ROW()-3,"""DC-""0000"))</f>
        <v/>
      </c>
      <c r="B260" s="5" t="n"/>
      <c r="C260" s="5" t="n"/>
      <c r="D260" s="5" t="n"/>
      <c r="E260" s="5" t="n"/>
      <c r="F260" s="5" t="n"/>
      <c r="G260" s="5" t="n"/>
      <c r="H260" s="8" t="n"/>
      <c r="I260" s="8" t="n"/>
      <c r="J260" s="8" t="n"/>
      <c r="K260" s="11">
        <f>IF(B260="","",MAX(0,IFERROR(I260,0)*IFERROR(H260,0)-IFERROR(J260,0)))</f>
        <v/>
      </c>
      <c r="L260" s="8" t="n"/>
      <c r="M260" s="11">
        <f>IF(B260="","",MAX(0,K260-L260))</f>
        <v/>
      </c>
      <c r="N260" s="11">
        <f>IF(B260="","",IF(L260&gt;=K260,"Paid",IF(L260&gt;0,"Partial","Unpaid")))</f>
        <v/>
      </c>
      <c r="O260" s="5" t="n"/>
      <c r="P260" s="8" t="n"/>
      <c r="Q260" s="8" t="n"/>
      <c r="R260" s="11">
        <f>IF(B260="","",IFERROR(K260,0)+IFERROR(P260,0)-IFERROR(Q260,0))</f>
        <v/>
      </c>
      <c r="S260" s="5" t="n"/>
      <c r="T260" s="5" t="n"/>
      <c r="U260" s="11">
        <f>IF(B260="","",TRIM(LOWER(C260)&amp;"|"&amp;LOWER(D260)))</f>
        <v/>
      </c>
    </row>
    <row r="261">
      <c r="A261" s="11">
        <f>IF(B261="","",TEXT(ROW()-3,"""DC-""0000"))</f>
        <v/>
      </c>
      <c r="B261" s="5" t="n"/>
      <c r="C261" s="5" t="n"/>
      <c r="D261" s="5" t="n"/>
      <c r="E261" s="5" t="n"/>
      <c r="F261" s="5" t="n"/>
      <c r="G261" s="5" t="n"/>
      <c r="H261" s="8" t="n"/>
      <c r="I261" s="8" t="n"/>
      <c r="J261" s="8" t="n"/>
      <c r="K261" s="11">
        <f>IF(B261="","",MAX(0,IFERROR(I261,0)*IFERROR(H261,0)-IFERROR(J261,0)))</f>
        <v/>
      </c>
      <c r="L261" s="8" t="n"/>
      <c r="M261" s="11">
        <f>IF(B261="","",MAX(0,K261-L261))</f>
        <v/>
      </c>
      <c r="N261" s="11">
        <f>IF(B261="","",IF(L261&gt;=K261,"Paid",IF(L261&gt;0,"Partial","Unpaid")))</f>
        <v/>
      </c>
      <c r="O261" s="5" t="n"/>
      <c r="P261" s="8" t="n"/>
      <c r="Q261" s="8" t="n"/>
      <c r="R261" s="11">
        <f>IF(B261="","",IFERROR(K261,0)+IFERROR(P261,0)-IFERROR(Q261,0))</f>
        <v/>
      </c>
      <c r="S261" s="5" t="n"/>
      <c r="T261" s="5" t="n"/>
      <c r="U261" s="11">
        <f>IF(B261="","",TRIM(LOWER(C261)&amp;"|"&amp;LOWER(D261)))</f>
        <v/>
      </c>
    </row>
    <row r="262">
      <c r="A262" s="11">
        <f>IF(B262="","",TEXT(ROW()-3,"""DC-""0000"))</f>
        <v/>
      </c>
      <c r="B262" s="5" t="n"/>
      <c r="C262" s="5" t="n"/>
      <c r="D262" s="5" t="n"/>
      <c r="E262" s="5" t="n"/>
      <c r="F262" s="5" t="n"/>
      <c r="G262" s="5" t="n"/>
      <c r="H262" s="8" t="n"/>
      <c r="I262" s="8" t="n"/>
      <c r="J262" s="8" t="n"/>
      <c r="K262" s="11">
        <f>IF(B262="","",MAX(0,IFERROR(I262,0)*IFERROR(H262,0)-IFERROR(J262,0)))</f>
        <v/>
      </c>
      <c r="L262" s="8" t="n"/>
      <c r="M262" s="11">
        <f>IF(B262="","",MAX(0,K262-L262))</f>
        <v/>
      </c>
      <c r="N262" s="11">
        <f>IF(B262="","",IF(L262&gt;=K262,"Paid",IF(L262&gt;0,"Partial","Unpaid")))</f>
        <v/>
      </c>
      <c r="O262" s="5" t="n"/>
      <c r="P262" s="8" t="n"/>
      <c r="Q262" s="8" t="n"/>
      <c r="R262" s="11">
        <f>IF(B262="","",IFERROR(K262,0)+IFERROR(P262,0)-IFERROR(Q262,0))</f>
        <v/>
      </c>
      <c r="S262" s="5" t="n"/>
      <c r="T262" s="5" t="n"/>
      <c r="U262" s="11">
        <f>IF(B262="","",TRIM(LOWER(C262)&amp;"|"&amp;LOWER(D262)))</f>
        <v/>
      </c>
    </row>
    <row r="263">
      <c r="A263" s="11">
        <f>IF(B263="","",TEXT(ROW()-3,"""DC-""0000"))</f>
        <v/>
      </c>
      <c r="B263" s="5" t="n"/>
      <c r="C263" s="5" t="n"/>
      <c r="D263" s="5" t="n"/>
      <c r="E263" s="5" t="n"/>
      <c r="F263" s="5" t="n"/>
      <c r="G263" s="5" t="n"/>
      <c r="H263" s="8" t="n"/>
      <c r="I263" s="8" t="n"/>
      <c r="J263" s="8" t="n"/>
      <c r="K263" s="11">
        <f>IF(B263="","",MAX(0,IFERROR(I263,0)*IFERROR(H263,0)-IFERROR(J263,0)))</f>
        <v/>
      </c>
      <c r="L263" s="8" t="n"/>
      <c r="M263" s="11">
        <f>IF(B263="","",MAX(0,K263-L263))</f>
        <v/>
      </c>
      <c r="N263" s="11">
        <f>IF(B263="","",IF(L263&gt;=K263,"Paid",IF(L263&gt;0,"Partial","Unpaid")))</f>
        <v/>
      </c>
      <c r="O263" s="5" t="n"/>
      <c r="P263" s="8" t="n"/>
      <c r="Q263" s="8" t="n"/>
      <c r="R263" s="11">
        <f>IF(B263="","",IFERROR(K263,0)+IFERROR(P263,0)-IFERROR(Q263,0))</f>
        <v/>
      </c>
      <c r="S263" s="5" t="n"/>
      <c r="T263" s="5" t="n"/>
      <c r="U263" s="11">
        <f>IF(B263="","",TRIM(LOWER(C263)&amp;"|"&amp;LOWER(D263)))</f>
        <v/>
      </c>
    </row>
    <row r="264">
      <c r="A264" s="11">
        <f>IF(B264="","",TEXT(ROW()-3,"""DC-""0000"))</f>
        <v/>
      </c>
      <c r="B264" s="5" t="n"/>
      <c r="C264" s="5" t="n"/>
      <c r="D264" s="5" t="n"/>
      <c r="E264" s="5" t="n"/>
      <c r="F264" s="5" t="n"/>
      <c r="G264" s="5" t="n"/>
      <c r="H264" s="8" t="n"/>
      <c r="I264" s="8" t="n"/>
      <c r="J264" s="8" t="n"/>
      <c r="K264" s="11">
        <f>IF(B264="","",MAX(0,IFERROR(I264,0)*IFERROR(H264,0)-IFERROR(J264,0)))</f>
        <v/>
      </c>
      <c r="L264" s="8" t="n"/>
      <c r="M264" s="11">
        <f>IF(B264="","",MAX(0,K264-L264))</f>
        <v/>
      </c>
      <c r="N264" s="11">
        <f>IF(B264="","",IF(L264&gt;=K264,"Paid",IF(L264&gt;0,"Partial","Unpaid")))</f>
        <v/>
      </c>
      <c r="O264" s="5" t="n"/>
      <c r="P264" s="8" t="n"/>
      <c r="Q264" s="8" t="n"/>
      <c r="R264" s="11">
        <f>IF(B264="","",IFERROR(K264,0)+IFERROR(P264,0)-IFERROR(Q264,0))</f>
        <v/>
      </c>
      <c r="S264" s="5" t="n"/>
      <c r="T264" s="5" t="n"/>
      <c r="U264" s="11">
        <f>IF(B264="","",TRIM(LOWER(C264)&amp;"|"&amp;LOWER(D264)))</f>
        <v/>
      </c>
    </row>
    <row r="265">
      <c r="A265" s="11">
        <f>IF(B265="","",TEXT(ROW()-3,"""DC-""0000"))</f>
        <v/>
      </c>
      <c r="B265" s="5" t="n"/>
      <c r="C265" s="5" t="n"/>
      <c r="D265" s="5" t="n"/>
      <c r="E265" s="5" t="n"/>
      <c r="F265" s="5" t="n"/>
      <c r="G265" s="5" t="n"/>
      <c r="H265" s="8" t="n"/>
      <c r="I265" s="8" t="n"/>
      <c r="J265" s="8" t="n"/>
      <c r="K265" s="11">
        <f>IF(B265="","",MAX(0,IFERROR(I265,0)*IFERROR(H265,0)-IFERROR(J265,0)))</f>
        <v/>
      </c>
      <c r="L265" s="8" t="n"/>
      <c r="M265" s="11">
        <f>IF(B265="","",MAX(0,K265-L265))</f>
        <v/>
      </c>
      <c r="N265" s="11">
        <f>IF(B265="","",IF(L265&gt;=K265,"Paid",IF(L265&gt;0,"Partial","Unpaid")))</f>
        <v/>
      </c>
      <c r="O265" s="5" t="n"/>
      <c r="P265" s="8" t="n"/>
      <c r="Q265" s="8" t="n"/>
      <c r="R265" s="11">
        <f>IF(B265="","",IFERROR(K265,0)+IFERROR(P265,0)-IFERROR(Q265,0))</f>
        <v/>
      </c>
      <c r="S265" s="5" t="n"/>
      <c r="T265" s="5" t="n"/>
      <c r="U265" s="11">
        <f>IF(B265="","",TRIM(LOWER(C265)&amp;"|"&amp;LOWER(D265)))</f>
        <v/>
      </c>
    </row>
    <row r="266">
      <c r="A266" s="11">
        <f>IF(B266="","",TEXT(ROW()-3,"""DC-""0000"))</f>
        <v/>
      </c>
      <c r="B266" s="5" t="n"/>
      <c r="C266" s="5" t="n"/>
      <c r="D266" s="5" t="n"/>
      <c r="E266" s="5" t="n"/>
      <c r="F266" s="5" t="n"/>
      <c r="G266" s="5" t="n"/>
      <c r="H266" s="8" t="n"/>
      <c r="I266" s="8" t="n"/>
      <c r="J266" s="8" t="n"/>
      <c r="K266" s="11">
        <f>IF(B266="","",MAX(0,IFERROR(I266,0)*IFERROR(H266,0)-IFERROR(J266,0)))</f>
        <v/>
      </c>
      <c r="L266" s="8" t="n"/>
      <c r="M266" s="11">
        <f>IF(B266="","",MAX(0,K266-L266))</f>
        <v/>
      </c>
      <c r="N266" s="11">
        <f>IF(B266="","",IF(L266&gt;=K266,"Paid",IF(L266&gt;0,"Partial","Unpaid")))</f>
        <v/>
      </c>
      <c r="O266" s="5" t="n"/>
      <c r="P266" s="8" t="n"/>
      <c r="Q266" s="8" t="n"/>
      <c r="R266" s="11">
        <f>IF(B266="","",IFERROR(K266,0)+IFERROR(P266,0)-IFERROR(Q266,0))</f>
        <v/>
      </c>
      <c r="S266" s="5" t="n"/>
      <c r="T266" s="5" t="n"/>
      <c r="U266" s="11">
        <f>IF(B266="","",TRIM(LOWER(C266)&amp;"|"&amp;LOWER(D266)))</f>
        <v/>
      </c>
    </row>
    <row r="267">
      <c r="A267" s="11">
        <f>IF(B267="","",TEXT(ROW()-3,"""DC-""0000"))</f>
        <v/>
      </c>
      <c r="B267" s="5" t="n"/>
      <c r="C267" s="5" t="n"/>
      <c r="D267" s="5" t="n"/>
      <c r="E267" s="5" t="n"/>
      <c r="F267" s="5" t="n"/>
      <c r="G267" s="5" t="n"/>
      <c r="H267" s="8" t="n"/>
      <c r="I267" s="8" t="n"/>
      <c r="J267" s="8" t="n"/>
      <c r="K267" s="11">
        <f>IF(B267="","",MAX(0,IFERROR(I267,0)*IFERROR(H267,0)-IFERROR(J267,0)))</f>
        <v/>
      </c>
      <c r="L267" s="8" t="n"/>
      <c r="M267" s="11">
        <f>IF(B267="","",MAX(0,K267-L267))</f>
        <v/>
      </c>
      <c r="N267" s="11">
        <f>IF(B267="","",IF(L267&gt;=K267,"Paid",IF(L267&gt;0,"Partial","Unpaid")))</f>
        <v/>
      </c>
      <c r="O267" s="5" t="n"/>
      <c r="P267" s="8" t="n"/>
      <c r="Q267" s="8" t="n"/>
      <c r="R267" s="11">
        <f>IF(B267="","",IFERROR(K267,0)+IFERROR(P267,0)-IFERROR(Q267,0))</f>
        <v/>
      </c>
      <c r="S267" s="5" t="n"/>
      <c r="T267" s="5" t="n"/>
      <c r="U267" s="11">
        <f>IF(B267="","",TRIM(LOWER(C267)&amp;"|"&amp;LOWER(D267)))</f>
        <v/>
      </c>
    </row>
    <row r="268">
      <c r="A268" s="11">
        <f>IF(B268="","",TEXT(ROW()-3,"""DC-""0000"))</f>
        <v/>
      </c>
      <c r="B268" s="5" t="n"/>
      <c r="C268" s="5" t="n"/>
      <c r="D268" s="5" t="n"/>
      <c r="E268" s="5" t="n"/>
      <c r="F268" s="5" t="n"/>
      <c r="G268" s="5" t="n"/>
      <c r="H268" s="8" t="n"/>
      <c r="I268" s="8" t="n"/>
      <c r="J268" s="8" t="n"/>
      <c r="K268" s="11">
        <f>IF(B268="","",MAX(0,IFERROR(I268,0)*IFERROR(H268,0)-IFERROR(J268,0)))</f>
        <v/>
      </c>
      <c r="L268" s="8" t="n"/>
      <c r="M268" s="11">
        <f>IF(B268="","",MAX(0,K268-L268))</f>
        <v/>
      </c>
      <c r="N268" s="11">
        <f>IF(B268="","",IF(L268&gt;=K268,"Paid",IF(L268&gt;0,"Partial","Unpaid")))</f>
        <v/>
      </c>
      <c r="O268" s="5" t="n"/>
      <c r="P268" s="8" t="n"/>
      <c r="Q268" s="8" t="n"/>
      <c r="R268" s="11">
        <f>IF(B268="","",IFERROR(K268,0)+IFERROR(P268,0)-IFERROR(Q268,0))</f>
        <v/>
      </c>
      <c r="S268" s="5" t="n"/>
      <c r="T268" s="5" t="n"/>
      <c r="U268" s="11">
        <f>IF(B268="","",TRIM(LOWER(C268)&amp;"|"&amp;LOWER(D268)))</f>
        <v/>
      </c>
    </row>
    <row r="269">
      <c r="A269" s="11">
        <f>IF(B269="","",TEXT(ROW()-3,"""DC-""0000"))</f>
        <v/>
      </c>
      <c r="B269" s="5" t="n"/>
      <c r="C269" s="5" t="n"/>
      <c r="D269" s="5" t="n"/>
      <c r="E269" s="5" t="n"/>
      <c r="F269" s="5" t="n"/>
      <c r="G269" s="5" t="n"/>
      <c r="H269" s="8" t="n"/>
      <c r="I269" s="8" t="n"/>
      <c r="J269" s="8" t="n"/>
      <c r="K269" s="11">
        <f>IF(B269="","",MAX(0,IFERROR(I269,0)*IFERROR(H269,0)-IFERROR(J269,0)))</f>
        <v/>
      </c>
      <c r="L269" s="8" t="n"/>
      <c r="M269" s="11">
        <f>IF(B269="","",MAX(0,K269-L269))</f>
        <v/>
      </c>
      <c r="N269" s="11">
        <f>IF(B269="","",IF(L269&gt;=K269,"Paid",IF(L269&gt;0,"Partial","Unpaid")))</f>
        <v/>
      </c>
      <c r="O269" s="5" t="n"/>
      <c r="P269" s="8" t="n"/>
      <c r="Q269" s="8" t="n"/>
      <c r="R269" s="11">
        <f>IF(B269="","",IFERROR(K269,0)+IFERROR(P269,0)-IFERROR(Q269,0))</f>
        <v/>
      </c>
      <c r="S269" s="5" t="n"/>
      <c r="T269" s="5" t="n"/>
      <c r="U269" s="11">
        <f>IF(B269="","",TRIM(LOWER(C269)&amp;"|"&amp;LOWER(D269)))</f>
        <v/>
      </c>
    </row>
    <row r="270">
      <c r="A270" s="11">
        <f>IF(B270="","",TEXT(ROW()-3,"""DC-""0000"))</f>
        <v/>
      </c>
      <c r="B270" s="5" t="n"/>
      <c r="C270" s="5" t="n"/>
      <c r="D270" s="5" t="n"/>
      <c r="E270" s="5" t="n"/>
      <c r="F270" s="5" t="n"/>
      <c r="G270" s="5" t="n"/>
      <c r="H270" s="8" t="n"/>
      <c r="I270" s="8" t="n"/>
      <c r="J270" s="8" t="n"/>
      <c r="K270" s="11">
        <f>IF(B270="","",MAX(0,IFERROR(I270,0)*IFERROR(H270,0)-IFERROR(J270,0)))</f>
        <v/>
      </c>
      <c r="L270" s="8" t="n"/>
      <c r="M270" s="11">
        <f>IF(B270="","",MAX(0,K270-L270))</f>
        <v/>
      </c>
      <c r="N270" s="11">
        <f>IF(B270="","",IF(L270&gt;=K270,"Paid",IF(L270&gt;0,"Partial","Unpaid")))</f>
        <v/>
      </c>
      <c r="O270" s="5" t="n"/>
      <c r="P270" s="8" t="n"/>
      <c r="Q270" s="8" t="n"/>
      <c r="R270" s="11">
        <f>IF(B270="","",IFERROR(K270,0)+IFERROR(P270,0)-IFERROR(Q270,0))</f>
        <v/>
      </c>
      <c r="S270" s="5" t="n"/>
      <c r="T270" s="5" t="n"/>
      <c r="U270" s="11">
        <f>IF(B270="","",TRIM(LOWER(C270)&amp;"|"&amp;LOWER(D270)))</f>
        <v/>
      </c>
    </row>
    <row r="271">
      <c r="A271" s="11">
        <f>IF(B271="","",TEXT(ROW()-3,"""DC-""0000"))</f>
        <v/>
      </c>
      <c r="B271" s="5" t="n"/>
      <c r="C271" s="5" t="n"/>
      <c r="D271" s="5" t="n"/>
      <c r="E271" s="5" t="n"/>
      <c r="F271" s="5" t="n"/>
      <c r="G271" s="5" t="n"/>
      <c r="H271" s="8" t="n"/>
      <c r="I271" s="8" t="n"/>
      <c r="J271" s="8" t="n"/>
      <c r="K271" s="11">
        <f>IF(B271="","",MAX(0,IFERROR(I271,0)*IFERROR(H271,0)-IFERROR(J271,0)))</f>
        <v/>
      </c>
      <c r="L271" s="8" t="n"/>
      <c r="M271" s="11">
        <f>IF(B271="","",MAX(0,K271-L271))</f>
        <v/>
      </c>
      <c r="N271" s="11">
        <f>IF(B271="","",IF(L271&gt;=K271,"Paid",IF(L271&gt;0,"Partial","Unpaid")))</f>
        <v/>
      </c>
      <c r="O271" s="5" t="n"/>
      <c r="P271" s="8" t="n"/>
      <c r="Q271" s="8" t="n"/>
      <c r="R271" s="11">
        <f>IF(B271="","",IFERROR(K271,0)+IFERROR(P271,0)-IFERROR(Q271,0))</f>
        <v/>
      </c>
      <c r="S271" s="5" t="n"/>
      <c r="T271" s="5" t="n"/>
      <c r="U271" s="11">
        <f>IF(B271="","",TRIM(LOWER(C271)&amp;"|"&amp;LOWER(D271)))</f>
        <v/>
      </c>
    </row>
    <row r="272">
      <c r="A272" s="11">
        <f>IF(B272="","",TEXT(ROW()-3,"""DC-""0000"))</f>
        <v/>
      </c>
      <c r="B272" s="5" t="n"/>
      <c r="C272" s="5" t="n"/>
      <c r="D272" s="5" t="n"/>
      <c r="E272" s="5" t="n"/>
      <c r="F272" s="5" t="n"/>
      <c r="G272" s="5" t="n"/>
      <c r="H272" s="8" t="n"/>
      <c r="I272" s="8" t="n"/>
      <c r="J272" s="8" t="n"/>
      <c r="K272" s="11">
        <f>IF(B272="","",MAX(0,IFERROR(I272,0)*IFERROR(H272,0)-IFERROR(J272,0)))</f>
        <v/>
      </c>
      <c r="L272" s="8" t="n"/>
      <c r="M272" s="11">
        <f>IF(B272="","",MAX(0,K272-L272))</f>
        <v/>
      </c>
      <c r="N272" s="11">
        <f>IF(B272="","",IF(L272&gt;=K272,"Paid",IF(L272&gt;0,"Partial","Unpaid")))</f>
        <v/>
      </c>
      <c r="O272" s="5" t="n"/>
      <c r="P272" s="8" t="n"/>
      <c r="Q272" s="8" t="n"/>
      <c r="R272" s="11">
        <f>IF(B272="","",IFERROR(K272,0)+IFERROR(P272,0)-IFERROR(Q272,0))</f>
        <v/>
      </c>
      <c r="S272" s="5" t="n"/>
      <c r="T272" s="5" t="n"/>
      <c r="U272" s="11">
        <f>IF(B272="","",TRIM(LOWER(C272)&amp;"|"&amp;LOWER(D272)))</f>
        <v/>
      </c>
    </row>
    <row r="273">
      <c r="A273" s="11">
        <f>IF(B273="","",TEXT(ROW()-3,"""DC-""0000"))</f>
        <v/>
      </c>
      <c r="B273" s="5" t="n"/>
      <c r="C273" s="5" t="n"/>
      <c r="D273" s="5" t="n"/>
      <c r="E273" s="5" t="n"/>
      <c r="F273" s="5" t="n"/>
      <c r="G273" s="5" t="n"/>
      <c r="H273" s="8" t="n"/>
      <c r="I273" s="8" t="n"/>
      <c r="J273" s="8" t="n"/>
      <c r="K273" s="11">
        <f>IF(B273="","",MAX(0,IFERROR(I273,0)*IFERROR(H273,0)-IFERROR(J273,0)))</f>
        <v/>
      </c>
      <c r="L273" s="8" t="n"/>
      <c r="M273" s="11">
        <f>IF(B273="","",MAX(0,K273-L273))</f>
        <v/>
      </c>
      <c r="N273" s="11">
        <f>IF(B273="","",IF(L273&gt;=K273,"Paid",IF(L273&gt;0,"Partial","Unpaid")))</f>
        <v/>
      </c>
      <c r="O273" s="5" t="n"/>
      <c r="P273" s="8" t="n"/>
      <c r="Q273" s="8" t="n"/>
      <c r="R273" s="11">
        <f>IF(B273="","",IFERROR(K273,0)+IFERROR(P273,0)-IFERROR(Q273,0))</f>
        <v/>
      </c>
      <c r="S273" s="5" t="n"/>
      <c r="T273" s="5" t="n"/>
      <c r="U273" s="11">
        <f>IF(B273="","",TRIM(LOWER(C273)&amp;"|"&amp;LOWER(D273)))</f>
        <v/>
      </c>
    </row>
    <row r="274">
      <c r="A274" s="11">
        <f>IF(B274="","",TEXT(ROW()-3,"""DC-""0000"))</f>
        <v/>
      </c>
      <c r="B274" s="5" t="n"/>
      <c r="C274" s="5" t="n"/>
      <c r="D274" s="5" t="n"/>
      <c r="E274" s="5" t="n"/>
      <c r="F274" s="5" t="n"/>
      <c r="G274" s="5" t="n"/>
      <c r="H274" s="8" t="n"/>
      <c r="I274" s="8" t="n"/>
      <c r="J274" s="8" t="n"/>
      <c r="K274" s="11">
        <f>IF(B274="","",MAX(0,IFERROR(I274,0)*IFERROR(H274,0)-IFERROR(J274,0)))</f>
        <v/>
      </c>
      <c r="L274" s="8" t="n"/>
      <c r="M274" s="11">
        <f>IF(B274="","",MAX(0,K274-L274))</f>
        <v/>
      </c>
      <c r="N274" s="11">
        <f>IF(B274="","",IF(L274&gt;=K274,"Paid",IF(L274&gt;0,"Partial","Unpaid")))</f>
        <v/>
      </c>
      <c r="O274" s="5" t="n"/>
      <c r="P274" s="8" t="n"/>
      <c r="Q274" s="8" t="n"/>
      <c r="R274" s="11">
        <f>IF(B274="","",IFERROR(K274,0)+IFERROR(P274,0)-IFERROR(Q274,0))</f>
        <v/>
      </c>
      <c r="S274" s="5" t="n"/>
      <c r="T274" s="5" t="n"/>
      <c r="U274" s="11">
        <f>IF(B274="","",TRIM(LOWER(C274)&amp;"|"&amp;LOWER(D274)))</f>
        <v/>
      </c>
    </row>
    <row r="275">
      <c r="A275" s="11">
        <f>IF(B275="","",TEXT(ROW()-3,"""DC-""0000"))</f>
        <v/>
      </c>
      <c r="B275" s="5" t="n"/>
      <c r="C275" s="5" t="n"/>
      <c r="D275" s="5" t="n"/>
      <c r="E275" s="5" t="n"/>
      <c r="F275" s="5" t="n"/>
      <c r="G275" s="5" t="n"/>
      <c r="H275" s="8" t="n"/>
      <c r="I275" s="8" t="n"/>
      <c r="J275" s="8" t="n"/>
      <c r="K275" s="11">
        <f>IF(B275="","",MAX(0,IFERROR(I275,0)*IFERROR(H275,0)-IFERROR(J275,0)))</f>
        <v/>
      </c>
      <c r="L275" s="8" t="n"/>
      <c r="M275" s="11">
        <f>IF(B275="","",MAX(0,K275-L275))</f>
        <v/>
      </c>
      <c r="N275" s="11">
        <f>IF(B275="","",IF(L275&gt;=K275,"Paid",IF(L275&gt;0,"Partial","Unpaid")))</f>
        <v/>
      </c>
      <c r="O275" s="5" t="n"/>
      <c r="P275" s="8" t="n"/>
      <c r="Q275" s="8" t="n"/>
      <c r="R275" s="11">
        <f>IF(B275="","",IFERROR(K275,0)+IFERROR(P275,0)-IFERROR(Q275,0))</f>
        <v/>
      </c>
      <c r="S275" s="5" t="n"/>
      <c r="T275" s="5" t="n"/>
      <c r="U275" s="11">
        <f>IF(B275="","",TRIM(LOWER(C275)&amp;"|"&amp;LOWER(D275)))</f>
        <v/>
      </c>
    </row>
    <row r="276">
      <c r="A276" s="11">
        <f>IF(B276="","",TEXT(ROW()-3,"""DC-""0000"))</f>
        <v/>
      </c>
      <c r="B276" s="5" t="n"/>
      <c r="C276" s="5" t="n"/>
      <c r="D276" s="5" t="n"/>
      <c r="E276" s="5" t="n"/>
      <c r="F276" s="5" t="n"/>
      <c r="G276" s="5" t="n"/>
      <c r="H276" s="8" t="n"/>
      <c r="I276" s="8" t="n"/>
      <c r="J276" s="8" t="n"/>
      <c r="K276" s="11">
        <f>IF(B276="","",MAX(0,IFERROR(I276,0)*IFERROR(H276,0)-IFERROR(J276,0)))</f>
        <v/>
      </c>
      <c r="L276" s="8" t="n"/>
      <c r="M276" s="11">
        <f>IF(B276="","",MAX(0,K276-L276))</f>
        <v/>
      </c>
      <c r="N276" s="11">
        <f>IF(B276="","",IF(L276&gt;=K276,"Paid",IF(L276&gt;0,"Partial","Unpaid")))</f>
        <v/>
      </c>
      <c r="O276" s="5" t="n"/>
      <c r="P276" s="8" t="n"/>
      <c r="Q276" s="8" t="n"/>
      <c r="R276" s="11">
        <f>IF(B276="","",IFERROR(K276,0)+IFERROR(P276,0)-IFERROR(Q276,0))</f>
        <v/>
      </c>
      <c r="S276" s="5" t="n"/>
      <c r="T276" s="5" t="n"/>
      <c r="U276" s="11">
        <f>IF(B276="","",TRIM(LOWER(C276)&amp;"|"&amp;LOWER(D276)))</f>
        <v/>
      </c>
    </row>
    <row r="277">
      <c r="A277" s="11">
        <f>IF(B277="","",TEXT(ROW()-3,"""DC-""0000"))</f>
        <v/>
      </c>
      <c r="B277" s="5" t="n"/>
      <c r="C277" s="5" t="n"/>
      <c r="D277" s="5" t="n"/>
      <c r="E277" s="5" t="n"/>
      <c r="F277" s="5" t="n"/>
      <c r="G277" s="5" t="n"/>
      <c r="H277" s="8" t="n"/>
      <c r="I277" s="8" t="n"/>
      <c r="J277" s="8" t="n"/>
      <c r="K277" s="11">
        <f>IF(B277="","",MAX(0,IFERROR(I277,0)*IFERROR(H277,0)-IFERROR(J277,0)))</f>
        <v/>
      </c>
      <c r="L277" s="8" t="n"/>
      <c r="M277" s="11">
        <f>IF(B277="","",MAX(0,K277-L277))</f>
        <v/>
      </c>
      <c r="N277" s="11">
        <f>IF(B277="","",IF(L277&gt;=K277,"Paid",IF(L277&gt;0,"Partial","Unpaid")))</f>
        <v/>
      </c>
      <c r="O277" s="5" t="n"/>
      <c r="P277" s="8" t="n"/>
      <c r="Q277" s="8" t="n"/>
      <c r="R277" s="11">
        <f>IF(B277="","",IFERROR(K277,0)+IFERROR(P277,0)-IFERROR(Q277,0))</f>
        <v/>
      </c>
      <c r="S277" s="5" t="n"/>
      <c r="T277" s="5" t="n"/>
      <c r="U277" s="11">
        <f>IF(B277="","",TRIM(LOWER(C277)&amp;"|"&amp;LOWER(D277)))</f>
        <v/>
      </c>
    </row>
    <row r="278">
      <c r="A278" s="11">
        <f>IF(B278="","",TEXT(ROW()-3,"""DC-""0000"))</f>
        <v/>
      </c>
      <c r="B278" s="5" t="n"/>
      <c r="C278" s="5" t="n"/>
      <c r="D278" s="5" t="n"/>
      <c r="E278" s="5" t="n"/>
      <c r="F278" s="5" t="n"/>
      <c r="G278" s="5" t="n"/>
      <c r="H278" s="8" t="n"/>
      <c r="I278" s="8" t="n"/>
      <c r="J278" s="8" t="n"/>
      <c r="K278" s="11">
        <f>IF(B278="","",MAX(0,IFERROR(I278,0)*IFERROR(H278,0)-IFERROR(J278,0)))</f>
        <v/>
      </c>
      <c r="L278" s="8" t="n"/>
      <c r="M278" s="11">
        <f>IF(B278="","",MAX(0,K278-L278))</f>
        <v/>
      </c>
      <c r="N278" s="11">
        <f>IF(B278="","",IF(L278&gt;=K278,"Paid",IF(L278&gt;0,"Partial","Unpaid")))</f>
        <v/>
      </c>
      <c r="O278" s="5" t="n"/>
      <c r="P278" s="8" t="n"/>
      <c r="Q278" s="8" t="n"/>
      <c r="R278" s="11">
        <f>IF(B278="","",IFERROR(K278,0)+IFERROR(P278,0)-IFERROR(Q278,0))</f>
        <v/>
      </c>
      <c r="S278" s="5" t="n"/>
      <c r="T278" s="5" t="n"/>
      <c r="U278" s="11">
        <f>IF(B278="","",TRIM(LOWER(C278)&amp;"|"&amp;LOWER(D278)))</f>
        <v/>
      </c>
    </row>
    <row r="279">
      <c r="A279" s="11">
        <f>IF(B279="","",TEXT(ROW()-3,"""DC-""0000"))</f>
        <v/>
      </c>
      <c r="B279" s="5" t="n"/>
      <c r="C279" s="5" t="n"/>
      <c r="D279" s="5" t="n"/>
      <c r="E279" s="5" t="n"/>
      <c r="F279" s="5" t="n"/>
      <c r="G279" s="5" t="n"/>
      <c r="H279" s="8" t="n"/>
      <c r="I279" s="8" t="n"/>
      <c r="J279" s="8" t="n"/>
      <c r="K279" s="11">
        <f>IF(B279="","",MAX(0,IFERROR(I279,0)*IFERROR(H279,0)-IFERROR(J279,0)))</f>
        <v/>
      </c>
      <c r="L279" s="8" t="n"/>
      <c r="M279" s="11">
        <f>IF(B279="","",MAX(0,K279-L279))</f>
        <v/>
      </c>
      <c r="N279" s="11">
        <f>IF(B279="","",IF(L279&gt;=K279,"Paid",IF(L279&gt;0,"Partial","Unpaid")))</f>
        <v/>
      </c>
      <c r="O279" s="5" t="n"/>
      <c r="P279" s="8" t="n"/>
      <c r="Q279" s="8" t="n"/>
      <c r="R279" s="11">
        <f>IF(B279="","",IFERROR(K279,0)+IFERROR(P279,0)-IFERROR(Q279,0))</f>
        <v/>
      </c>
      <c r="S279" s="5" t="n"/>
      <c r="T279" s="5" t="n"/>
      <c r="U279" s="11">
        <f>IF(B279="","",TRIM(LOWER(C279)&amp;"|"&amp;LOWER(D279)))</f>
        <v/>
      </c>
    </row>
    <row r="280">
      <c r="A280" s="11">
        <f>IF(B280="","",TEXT(ROW()-3,"""DC-""0000"))</f>
        <v/>
      </c>
      <c r="B280" s="5" t="n"/>
      <c r="C280" s="5" t="n"/>
      <c r="D280" s="5" t="n"/>
      <c r="E280" s="5" t="n"/>
      <c r="F280" s="5" t="n"/>
      <c r="G280" s="5" t="n"/>
      <c r="H280" s="8" t="n"/>
      <c r="I280" s="8" t="n"/>
      <c r="J280" s="8" t="n"/>
      <c r="K280" s="11">
        <f>IF(B280="","",MAX(0,IFERROR(I280,0)*IFERROR(H280,0)-IFERROR(J280,0)))</f>
        <v/>
      </c>
      <c r="L280" s="8" t="n"/>
      <c r="M280" s="11">
        <f>IF(B280="","",MAX(0,K280-L280))</f>
        <v/>
      </c>
      <c r="N280" s="11">
        <f>IF(B280="","",IF(L280&gt;=K280,"Paid",IF(L280&gt;0,"Partial","Unpaid")))</f>
        <v/>
      </c>
      <c r="O280" s="5" t="n"/>
      <c r="P280" s="8" t="n"/>
      <c r="Q280" s="8" t="n"/>
      <c r="R280" s="11">
        <f>IF(B280="","",IFERROR(K280,0)+IFERROR(P280,0)-IFERROR(Q280,0))</f>
        <v/>
      </c>
      <c r="S280" s="5" t="n"/>
      <c r="T280" s="5" t="n"/>
      <c r="U280" s="11">
        <f>IF(B280="","",TRIM(LOWER(C280)&amp;"|"&amp;LOWER(D280)))</f>
        <v/>
      </c>
    </row>
    <row r="281">
      <c r="A281" s="11">
        <f>IF(B281="","",TEXT(ROW()-3,"""DC-""0000"))</f>
        <v/>
      </c>
      <c r="B281" s="5" t="n"/>
      <c r="C281" s="5" t="n"/>
      <c r="D281" s="5" t="n"/>
      <c r="E281" s="5" t="n"/>
      <c r="F281" s="5" t="n"/>
      <c r="G281" s="5" t="n"/>
      <c r="H281" s="8" t="n"/>
      <c r="I281" s="8" t="n"/>
      <c r="J281" s="8" t="n"/>
      <c r="K281" s="11">
        <f>IF(B281="","",MAX(0,IFERROR(I281,0)*IFERROR(H281,0)-IFERROR(J281,0)))</f>
        <v/>
      </c>
      <c r="L281" s="8" t="n"/>
      <c r="M281" s="11">
        <f>IF(B281="","",MAX(0,K281-L281))</f>
        <v/>
      </c>
      <c r="N281" s="11">
        <f>IF(B281="","",IF(L281&gt;=K281,"Paid",IF(L281&gt;0,"Partial","Unpaid")))</f>
        <v/>
      </c>
      <c r="O281" s="5" t="n"/>
      <c r="P281" s="8" t="n"/>
      <c r="Q281" s="8" t="n"/>
      <c r="R281" s="11">
        <f>IF(B281="","",IFERROR(K281,0)+IFERROR(P281,0)-IFERROR(Q281,0))</f>
        <v/>
      </c>
      <c r="S281" s="5" t="n"/>
      <c r="T281" s="5" t="n"/>
      <c r="U281" s="11">
        <f>IF(B281="","",TRIM(LOWER(C281)&amp;"|"&amp;LOWER(D281)))</f>
        <v/>
      </c>
    </row>
    <row r="282">
      <c r="A282" s="11">
        <f>IF(B282="","",TEXT(ROW()-3,"""DC-""0000"))</f>
        <v/>
      </c>
      <c r="B282" s="5" t="n"/>
      <c r="C282" s="5" t="n"/>
      <c r="D282" s="5" t="n"/>
      <c r="E282" s="5" t="n"/>
      <c r="F282" s="5" t="n"/>
      <c r="G282" s="5" t="n"/>
      <c r="H282" s="8" t="n"/>
      <c r="I282" s="8" t="n"/>
      <c r="J282" s="8" t="n"/>
      <c r="K282" s="11">
        <f>IF(B282="","",MAX(0,IFERROR(I282,0)*IFERROR(H282,0)-IFERROR(J282,0)))</f>
        <v/>
      </c>
      <c r="L282" s="8" t="n"/>
      <c r="M282" s="11">
        <f>IF(B282="","",MAX(0,K282-L282))</f>
        <v/>
      </c>
      <c r="N282" s="11">
        <f>IF(B282="","",IF(L282&gt;=K282,"Paid",IF(L282&gt;0,"Partial","Unpaid")))</f>
        <v/>
      </c>
      <c r="O282" s="5" t="n"/>
      <c r="P282" s="8" t="n"/>
      <c r="Q282" s="8" t="n"/>
      <c r="R282" s="11">
        <f>IF(B282="","",IFERROR(K282,0)+IFERROR(P282,0)-IFERROR(Q282,0))</f>
        <v/>
      </c>
      <c r="S282" s="5" t="n"/>
      <c r="T282" s="5" t="n"/>
      <c r="U282" s="11">
        <f>IF(B282="","",TRIM(LOWER(C282)&amp;"|"&amp;LOWER(D282)))</f>
        <v/>
      </c>
    </row>
    <row r="283">
      <c r="A283" s="11">
        <f>IF(B283="","",TEXT(ROW()-3,"""DC-""0000"))</f>
        <v/>
      </c>
      <c r="B283" s="5" t="n"/>
      <c r="C283" s="5" t="n"/>
      <c r="D283" s="5" t="n"/>
      <c r="E283" s="5" t="n"/>
      <c r="F283" s="5" t="n"/>
      <c r="G283" s="5" t="n"/>
      <c r="H283" s="8" t="n"/>
      <c r="I283" s="8" t="n"/>
      <c r="J283" s="8" t="n"/>
      <c r="K283" s="11">
        <f>IF(B283="","",MAX(0,IFERROR(I283,0)*IFERROR(H283,0)-IFERROR(J283,0)))</f>
        <v/>
      </c>
      <c r="L283" s="8" t="n"/>
      <c r="M283" s="11">
        <f>IF(B283="","",MAX(0,K283-L283))</f>
        <v/>
      </c>
      <c r="N283" s="11">
        <f>IF(B283="","",IF(L283&gt;=K283,"Paid",IF(L283&gt;0,"Partial","Unpaid")))</f>
        <v/>
      </c>
      <c r="O283" s="5" t="n"/>
      <c r="P283" s="8" t="n"/>
      <c r="Q283" s="8" t="n"/>
      <c r="R283" s="11">
        <f>IF(B283="","",IFERROR(K283,0)+IFERROR(P283,0)-IFERROR(Q283,0))</f>
        <v/>
      </c>
      <c r="S283" s="5" t="n"/>
      <c r="T283" s="5" t="n"/>
      <c r="U283" s="11">
        <f>IF(B283="","",TRIM(LOWER(C283)&amp;"|"&amp;LOWER(D283)))</f>
        <v/>
      </c>
    </row>
    <row r="284">
      <c r="A284" s="11">
        <f>IF(B284="","",TEXT(ROW()-3,"""DC-""0000"))</f>
        <v/>
      </c>
      <c r="B284" s="5" t="n"/>
      <c r="C284" s="5" t="n"/>
      <c r="D284" s="5" t="n"/>
      <c r="E284" s="5" t="n"/>
      <c r="F284" s="5" t="n"/>
      <c r="G284" s="5" t="n"/>
      <c r="H284" s="8" t="n"/>
      <c r="I284" s="8" t="n"/>
      <c r="J284" s="8" t="n"/>
      <c r="K284" s="11">
        <f>IF(B284="","",MAX(0,IFERROR(I284,0)*IFERROR(H284,0)-IFERROR(J284,0)))</f>
        <v/>
      </c>
      <c r="L284" s="8" t="n"/>
      <c r="M284" s="11">
        <f>IF(B284="","",MAX(0,K284-L284))</f>
        <v/>
      </c>
      <c r="N284" s="11">
        <f>IF(B284="","",IF(L284&gt;=K284,"Paid",IF(L284&gt;0,"Partial","Unpaid")))</f>
        <v/>
      </c>
      <c r="O284" s="5" t="n"/>
      <c r="P284" s="8" t="n"/>
      <c r="Q284" s="8" t="n"/>
      <c r="R284" s="11">
        <f>IF(B284="","",IFERROR(K284,0)+IFERROR(P284,0)-IFERROR(Q284,0))</f>
        <v/>
      </c>
      <c r="S284" s="5" t="n"/>
      <c r="T284" s="5" t="n"/>
      <c r="U284" s="11">
        <f>IF(B284="","",TRIM(LOWER(C284)&amp;"|"&amp;LOWER(D284)))</f>
        <v/>
      </c>
    </row>
    <row r="285">
      <c r="A285" s="11">
        <f>IF(B285="","",TEXT(ROW()-3,"""DC-""0000"))</f>
        <v/>
      </c>
      <c r="B285" s="5" t="n"/>
      <c r="C285" s="5" t="n"/>
      <c r="D285" s="5" t="n"/>
      <c r="E285" s="5" t="n"/>
      <c r="F285" s="5" t="n"/>
      <c r="G285" s="5" t="n"/>
      <c r="H285" s="8" t="n"/>
      <c r="I285" s="8" t="n"/>
      <c r="J285" s="8" t="n"/>
      <c r="K285" s="11">
        <f>IF(B285="","",MAX(0,IFERROR(I285,0)*IFERROR(H285,0)-IFERROR(J285,0)))</f>
        <v/>
      </c>
      <c r="L285" s="8" t="n"/>
      <c r="M285" s="11">
        <f>IF(B285="","",MAX(0,K285-L285))</f>
        <v/>
      </c>
      <c r="N285" s="11">
        <f>IF(B285="","",IF(L285&gt;=K285,"Paid",IF(L285&gt;0,"Partial","Unpaid")))</f>
        <v/>
      </c>
      <c r="O285" s="5" t="n"/>
      <c r="P285" s="8" t="n"/>
      <c r="Q285" s="8" t="n"/>
      <c r="R285" s="11">
        <f>IF(B285="","",IFERROR(K285,0)+IFERROR(P285,0)-IFERROR(Q285,0))</f>
        <v/>
      </c>
      <c r="S285" s="5" t="n"/>
      <c r="T285" s="5" t="n"/>
      <c r="U285" s="11">
        <f>IF(B285="","",TRIM(LOWER(C285)&amp;"|"&amp;LOWER(D285)))</f>
        <v/>
      </c>
    </row>
    <row r="286">
      <c r="A286" s="11">
        <f>IF(B286="","",TEXT(ROW()-3,"""DC-""0000"))</f>
        <v/>
      </c>
      <c r="B286" s="5" t="n"/>
      <c r="C286" s="5" t="n"/>
      <c r="D286" s="5" t="n"/>
      <c r="E286" s="5" t="n"/>
      <c r="F286" s="5" t="n"/>
      <c r="G286" s="5" t="n"/>
      <c r="H286" s="8" t="n"/>
      <c r="I286" s="8" t="n"/>
      <c r="J286" s="8" t="n"/>
      <c r="K286" s="11">
        <f>IF(B286="","",MAX(0,IFERROR(I286,0)*IFERROR(H286,0)-IFERROR(J286,0)))</f>
        <v/>
      </c>
      <c r="L286" s="8" t="n"/>
      <c r="M286" s="11">
        <f>IF(B286="","",MAX(0,K286-L286))</f>
        <v/>
      </c>
      <c r="N286" s="11">
        <f>IF(B286="","",IF(L286&gt;=K286,"Paid",IF(L286&gt;0,"Partial","Unpaid")))</f>
        <v/>
      </c>
      <c r="O286" s="5" t="n"/>
      <c r="P286" s="8" t="n"/>
      <c r="Q286" s="8" t="n"/>
      <c r="R286" s="11">
        <f>IF(B286="","",IFERROR(K286,0)+IFERROR(P286,0)-IFERROR(Q286,0))</f>
        <v/>
      </c>
      <c r="S286" s="5" t="n"/>
      <c r="T286" s="5" t="n"/>
      <c r="U286" s="11">
        <f>IF(B286="","",TRIM(LOWER(C286)&amp;"|"&amp;LOWER(D286)))</f>
        <v/>
      </c>
    </row>
    <row r="287">
      <c r="A287" s="11">
        <f>IF(B287="","",TEXT(ROW()-3,"""DC-""0000"))</f>
        <v/>
      </c>
      <c r="B287" s="5" t="n"/>
      <c r="C287" s="5" t="n"/>
      <c r="D287" s="5" t="n"/>
      <c r="E287" s="5" t="n"/>
      <c r="F287" s="5" t="n"/>
      <c r="G287" s="5" t="n"/>
      <c r="H287" s="8" t="n"/>
      <c r="I287" s="8" t="n"/>
      <c r="J287" s="8" t="n"/>
      <c r="K287" s="11">
        <f>IF(B287="","",MAX(0,IFERROR(I287,0)*IFERROR(H287,0)-IFERROR(J287,0)))</f>
        <v/>
      </c>
      <c r="L287" s="8" t="n"/>
      <c r="M287" s="11">
        <f>IF(B287="","",MAX(0,K287-L287))</f>
        <v/>
      </c>
      <c r="N287" s="11">
        <f>IF(B287="","",IF(L287&gt;=K287,"Paid",IF(L287&gt;0,"Partial","Unpaid")))</f>
        <v/>
      </c>
      <c r="O287" s="5" t="n"/>
      <c r="P287" s="8" t="n"/>
      <c r="Q287" s="8" t="n"/>
      <c r="R287" s="11">
        <f>IF(B287="","",IFERROR(K287,0)+IFERROR(P287,0)-IFERROR(Q287,0))</f>
        <v/>
      </c>
      <c r="S287" s="5" t="n"/>
      <c r="T287" s="5" t="n"/>
      <c r="U287" s="11">
        <f>IF(B287="","",TRIM(LOWER(C287)&amp;"|"&amp;LOWER(D287)))</f>
        <v/>
      </c>
    </row>
    <row r="288">
      <c r="A288" s="11">
        <f>IF(B288="","",TEXT(ROW()-3,"""DC-""0000"))</f>
        <v/>
      </c>
      <c r="B288" s="5" t="n"/>
      <c r="C288" s="5" t="n"/>
      <c r="D288" s="5" t="n"/>
      <c r="E288" s="5" t="n"/>
      <c r="F288" s="5" t="n"/>
      <c r="G288" s="5" t="n"/>
      <c r="H288" s="8" t="n"/>
      <c r="I288" s="8" t="n"/>
      <c r="J288" s="8" t="n"/>
      <c r="K288" s="11">
        <f>IF(B288="","",MAX(0,IFERROR(I288,0)*IFERROR(H288,0)-IFERROR(J288,0)))</f>
        <v/>
      </c>
      <c r="L288" s="8" t="n"/>
      <c r="M288" s="11">
        <f>IF(B288="","",MAX(0,K288-L288))</f>
        <v/>
      </c>
      <c r="N288" s="11">
        <f>IF(B288="","",IF(L288&gt;=K288,"Paid",IF(L288&gt;0,"Partial","Unpaid")))</f>
        <v/>
      </c>
      <c r="O288" s="5" t="n"/>
      <c r="P288" s="8" t="n"/>
      <c r="Q288" s="8" t="n"/>
      <c r="R288" s="11">
        <f>IF(B288="","",IFERROR(K288,0)+IFERROR(P288,0)-IFERROR(Q288,0))</f>
        <v/>
      </c>
      <c r="S288" s="5" t="n"/>
      <c r="T288" s="5" t="n"/>
      <c r="U288" s="11">
        <f>IF(B288="","",TRIM(LOWER(C288)&amp;"|"&amp;LOWER(D288)))</f>
        <v/>
      </c>
    </row>
    <row r="289">
      <c r="A289" s="11">
        <f>IF(B289="","",TEXT(ROW()-3,"""DC-""0000"))</f>
        <v/>
      </c>
      <c r="B289" s="5" t="n"/>
      <c r="C289" s="5" t="n"/>
      <c r="D289" s="5" t="n"/>
      <c r="E289" s="5" t="n"/>
      <c r="F289" s="5" t="n"/>
      <c r="G289" s="5" t="n"/>
      <c r="H289" s="8" t="n"/>
      <c r="I289" s="8" t="n"/>
      <c r="J289" s="8" t="n"/>
      <c r="K289" s="11">
        <f>IF(B289="","",MAX(0,IFERROR(I289,0)*IFERROR(H289,0)-IFERROR(J289,0)))</f>
        <v/>
      </c>
      <c r="L289" s="8" t="n"/>
      <c r="M289" s="11">
        <f>IF(B289="","",MAX(0,K289-L289))</f>
        <v/>
      </c>
      <c r="N289" s="11">
        <f>IF(B289="","",IF(L289&gt;=K289,"Paid",IF(L289&gt;0,"Partial","Unpaid")))</f>
        <v/>
      </c>
      <c r="O289" s="5" t="n"/>
      <c r="P289" s="8" t="n"/>
      <c r="Q289" s="8" t="n"/>
      <c r="R289" s="11">
        <f>IF(B289="","",IFERROR(K289,0)+IFERROR(P289,0)-IFERROR(Q289,0))</f>
        <v/>
      </c>
      <c r="S289" s="5" t="n"/>
      <c r="T289" s="5" t="n"/>
      <c r="U289" s="11">
        <f>IF(B289="","",TRIM(LOWER(C289)&amp;"|"&amp;LOWER(D289)))</f>
        <v/>
      </c>
    </row>
    <row r="290">
      <c r="A290" s="11">
        <f>IF(B290="","",TEXT(ROW()-3,"""DC-""0000"))</f>
        <v/>
      </c>
      <c r="B290" s="5" t="n"/>
      <c r="C290" s="5" t="n"/>
      <c r="D290" s="5" t="n"/>
      <c r="E290" s="5" t="n"/>
      <c r="F290" s="5" t="n"/>
      <c r="G290" s="5" t="n"/>
      <c r="H290" s="8" t="n"/>
      <c r="I290" s="8" t="n"/>
      <c r="J290" s="8" t="n"/>
      <c r="K290" s="11">
        <f>IF(B290="","",MAX(0,IFERROR(I290,0)*IFERROR(H290,0)-IFERROR(J290,0)))</f>
        <v/>
      </c>
      <c r="L290" s="8" t="n"/>
      <c r="M290" s="11">
        <f>IF(B290="","",MAX(0,K290-L290))</f>
        <v/>
      </c>
      <c r="N290" s="11">
        <f>IF(B290="","",IF(L290&gt;=K290,"Paid",IF(L290&gt;0,"Partial","Unpaid")))</f>
        <v/>
      </c>
      <c r="O290" s="5" t="n"/>
      <c r="P290" s="8" t="n"/>
      <c r="Q290" s="8" t="n"/>
      <c r="R290" s="11">
        <f>IF(B290="","",IFERROR(K290,0)+IFERROR(P290,0)-IFERROR(Q290,0))</f>
        <v/>
      </c>
      <c r="S290" s="5" t="n"/>
      <c r="T290" s="5" t="n"/>
      <c r="U290" s="11">
        <f>IF(B290="","",TRIM(LOWER(C290)&amp;"|"&amp;LOWER(D290)))</f>
        <v/>
      </c>
    </row>
    <row r="291">
      <c r="A291" s="11">
        <f>IF(B291="","",TEXT(ROW()-3,"""DC-""0000"))</f>
        <v/>
      </c>
      <c r="B291" s="5" t="n"/>
      <c r="C291" s="5" t="n"/>
      <c r="D291" s="5" t="n"/>
      <c r="E291" s="5" t="n"/>
      <c r="F291" s="5" t="n"/>
      <c r="G291" s="5" t="n"/>
      <c r="H291" s="8" t="n"/>
      <c r="I291" s="8" t="n"/>
      <c r="J291" s="8" t="n"/>
      <c r="K291" s="11">
        <f>IF(B291="","",MAX(0,IFERROR(I291,0)*IFERROR(H291,0)-IFERROR(J291,0)))</f>
        <v/>
      </c>
      <c r="L291" s="8" t="n"/>
      <c r="M291" s="11">
        <f>IF(B291="","",MAX(0,K291-L291))</f>
        <v/>
      </c>
      <c r="N291" s="11">
        <f>IF(B291="","",IF(L291&gt;=K291,"Paid",IF(L291&gt;0,"Partial","Unpaid")))</f>
        <v/>
      </c>
      <c r="O291" s="5" t="n"/>
      <c r="P291" s="8" t="n"/>
      <c r="Q291" s="8" t="n"/>
      <c r="R291" s="11">
        <f>IF(B291="","",IFERROR(K291,0)+IFERROR(P291,0)-IFERROR(Q291,0))</f>
        <v/>
      </c>
      <c r="S291" s="5" t="n"/>
      <c r="T291" s="5" t="n"/>
      <c r="U291" s="11">
        <f>IF(B291="","",TRIM(LOWER(C291)&amp;"|"&amp;LOWER(D291)))</f>
        <v/>
      </c>
    </row>
    <row r="292">
      <c r="A292" s="11">
        <f>IF(B292="","",TEXT(ROW()-3,"""DC-""0000"))</f>
        <v/>
      </c>
      <c r="B292" s="5" t="n"/>
      <c r="C292" s="5" t="n"/>
      <c r="D292" s="5" t="n"/>
      <c r="E292" s="5" t="n"/>
      <c r="F292" s="5" t="n"/>
      <c r="G292" s="5" t="n"/>
      <c r="H292" s="8" t="n"/>
      <c r="I292" s="8" t="n"/>
      <c r="J292" s="8" t="n"/>
      <c r="K292" s="11">
        <f>IF(B292="","",MAX(0,IFERROR(I292,0)*IFERROR(H292,0)-IFERROR(J292,0)))</f>
        <v/>
      </c>
      <c r="L292" s="8" t="n"/>
      <c r="M292" s="11">
        <f>IF(B292="","",MAX(0,K292-L292))</f>
        <v/>
      </c>
      <c r="N292" s="11">
        <f>IF(B292="","",IF(L292&gt;=K292,"Paid",IF(L292&gt;0,"Partial","Unpaid")))</f>
        <v/>
      </c>
      <c r="O292" s="5" t="n"/>
      <c r="P292" s="8" t="n"/>
      <c r="Q292" s="8" t="n"/>
      <c r="R292" s="11">
        <f>IF(B292="","",IFERROR(K292,0)+IFERROR(P292,0)-IFERROR(Q292,0))</f>
        <v/>
      </c>
      <c r="S292" s="5" t="n"/>
      <c r="T292" s="5" t="n"/>
      <c r="U292" s="11">
        <f>IF(B292="","",TRIM(LOWER(C292)&amp;"|"&amp;LOWER(D292)))</f>
        <v/>
      </c>
    </row>
    <row r="293">
      <c r="A293" s="11">
        <f>IF(B293="","",TEXT(ROW()-3,"""DC-""0000"))</f>
        <v/>
      </c>
      <c r="B293" s="5" t="n"/>
      <c r="C293" s="5" t="n"/>
      <c r="D293" s="5" t="n"/>
      <c r="E293" s="5" t="n"/>
      <c r="F293" s="5" t="n"/>
      <c r="G293" s="5" t="n"/>
      <c r="H293" s="8" t="n"/>
      <c r="I293" s="8" t="n"/>
      <c r="J293" s="8" t="n"/>
      <c r="K293" s="11">
        <f>IF(B293="","",MAX(0,IFERROR(I293,0)*IFERROR(H293,0)-IFERROR(J293,0)))</f>
        <v/>
      </c>
      <c r="L293" s="8" t="n"/>
      <c r="M293" s="11">
        <f>IF(B293="","",MAX(0,K293-L293))</f>
        <v/>
      </c>
      <c r="N293" s="11">
        <f>IF(B293="","",IF(L293&gt;=K293,"Paid",IF(L293&gt;0,"Partial","Unpaid")))</f>
        <v/>
      </c>
      <c r="O293" s="5" t="n"/>
      <c r="P293" s="8" t="n"/>
      <c r="Q293" s="8" t="n"/>
      <c r="R293" s="11">
        <f>IF(B293="","",IFERROR(K293,0)+IFERROR(P293,0)-IFERROR(Q293,0))</f>
        <v/>
      </c>
      <c r="S293" s="5" t="n"/>
      <c r="T293" s="5" t="n"/>
      <c r="U293" s="11">
        <f>IF(B293="","",TRIM(LOWER(C293)&amp;"|"&amp;LOWER(D293)))</f>
        <v/>
      </c>
    </row>
    <row r="294">
      <c r="A294" s="11">
        <f>IF(B294="","",TEXT(ROW()-3,"""DC-""0000"))</f>
        <v/>
      </c>
      <c r="B294" s="5" t="n"/>
      <c r="C294" s="5" t="n"/>
      <c r="D294" s="5" t="n"/>
      <c r="E294" s="5" t="n"/>
      <c r="F294" s="5" t="n"/>
      <c r="G294" s="5" t="n"/>
      <c r="H294" s="8" t="n"/>
      <c r="I294" s="8" t="n"/>
      <c r="J294" s="8" t="n"/>
      <c r="K294" s="11">
        <f>IF(B294="","",MAX(0,IFERROR(I294,0)*IFERROR(H294,0)-IFERROR(J294,0)))</f>
        <v/>
      </c>
      <c r="L294" s="8" t="n"/>
      <c r="M294" s="11">
        <f>IF(B294="","",MAX(0,K294-L294))</f>
        <v/>
      </c>
      <c r="N294" s="11">
        <f>IF(B294="","",IF(L294&gt;=K294,"Paid",IF(L294&gt;0,"Partial","Unpaid")))</f>
        <v/>
      </c>
      <c r="O294" s="5" t="n"/>
      <c r="P294" s="8" t="n"/>
      <c r="Q294" s="8" t="n"/>
      <c r="R294" s="11">
        <f>IF(B294="","",IFERROR(K294,0)+IFERROR(P294,0)-IFERROR(Q294,0))</f>
        <v/>
      </c>
      <c r="S294" s="5" t="n"/>
      <c r="T294" s="5" t="n"/>
      <c r="U294" s="11">
        <f>IF(B294="","",TRIM(LOWER(C294)&amp;"|"&amp;LOWER(D294)))</f>
        <v/>
      </c>
    </row>
    <row r="295">
      <c r="A295" s="11">
        <f>IF(B295="","",TEXT(ROW()-3,"""DC-""0000"))</f>
        <v/>
      </c>
      <c r="B295" s="5" t="n"/>
      <c r="C295" s="5" t="n"/>
      <c r="D295" s="5" t="n"/>
      <c r="E295" s="5" t="n"/>
      <c r="F295" s="5" t="n"/>
      <c r="G295" s="5" t="n"/>
      <c r="H295" s="8" t="n"/>
      <c r="I295" s="8" t="n"/>
      <c r="J295" s="8" t="n"/>
      <c r="K295" s="11">
        <f>IF(B295="","",MAX(0,IFERROR(I295,0)*IFERROR(H295,0)-IFERROR(J295,0)))</f>
        <v/>
      </c>
      <c r="L295" s="8" t="n"/>
      <c r="M295" s="11">
        <f>IF(B295="","",MAX(0,K295-L295))</f>
        <v/>
      </c>
      <c r="N295" s="11">
        <f>IF(B295="","",IF(L295&gt;=K295,"Paid",IF(L295&gt;0,"Partial","Unpaid")))</f>
        <v/>
      </c>
      <c r="O295" s="5" t="n"/>
      <c r="P295" s="8" t="n"/>
      <c r="Q295" s="8" t="n"/>
      <c r="R295" s="11">
        <f>IF(B295="","",IFERROR(K295,0)+IFERROR(P295,0)-IFERROR(Q295,0))</f>
        <v/>
      </c>
      <c r="S295" s="5" t="n"/>
      <c r="T295" s="5" t="n"/>
      <c r="U295" s="11">
        <f>IF(B295="","",TRIM(LOWER(C295)&amp;"|"&amp;LOWER(D295)))</f>
        <v/>
      </c>
    </row>
    <row r="296">
      <c r="A296" s="11">
        <f>IF(B296="","",TEXT(ROW()-3,"""DC-""0000"))</f>
        <v/>
      </c>
      <c r="B296" s="5" t="n"/>
      <c r="C296" s="5" t="n"/>
      <c r="D296" s="5" t="n"/>
      <c r="E296" s="5" t="n"/>
      <c r="F296" s="5" t="n"/>
      <c r="G296" s="5" t="n"/>
      <c r="H296" s="8" t="n"/>
      <c r="I296" s="8" t="n"/>
      <c r="J296" s="8" t="n"/>
      <c r="K296" s="11">
        <f>IF(B296="","",MAX(0,IFERROR(I296,0)*IFERROR(H296,0)-IFERROR(J296,0)))</f>
        <v/>
      </c>
      <c r="L296" s="8" t="n"/>
      <c r="M296" s="11">
        <f>IF(B296="","",MAX(0,K296-L296))</f>
        <v/>
      </c>
      <c r="N296" s="11">
        <f>IF(B296="","",IF(L296&gt;=K296,"Paid",IF(L296&gt;0,"Partial","Unpaid")))</f>
        <v/>
      </c>
      <c r="O296" s="5" t="n"/>
      <c r="P296" s="8" t="n"/>
      <c r="Q296" s="8" t="n"/>
      <c r="R296" s="11">
        <f>IF(B296="","",IFERROR(K296,0)+IFERROR(P296,0)-IFERROR(Q296,0))</f>
        <v/>
      </c>
      <c r="S296" s="5" t="n"/>
      <c r="T296" s="5" t="n"/>
      <c r="U296" s="11">
        <f>IF(B296="","",TRIM(LOWER(C296)&amp;"|"&amp;LOWER(D296)))</f>
        <v/>
      </c>
    </row>
    <row r="297">
      <c r="A297" s="11">
        <f>IF(B297="","",TEXT(ROW()-3,"""DC-""0000"))</f>
        <v/>
      </c>
      <c r="B297" s="5" t="n"/>
      <c r="C297" s="5" t="n"/>
      <c r="D297" s="5" t="n"/>
      <c r="E297" s="5" t="n"/>
      <c r="F297" s="5" t="n"/>
      <c r="G297" s="5" t="n"/>
      <c r="H297" s="8" t="n"/>
      <c r="I297" s="8" t="n"/>
      <c r="J297" s="8" t="n"/>
      <c r="K297" s="11">
        <f>IF(B297="","",MAX(0,IFERROR(I297,0)*IFERROR(H297,0)-IFERROR(J297,0)))</f>
        <v/>
      </c>
      <c r="L297" s="8" t="n"/>
      <c r="M297" s="11">
        <f>IF(B297="","",MAX(0,K297-L297))</f>
        <v/>
      </c>
      <c r="N297" s="11">
        <f>IF(B297="","",IF(L297&gt;=K297,"Paid",IF(L297&gt;0,"Partial","Unpaid")))</f>
        <v/>
      </c>
      <c r="O297" s="5" t="n"/>
      <c r="P297" s="8" t="n"/>
      <c r="Q297" s="8" t="n"/>
      <c r="R297" s="11">
        <f>IF(B297="","",IFERROR(K297,0)+IFERROR(P297,0)-IFERROR(Q297,0))</f>
        <v/>
      </c>
      <c r="S297" s="5" t="n"/>
      <c r="T297" s="5" t="n"/>
      <c r="U297" s="11">
        <f>IF(B297="","",TRIM(LOWER(C297)&amp;"|"&amp;LOWER(D297)))</f>
        <v/>
      </c>
    </row>
    <row r="298">
      <c r="A298" s="11">
        <f>IF(B298="","",TEXT(ROW()-3,"""DC-""0000"))</f>
        <v/>
      </c>
      <c r="B298" s="5" t="n"/>
      <c r="C298" s="5" t="n"/>
      <c r="D298" s="5" t="n"/>
      <c r="E298" s="5" t="n"/>
      <c r="F298" s="5" t="n"/>
      <c r="G298" s="5" t="n"/>
      <c r="H298" s="8" t="n"/>
      <c r="I298" s="8" t="n"/>
      <c r="J298" s="8" t="n"/>
      <c r="K298" s="11">
        <f>IF(B298="","",MAX(0,IFERROR(I298,0)*IFERROR(H298,0)-IFERROR(J298,0)))</f>
        <v/>
      </c>
      <c r="L298" s="8" t="n"/>
      <c r="M298" s="11">
        <f>IF(B298="","",MAX(0,K298-L298))</f>
        <v/>
      </c>
      <c r="N298" s="11">
        <f>IF(B298="","",IF(L298&gt;=K298,"Paid",IF(L298&gt;0,"Partial","Unpaid")))</f>
        <v/>
      </c>
      <c r="O298" s="5" t="n"/>
      <c r="P298" s="8" t="n"/>
      <c r="Q298" s="8" t="n"/>
      <c r="R298" s="11">
        <f>IF(B298="","",IFERROR(K298,0)+IFERROR(P298,0)-IFERROR(Q298,0))</f>
        <v/>
      </c>
      <c r="S298" s="5" t="n"/>
      <c r="T298" s="5" t="n"/>
      <c r="U298" s="11">
        <f>IF(B298="","",TRIM(LOWER(C298)&amp;"|"&amp;LOWER(D298)))</f>
        <v/>
      </c>
    </row>
    <row r="299">
      <c r="A299" s="11">
        <f>IF(B299="","",TEXT(ROW()-3,"""DC-""0000"))</f>
        <v/>
      </c>
      <c r="B299" s="5" t="n"/>
      <c r="C299" s="5" t="n"/>
      <c r="D299" s="5" t="n"/>
      <c r="E299" s="5" t="n"/>
      <c r="F299" s="5" t="n"/>
      <c r="G299" s="5" t="n"/>
      <c r="H299" s="8" t="n"/>
      <c r="I299" s="8" t="n"/>
      <c r="J299" s="8" t="n"/>
      <c r="K299" s="11">
        <f>IF(B299="","",MAX(0,IFERROR(I299,0)*IFERROR(H299,0)-IFERROR(J299,0)))</f>
        <v/>
      </c>
      <c r="L299" s="8" t="n"/>
      <c r="M299" s="11">
        <f>IF(B299="","",MAX(0,K299-L299))</f>
        <v/>
      </c>
      <c r="N299" s="11">
        <f>IF(B299="","",IF(L299&gt;=K299,"Paid",IF(L299&gt;0,"Partial","Unpaid")))</f>
        <v/>
      </c>
      <c r="O299" s="5" t="n"/>
      <c r="P299" s="8" t="n"/>
      <c r="Q299" s="8" t="n"/>
      <c r="R299" s="11">
        <f>IF(B299="","",IFERROR(K299,0)+IFERROR(P299,0)-IFERROR(Q299,0))</f>
        <v/>
      </c>
      <c r="S299" s="5" t="n"/>
      <c r="T299" s="5" t="n"/>
      <c r="U299" s="11">
        <f>IF(B299="","",TRIM(LOWER(C299)&amp;"|"&amp;LOWER(D299)))</f>
        <v/>
      </c>
    </row>
    <row r="300">
      <c r="A300" s="11">
        <f>IF(B300="","",TEXT(ROW()-3,"""DC-""0000"))</f>
        <v/>
      </c>
      <c r="B300" s="5" t="n"/>
      <c r="C300" s="5" t="n"/>
      <c r="D300" s="5" t="n"/>
      <c r="E300" s="5" t="n"/>
      <c r="F300" s="5" t="n"/>
      <c r="G300" s="5" t="n"/>
      <c r="H300" s="8" t="n"/>
      <c r="I300" s="8" t="n"/>
      <c r="J300" s="8" t="n"/>
      <c r="K300" s="11">
        <f>IF(B300="","",MAX(0,IFERROR(I300,0)*IFERROR(H300,0)-IFERROR(J300,0)))</f>
        <v/>
      </c>
      <c r="L300" s="8" t="n"/>
      <c r="M300" s="11">
        <f>IF(B300="","",MAX(0,K300-L300))</f>
        <v/>
      </c>
      <c r="N300" s="11">
        <f>IF(B300="","",IF(L300&gt;=K300,"Paid",IF(L300&gt;0,"Partial","Unpaid")))</f>
        <v/>
      </c>
      <c r="O300" s="5" t="n"/>
      <c r="P300" s="8" t="n"/>
      <c r="Q300" s="8" t="n"/>
      <c r="R300" s="11">
        <f>IF(B300="","",IFERROR(K300,0)+IFERROR(P300,0)-IFERROR(Q300,0))</f>
        <v/>
      </c>
      <c r="S300" s="5" t="n"/>
      <c r="T300" s="5" t="n"/>
      <c r="U300" s="11">
        <f>IF(B300="","",TRIM(LOWER(C300)&amp;"|"&amp;LOWER(D300)))</f>
        <v/>
      </c>
    </row>
    <row r="301">
      <c r="A301" s="11">
        <f>IF(B301="","",TEXT(ROW()-3,"""DC-""0000"))</f>
        <v/>
      </c>
      <c r="B301" s="5" t="n"/>
      <c r="C301" s="5" t="n"/>
      <c r="D301" s="5" t="n"/>
      <c r="E301" s="5" t="n"/>
      <c r="F301" s="5" t="n"/>
      <c r="G301" s="5" t="n"/>
      <c r="H301" s="8" t="n"/>
      <c r="I301" s="8" t="n"/>
      <c r="J301" s="8" t="n"/>
      <c r="K301" s="11">
        <f>IF(B301="","",MAX(0,IFERROR(I301,0)*IFERROR(H301,0)-IFERROR(J301,0)))</f>
        <v/>
      </c>
      <c r="L301" s="8" t="n"/>
      <c r="M301" s="11">
        <f>IF(B301="","",MAX(0,K301-L301))</f>
        <v/>
      </c>
      <c r="N301" s="11">
        <f>IF(B301="","",IF(L301&gt;=K301,"Paid",IF(L301&gt;0,"Partial","Unpaid")))</f>
        <v/>
      </c>
      <c r="O301" s="5" t="n"/>
      <c r="P301" s="8" t="n"/>
      <c r="Q301" s="8" t="n"/>
      <c r="R301" s="11">
        <f>IF(B301="","",IFERROR(K301,0)+IFERROR(P301,0)-IFERROR(Q301,0))</f>
        <v/>
      </c>
      <c r="S301" s="5" t="n"/>
      <c r="T301" s="5" t="n"/>
      <c r="U301" s="11">
        <f>IF(B301="","",TRIM(LOWER(C301)&amp;"|"&amp;LOWER(D301)))</f>
        <v/>
      </c>
    </row>
    <row r="302">
      <c r="A302" s="11">
        <f>IF(B302="","",TEXT(ROW()-3,"""DC-""0000"))</f>
        <v/>
      </c>
      <c r="B302" s="5" t="n"/>
      <c r="C302" s="5" t="n"/>
      <c r="D302" s="5" t="n"/>
      <c r="E302" s="5" t="n"/>
      <c r="F302" s="5" t="n"/>
      <c r="G302" s="5" t="n"/>
      <c r="H302" s="8" t="n"/>
      <c r="I302" s="8" t="n"/>
      <c r="J302" s="8" t="n"/>
      <c r="K302" s="11">
        <f>IF(B302="","",MAX(0,IFERROR(I302,0)*IFERROR(H302,0)-IFERROR(J302,0)))</f>
        <v/>
      </c>
      <c r="L302" s="8" t="n"/>
      <c r="M302" s="11">
        <f>IF(B302="","",MAX(0,K302-L302))</f>
        <v/>
      </c>
      <c r="N302" s="11">
        <f>IF(B302="","",IF(L302&gt;=K302,"Paid",IF(L302&gt;0,"Partial","Unpaid")))</f>
        <v/>
      </c>
      <c r="O302" s="5" t="n"/>
      <c r="P302" s="8" t="n"/>
      <c r="Q302" s="8" t="n"/>
      <c r="R302" s="11">
        <f>IF(B302="","",IFERROR(K302,0)+IFERROR(P302,0)-IFERROR(Q302,0))</f>
        <v/>
      </c>
      <c r="S302" s="5" t="n"/>
      <c r="T302" s="5" t="n"/>
      <c r="U302" s="11">
        <f>IF(B302="","",TRIM(LOWER(C302)&amp;"|"&amp;LOWER(D302)))</f>
        <v/>
      </c>
    </row>
    <row r="303">
      <c r="A303" s="11">
        <f>IF(B303="","",TEXT(ROW()-3,"""DC-""0000"))</f>
        <v/>
      </c>
      <c r="B303" s="5" t="n"/>
      <c r="C303" s="5" t="n"/>
      <c r="D303" s="5" t="n"/>
      <c r="E303" s="5" t="n"/>
      <c r="F303" s="5" t="n"/>
      <c r="G303" s="5" t="n"/>
      <c r="H303" s="8" t="n"/>
      <c r="I303" s="8" t="n"/>
      <c r="J303" s="8" t="n"/>
      <c r="K303" s="11">
        <f>IF(B303="","",MAX(0,IFERROR(I303,0)*IFERROR(H303,0)-IFERROR(J303,0)))</f>
        <v/>
      </c>
      <c r="L303" s="8" t="n"/>
      <c r="M303" s="11">
        <f>IF(B303="","",MAX(0,K303-L303))</f>
        <v/>
      </c>
      <c r="N303" s="11">
        <f>IF(B303="","",IF(L303&gt;=K303,"Paid",IF(L303&gt;0,"Partial","Unpaid")))</f>
        <v/>
      </c>
      <c r="O303" s="5" t="n"/>
      <c r="P303" s="8" t="n"/>
      <c r="Q303" s="8" t="n"/>
      <c r="R303" s="11">
        <f>IF(B303="","",IFERROR(K303,0)+IFERROR(P303,0)-IFERROR(Q303,0))</f>
        <v/>
      </c>
      <c r="S303" s="5" t="n"/>
      <c r="T303" s="5" t="n"/>
      <c r="U303" s="11">
        <f>IF(B303="","",TRIM(LOWER(C303)&amp;"|"&amp;LOWER(D303)))</f>
        <v/>
      </c>
    </row>
    <row r="304">
      <c r="A304" s="11">
        <f>IF(B304="","",TEXT(ROW()-3,"""DC-""0000"))</f>
        <v/>
      </c>
      <c r="B304" s="5" t="n"/>
      <c r="C304" s="5" t="n"/>
      <c r="D304" s="5" t="n"/>
      <c r="E304" s="5" t="n"/>
      <c r="F304" s="5" t="n"/>
      <c r="G304" s="5" t="n"/>
      <c r="H304" s="8" t="n"/>
      <c r="I304" s="8" t="n"/>
      <c r="J304" s="8" t="n"/>
      <c r="K304" s="11">
        <f>IF(B304="","",MAX(0,IFERROR(I304,0)*IFERROR(H304,0)-IFERROR(J304,0)))</f>
        <v/>
      </c>
      <c r="L304" s="8" t="n"/>
      <c r="M304" s="11">
        <f>IF(B304="","",MAX(0,K304-L304))</f>
        <v/>
      </c>
      <c r="N304" s="11">
        <f>IF(B304="","",IF(L304&gt;=K304,"Paid",IF(L304&gt;0,"Partial","Unpaid")))</f>
        <v/>
      </c>
      <c r="O304" s="5" t="n"/>
      <c r="P304" s="8" t="n"/>
      <c r="Q304" s="8" t="n"/>
      <c r="R304" s="11">
        <f>IF(B304="","",IFERROR(K304,0)+IFERROR(P304,0)-IFERROR(Q304,0))</f>
        <v/>
      </c>
      <c r="S304" s="5" t="n"/>
      <c r="T304" s="5" t="n"/>
      <c r="U304" s="11">
        <f>IF(B304="","",TRIM(LOWER(C304)&amp;"|"&amp;LOWER(D304)))</f>
        <v/>
      </c>
    </row>
    <row r="305">
      <c r="A305" s="11">
        <f>IF(B305="","",TEXT(ROW()-3,"""DC-""0000"))</f>
        <v/>
      </c>
      <c r="B305" s="5" t="n"/>
      <c r="C305" s="5" t="n"/>
      <c r="D305" s="5" t="n"/>
      <c r="E305" s="5" t="n"/>
      <c r="F305" s="5" t="n"/>
      <c r="G305" s="5" t="n"/>
      <c r="H305" s="8" t="n"/>
      <c r="I305" s="8" t="n"/>
      <c r="J305" s="8" t="n"/>
      <c r="K305" s="11">
        <f>IF(B305="","",MAX(0,IFERROR(I305,0)*IFERROR(H305,0)-IFERROR(J305,0)))</f>
        <v/>
      </c>
      <c r="L305" s="8" t="n"/>
      <c r="M305" s="11">
        <f>IF(B305="","",MAX(0,K305-L305))</f>
        <v/>
      </c>
      <c r="N305" s="11">
        <f>IF(B305="","",IF(L305&gt;=K305,"Paid",IF(L305&gt;0,"Partial","Unpaid")))</f>
        <v/>
      </c>
      <c r="O305" s="5" t="n"/>
      <c r="P305" s="8" t="n"/>
      <c r="Q305" s="8" t="n"/>
      <c r="R305" s="11">
        <f>IF(B305="","",IFERROR(K305,0)+IFERROR(P305,0)-IFERROR(Q305,0))</f>
        <v/>
      </c>
      <c r="S305" s="5" t="n"/>
      <c r="T305" s="5" t="n"/>
      <c r="U305" s="11">
        <f>IF(B305="","",TRIM(LOWER(C305)&amp;"|"&amp;LOWER(D305)))</f>
        <v/>
      </c>
    </row>
    <row r="306">
      <c r="A306" s="11">
        <f>IF(B306="","",TEXT(ROW()-3,"""DC-""0000"))</f>
        <v/>
      </c>
      <c r="B306" s="5" t="n"/>
      <c r="C306" s="5" t="n"/>
      <c r="D306" s="5" t="n"/>
      <c r="E306" s="5" t="n"/>
      <c r="F306" s="5" t="n"/>
      <c r="G306" s="5" t="n"/>
      <c r="H306" s="8" t="n"/>
      <c r="I306" s="8" t="n"/>
      <c r="J306" s="8" t="n"/>
      <c r="K306" s="11">
        <f>IF(B306="","",MAX(0,IFERROR(I306,0)*IFERROR(H306,0)-IFERROR(J306,0)))</f>
        <v/>
      </c>
      <c r="L306" s="8" t="n"/>
      <c r="M306" s="11">
        <f>IF(B306="","",MAX(0,K306-L306))</f>
        <v/>
      </c>
      <c r="N306" s="11">
        <f>IF(B306="","",IF(L306&gt;=K306,"Paid",IF(L306&gt;0,"Partial","Unpaid")))</f>
        <v/>
      </c>
      <c r="O306" s="5" t="n"/>
      <c r="P306" s="8" t="n"/>
      <c r="Q306" s="8" t="n"/>
      <c r="R306" s="11">
        <f>IF(B306="","",IFERROR(K306,0)+IFERROR(P306,0)-IFERROR(Q306,0))</f>
        <v/>
      </c>
      <c r="S306" s="5" t="n"/>
      <c r="T306" s="5" t="n"/>
      <c r="U306" s="11">
        <f>IF(B306="","",TRIM(LOWER(C306)&amp;"|"&amp;LOWER(D306)))</f>
        <v/>
      </c>
    </row>
    <row r="307">
      <c r="A307" s="11">
        <f>IF(B307="","",TEXT(ROW()-3,"""DC-""0000"))</f>
        <v/>
      </c>
      <c r="B307" s="5" t="n"/>
      <c r="C307" s="5" t="n"/>
      <c r="D307" s="5" t="n"/>
      <c r="E307" s="5" t="n"/>
      <c r="F307" s="5" t="n"/>
      <c r="G307" s="5" t="n"/>
      <c r="H307" s="8" t="n"/>
      <c r="I307" s="8" t="n"/>
      <c r="J307" s="8" t="n"/>
      <c r="K307" s="11">
        <f>IF(B307="","",MAX(0,IFERROR(I307,0)*IFERROR(H307,0)-IFERROR(J307,0)))</f>
        <v/>
      </c>
      <c r="L307" s="8" t="n"/>
      <c r="M307" s="11">
        <f>IF(B307="","",MAX(0,K307-L307))</f>
        <v/>
      </c>
      <c r="N307" s="11">
        <f>IF(B307="","",IF(L307&gt;=K307,"Paid",IF(L307&gt;0,"Partial","Unpaid")))</f>
        <v/>
      </c>
      <c r="O307" s="5" t="n"/>
      <c r="P307" s="8" t="n"/>
      <c r="Q307" s="8" t="n"/>
      <c r="R307" s="11">
        <f>IF(B307="","",IFERROR(K307,0)+IFERROR(P307,0)-IFERROR(Q307,0))</f>
        <v/>
      </c>
      <c r="S307" s="5" t="n"/>
      <c r="T307" s="5" t="n"/>
      <c r="U307" s="11">
        <f>IF(B307="","",TRIM(LOWER(C307)&amp;"|"&amp;LOWER(D307)))</f>
        <v/>
      </c>
    </row>
    <row r="308">
      <c r="A308" s="11">
        <f>IF(B308="","",TEXT(ROW()-3,"""DC-""0000"))</f>
        <v/>
      </c>
      <c r="B308" s="5" t="n"/>
      <c r="C308" s="5" t="n"/>
      <c r="D308" s="5" t="n"/>
      <c r="E308" s="5" t="n"/>
      <c r="F308" s="5" t="n"/>
      <c r="G308" s="5" t="n"/>
      <c r="H308" s="8" t="n"/>
      <c r="I308" s="8" t="n"/>
      <c r="J308" s="8" t="n"/>
      <c r="K308" s="11">
        <f>IF(B308="","",MAX(0,IFERROR(I308,0)*IFERROR(H308,0)-IFERROR(J308,0)))</f>
        <v/>
      </c>
      <c r="L308" s="8" t="n"/>
      <c r="M308" s="11">
        <f>IF(B308="","",MAX(0,K308-L308))</f>
        <v/>
      </c>
      <c r="N308" s="11">
        <f>IF(B308="","",IF(L308&gt;=K308,"Paid",IF(L308&gt;0,"Partial","Unpaid")))</f>
        <v/>
      </c>
      <c r="O308" s="5" t="n"/>
      <c r="P308" s="8" t="n"/>
      <c r="Q308" s="8" t="n"/>
      <c r="R308" s="11">
        <f>IF(B308="","",IFERROR(K308,0)+IFERROR(P308,0)-IFERROR(Q308,0))</f>
        <v/>
      </c>
      <c r="S308" s="5" t="n"/>
      <c r="T308" s="5" t="n"/>
      <c r="U308" s="11">
        <f>IF(B308="","",TRIM(LOWER(C308)&amp;"|"&amp;LOWER(D308)))</f>
        <v/>
      </c>
    </row>
    <row r="309">
      <c r="A309" s="11">
        <f>IF(B309="","",TEXT(ROW()-3,"""DC-""0000"))</f>
        <v/>
      </c>
      <c r="B309" s="5" t="n"/>
      <c r="C309" s="5" t="n"/>
      <c r="D309" s="5" t="n"/>
      <c r="E309" s="5" t="n"/>
      <c r="F309" s="5" t="n"/>
      <c r="G309" s="5" t="n"/>
      <c r="H309" s="8" t="n"/>
      <c r="I309" s="8" t="n"/>
      <c r="J309" s="8" t="n"/>
      <c r="K309" s="11">
        <f>IF(B309="","",MAX(0,IFERROR(I309,0)*IFERROR(H309,0)-IFERROR(J309,0)))</f>
        <v/>
      </c>
      <c r="L309" s="8" t="n"/>
      <c r="M309" s="11">
        <f>IF(B309="","",MAX(0,K309-L309))</f>
        <v/>
      </c>
      <c r="N309" s="11">
        <f>IF(B309="","",IF(L309&gt;=K309,"Paid",IF(L309&gt;0,"Partial","Unpaid")))</f>
        <v/>
      </c>
      <c r="O309" s="5" t="n"/>
      <c r="P309" s="8" t="n"/>
      <c r="Q309" s="8" t="n"/>
      <c r="R309" s="11">
        <f>IF(B309="","",IFERROR(K309,0)+IFERROR(P309,0)-IFERROR(Q309,0))</f>
        <v/>
      </c>
      <c r="S309" s="5" t="n"/>
      <c r="T309" s="5" t="n"/>
      <c r="U309" s="11">
        <f>IF(B309="","",TRIM(LOWER(C309)&amp;"|"&amp;LOWER(D309)))</f>
        <v/>
      </c>
    </row>
    <row r="310">
      <c r="A310" s="11">
        <f>IF(B310="","",TEXT(ROW()-3,"""DC-""0000"))</f>
        <v/>
      </c>
      <c r="B310" s="5" t="n"/>
      <c r="C310" s="5" t="n"/>
      <c r="D310" s="5" t="n"/>
      <c r="E310" s="5" t="n"/>
      <c r="F310" s="5" t="n"/>
      <c r="G310" s="5" t="n"/>
      <c r="H310" s="8" t="n"/>
      <c r="I310" s="8" t="n"/>
      <c r="J310" s="8" t="n"/>
      <c r="K310" s="11">
        <f>IF(B310="","",MAX(0,IFERROR(I310,0)*IFERROR(H310,0)-IFERROR(J310,0)))</f>
        <v/>
      </c>
      <c r="L310" s="8" t="n"/>
      <c r="M310" s="11">
        <f>IF(B310="","",MAX(0,K310-L310))</f>
        <v/>
      </c>
      <c r="N310" s="11">
        <f>IF(B310="","",IF(L310&gt;=K310,"Paid",IF(L310&gt;0,"Partial","Unpaid")))</f>
        <v/>
      </c>
      <c r="O310" s="5" t="n"/>
      <c r="P310" s="8" t="n"/>
      <c r="Q310" s="8" t="n"/>
      <c r="R310" s="11">
        <f>IF(B310="","",IFERROR(K310,0)+IFERROR(P310,0)-IFERROR(Q310,0))</f>
        <v/>
      </c>
      <c r="S310" s="5" t="n"/>
      <c r="T310" s="5" t="n"/>
      <c r="U310" s="11">
        <f>IF(B310="","",TRIM(LOWER(C310)&amp;"|"&amp;LOWER(D310)))</f>
        <v/>
      </c>
    </row>
    <row r="311">
      <c r="A311" s="11">
        <f>IF(B311="","",TEXT(ROW()-3,"""DC-""0000"))</f>
        <v/>
      </c>
      <c r="B311" s="5" t="n"/>
      <c r="C311" s="5" t="n"/>
      <c r="D311" s="5" t="n"/>
      <c r="E311" s="5" t="n"/>
      <c r="F311" s="5" t="n"/>
      <c r="G311" s="5" t="n"/>
      <c r="H311" s="8" t="n"/>
      <c r="I311" s="8" t="n"/>
      <c r="J311" s="8" t="n"/>
      <c r="K311" s="11">
        <f>IF(B311="","",MAX(0,IFERROR(I311,0)*IFERROR(H311,0)-IFERROR(J311,0)))</f>
        <v/>
      </c>
      <c r="L311" s="8" t="n"/>
      <c r="M311" s="11">
        <f>IF(B311="","",MAX(0,K311-L311))</f>
        <v/>
      </c>
      <c r="N311" s="11">
        <f>IF(B311="","",IF(L311&gt;=K311,"Paid",IF(L311&gt;0,"Partial","Unpaid")))</f>
        <v/>
      </c>
      <c r="O311" s="5" t="n"/>
      <c r="P311" s="8" t="n"/>
      <c r="Q311" s="8" t="n"/>
      <c r="R311" s="11">
        <f>IF(B311="","",IFERROR(K311,0)+IFERROR(P311,0)-IFERROR(Q311,0))</f>
        <v/>
      </c>
      <c r="S311" s="5" t="n"/>
      <c r="T311" s="5" t="n"/>
      <c r="U311" s="11">
        <f>IF(B311="","",TRIM(LOWER(C311)&amp;"|"&amp;LOWER(D311)))</f>
        <v/>
      </c>
    </row>
    <row r="312">
      <c r="A312" s="11">
        <f>IF(B312="","",TEXT(ROW()-3,"""DC-""0000"))</f>
        <v/>
      </c>
      <c r="B312" s="5" t="n"/>
      <c r="C312" s="5" t="n"/>
      <c r="D312" s="5" t="n"/>
      <c r="E312" s="5" t="n"/>
      <c r="F312" s="5" t="n"/>
      <c r="G312" s="5" t="n"/>
      <c r="H312" s="8" t="n"/>
      <c r="I312" s="8" t="n"/>
      <c r="J312" s="8" t="n"/>
      <c r="K312" s="11">
        <f>IF(B312="","",MAX(0,IFERROR(I312,0)*IFERROR(H312,0)-IFERROR(J312,0)))</f>
        <v/>
      </c>
      <c r="L312" s="8" t="n"/>
      <c r="M312" s="11">
        <f>IF(B312="","",MAX(0,K312-L312))</f>
        <v/>
      </c>
      <c r="N312" s="11">
        <f>IF(B312="","",IF(L312&gt;=K312,"Paid",IF(L312&gt;0,"Partial","Unpaid")))</f>
        <v/>
      </c>
      <c r="O312" s="5" t="n"/>
      <c r="P312" s="8" t="n"/>
      <c r="Q312" s="8" t="n"/>
      <c r="R312" s="11">
        <f>IF(B312="","",IFERROR(K312,0)+IFERROR(P312,0)-IFERROR(Q312,0))</f>
        <v/>
      </c>
      <c r="S312" s="5" t="n"/>
      <c r="T312" s="5" t="n"/>
      <c r="U312" s="11">
        <f>IF(B312="","",TRIM(LOWER(C312)&amp;"|"&amp;LOWER(D312)))</f>
        <v/>
      </c>
    </row>
    <row r="313">
      <c r="A313" s="11">
        <f>IF(B313="","",TEXT(ROW()-3,"""DC-""0000"))</f>
        <v/>
      </c>
      <c r="B313" s="5" t="n"/>
      <c r="C313" s="5" t="n"/>
      <c r="D313" s="5" t="n"/>
      <c r="E313" s="5" t="n"/>
      <c r="F313" s="5" t="n"/>
      <c r="G313" s="5" t="n"/>
      <c r="H313" s="8" t="n"/>
      <c r="I313" s="8" t="n"/>
      <c r="J313" s="8" t="n"/>
      <c r="K313" s="11">
        <f>IF(B313="","",MAX(0,IFERROR(I313,0)*IFERROR(H313,0)-IFERROR(J313,0)))</f>
        <v/>
      </c>
      <c r="L313" s="8" t="n"/>
      <c r="M313" s="11">
        <f>IF(B313="","",MAX(0,K313-L313))</f>
        <v/>
      </c>
      <c r="N313" s="11">
        <f>IF(B313="","",IF(L313&gt;=K313,"Paid",IF(L313&gt;0,"Partial","Unpaid")))</f>
        <v/>
      </c>
      <c r="O313" s="5" t="n"/>
      <c r="P313" s="8" t="n"/>
      <c r="Q313" s="8" t="n"/>
      <c r="R313" s="11">
        <f>IF(B313="","",IFERROR(K313,0)+IFERROR(P313,0)-IFERROR(Q313,0))</f>
        <v/>
      </c>
      <c r="S313" s="5" t="n"/>
      <c r="T313" s="5" t="n"/>
      <c r="U313" s="11">
        <f>IF(B313="","",TRIM(LOWER(C313)&amp;"|"&amp;LOWER(D313)))</f>
        <v/>
      </c>
    </row>
    <row r="314">
      <c r="A314" s="11">
        <f>IF(B314="","",TEXT(ROW()-3,"""DC-""0000"))</f>
        <v/>
      </c>
      <c r="B314" s="5" t="n"/>
      <c r="C314" s="5" t="n"/>
      <c r="D314" s="5" t="n"/>
      <c r="E314" s="5" t="n"/>
      <c r="F314" s="5" t="n"/>
      <c r="G314" s="5" t="n"/>
      <c r="H314" s="8" t="n"/>
      <c r="I314" s="8" t="n"/>
      <c r="J314" s="8" t="n"/>
      <c r="K314" s="11">
        <f>IF(B314="","",MAX(0,IFERROR(I314,0)*IFERROR(H314,0)-IFERROR(J314,0)))</f>
        <v/>
      </c>
      <c r="L314" s="8" t="n"/>
      <c r="M314" s="11">
        <f>IF(B314="","",MAX(0,K314-L314))</f>
        <v/>
      </c>
      <c r="N314" s="11">
        <f>IF(B314="","",IF(L314&gt;=K314,"Paid",IF(L314&gt;0,"Partial","Unpaid")))</f>
        <v/>
      </c>
      <c r="O314" s="5" t="n"/>
      <c r="P314" s="8" t="n"/>
      <c r="Q314" s="8" t="n"/>
      <c r="R314" s="11">
        <f>IF(B314="","",IFERROR(K314,0)+IFERROR(P314,0)-IFERROR(Q314,0))</f>
        <v/>
      </c>
      <c r="S314" s="5" t="n"/>
      <c r="T314" s="5" t="n"/>
      <c r="U314" s="11">
        <f>IF(B314="","",TRIM(LOWER(C314)&amp;"|"&amp;LOWER(D314)))</f>
        <v/>
      </c>
    </row>
    <row r="315">
      <c r="A315" s="11">
        <f>IF(B315="","",TEXT(ROW()-3,"""DC-""0000"))</f>
        <v/>
      </c>
      <c r="B315" s="5" t="n"/>
      <c r="C315" s="5" t="n"/>
      <c r="D315" s="5" t="n"/>
      <c r="E315" s="5" t="n"/>
      <c r="F315" s="5" t="n"/>
      <c r="G315" s="5" t="n"/>
      <c r="H315" s="8" t="n"/>
      <c r="I315" s="8" t="n"/>
      <c r="J315" s="8" t="n"/>
      <c r="K315" s="11">
        <f>IF(B315="","",MAX(0,IFERROR(I315,0)*IFERROR(H315,0)-IFERROR(J315,0)))</f>
        <v/>
      </c>
      <c r="L315" s="8" t="n"/>
      <c r="M315" s="11">
        <f>IF(B315="","",MAX(0,K315-L315))</f>
        <v/>
      </c>
      <c r="N315" s="11">
        <f>IF(B315="","",IF(L315&gt;=K315,"Paid",IF(L315&gt;0,"Partial","Unpaid")))</f>
        <v/>
      </c>
      <c r="O315" s="5" t="n"/>
      <c r="P315" s="8" t="n"/>
      <c r="Q315" s="8" t="n"/>
      <c r="R315" s="11">
        <f>IF(B315="","",IFERROR(K315,0)+IFERROR(P315,0)-IFERROR(Q315,0))</f>
        <v/>
      </c>
      <c r="S315" s="5" t="n"/>
      <c r="T315" s="5" t="n"/>
      <c r="U315" s="11">
        <f>IF(B315="","",TRIM(LOWER(C315)&amp;"|"&amp;LOWER(D315)))</f>
        <v/>
      </c>
    </row>
    <row r="316">
      <c r="A316" s="11">
        <f>IF(B316="","",TEXT(ROW()-3,"""DC-""0000"))</f>
        <v/>
      </c>
      <c r="B316" s="5" t="n"/>
      <c r="C316" s="5" t="n"/>
      <c r="D316" s="5" t="n"/>
      <c r="E316" s="5" t="n"/>
      <c r="F316" s="5" t="n"/>
      <c r="G316" s="5" t="n"/>
      <c r="H316" s="8" t="n"/>
      <c r="I316" s="8" t="n"/>
      <c r="J316" s="8" t="n"/>
      <c r="K316" s="11">
        <f>IF(B316="","",MAX(0,IFERROR(I316,0)*IFERROR(H316,0)-IFERROR(J316,0)))</f>
        <v/>
      </c>
      <c r="L316" s="8" t="n"/>
      <c r="M316" s="11">
        <f>IF(B316="","",MAX(0,K316-L316))</f>
        <v/>
      </c>
      <c r="N316" s="11">
        <f>IF(B316="","",IF(L316&gt;=K316,"Paid",IF(L316&gt;0,"Partial","Unpaid")))</f>
        <v/>
      </c>
      <c r="O316" s="5" t="n"/>
      <c r="P316" s="8" t="n"/>
      <c r="Q316" s="8" t="n"/>
      <c r="R316" s="11">
        <f>IF(B316="","",IFERROR(K316,0)+IFERROR(P316,0)-IFERROR(Q316,0))</f>
        <v/>
      </c>
      <c r="S316" s="5" t="n"/>
      <c r="T316" s="5" t="n"/>
      <c r="U316" s="11">
        <f>IF(B316="","",TRIM(LOWER(C316)&amp;"|"&amp;LOWER(D316)))</f>
        <v/>
      </c>
    </row>
    <row r="317">
      <c r="A317" s="11">
        <f>IF(B317="","",TEXT(ROW()-3,"""DC-""0000"))</f>
        <v/>
      </c>
      <c r="B317" s="5" t="n"/>
      <c r="C317" s="5" t="n"/>
      <c r="D317" s="5" t="n"/>
      <c r="E317" s="5" t="n"/>
      <c r="F317" s="5" t="n"/>
      <c r="G317" s="5" t="n"/>
      <c r="H317" s="8" t="n"/>
      <c r="I317" s="8" t="n"/>
      <c r="J317" s="8" t="n"/>
      <c r="K317" s="11">
        <f>IF(B317="","",MAX(0,IFERROR(I317,0)*IFERROR(H317,0)-IFERROR(J317,0)))</f>
        <v/>
      </c>
      <c r="L317" s="8" t="n"/>
      <c r="M317" s="11">
        <f>IF(B317="","",MAX(0,K317-L317))</f>
        <v/>
      </c>
      <c r="N317" s="11">
        <f>IF(B317="","",IF(L317&gt;=K317,"Paid",IF(L317&gt;0,"Partial","Unpaid")))</f>
        <v/>
      </c>
      <c r="O317" s="5" t="n"/>
      <c r="P317" s="8" t="n"/>
      <c r="Q317" s="8" t="n"/>
      <c r="R317" s="11">
        <f>IF(B317="","",IFERROR(K317,0)+IFERROR(P317,0)-IFERROR(Q317,0))</f>
        <v/>
      </c>
      <c r="S317" s="5" t="n"/>
      <c r="T317" s="5" t="n"/>
      <c r="U317" s="11">
        <f>IF(B317="","",TRIM(LOWER(C317)&amp;"|"&amp;LOWER(D317)))</f>
        <v/>
      </c>
    </row>
    <row r="318">
      <c r="A318" s="11">
        <f>IF(B318="","",TEXT(ROW()-3,"""DC-""0000"))</f>
        <v/>
      </c>
      <c r="B318" s="5" t="n"/>
      <c r="C318" s="5" t="n"/>
      <c r="D318" s="5" t="n"/>
      <c r="E318" s="5" t="n"/>
      <c r="F318" s="5" t="n"/>
      <c r="G318" s="5" t="n"/>
      <c r="H318" s="8" t="n"/>
      <c r="I318" s="8" t="n"/>
      <c r="J318" s="8" t="n"/>
      <c r="K318" s="11">
        <f>IF(B318="","",MAX(0,IFERROR(I318,0)*IFERROR(H318,0)-IFERROR(J318,0)))</f>
        <v/>
      </c>
      <c r="L318" s="8" t="n"/>
      <c r="M318" s="11">
        <f>IF(B318="","",MAX(0,K318-L318))</f>
        <v/>
      </c>
      <c r="N318" s="11">
        <f>IF(B318="","",IF(L318&gt;=K318,"Paid",IF(L318&gt;0,"Partial","Unpaid")))</f>
        <v/>
      </c>
      <c r="O318" s="5" t="n"/>
      <c r="P318" s="8" t="n"/>
      <c r="Q318" s="8" t="n"/>
      <c r="R318" s="11">
        <f>IF(B318="","",IFERROR(K318,0)+IFERROR(P318,0)-IFERROR(Q318,0))</f>
        <v/>
      </c>
      <c r="S318" s="5" t="n"/>
      <c r="T318" s="5" t="n"/>
      <c r="U318" s="11">
        <f>IF(B318="","",TRIM(LOWER(C318)&amp;"|"&amp;LOWER(D318)))</f>
        <v/>
      </c>
    </row>
    <row r="319">
      <c r="A319" s="11">
        <f>IF(B319="","",TEXT(ROW()-3,"""DC-""0000"))</f>
        <v/>
      </c>
      <c r="B319" s="5" t="n"/>
      <c r="C319" s="5" t="n"/>
      <c r="D319" s="5" t="n"/>
      <c r="E319" s="5" t="n"/>
      <c r="F319" s="5" t="n"/>
      <c r="G319" s="5" t="n"/>
      <c r="H319" s="8" t="n"/>
      <c r="I319" s="8" t="n"/>
      <c r="J319" s="8" t="n"/>
      <c r="K319" s="11">
        <f>IF(B319="","",MAX(0,IFERROR(I319,0)*IFERROR(H319,0)-IFERROR(J319,0)))</f>
        <v/>
      </c>
      <c r="L319" s="8" t="n"/>
      <c r="M319" s="11">
        <f>IF(B319="","",MAX(0,K319-L319))</f>
        <v/>
      </c>
      <c r="N319" s="11">
        <f>IF(B319="","",IF(L319&gt;=K319,"Paid",IF(L319&gt;0,"Partial","Unpaid")))</f>
        <v/>
      </c>
      <c r="O319" s="5" t="n"/>
      <c r="P319" s="8" t="n"/>
      <c r="Q319" s="8" t="n"/>
      <c r="R319" s="11">
        <f>IF(B319="","",IFERROR(K319,0)+IFERROR(P319,0)-IFERROR(Q319,0))</f>
        <v/>
      </c>
      <c r="S319" s="5" t="n"/>
      <c r="T319" s="5" t="n"/>
      <c r="U319" s="11">
        <f>IF(B319="","",TRIM(LOWER(C319)&amp;"|"&amp;LOWER(D319)))</f>
        <v/>
      </c>
    </row>
    <row r="320">
      <c r="A320" s="11">
        <f>IF(B320="","",TEXT(ROW()-3,"""DC-""0000"))</f>
        <v/>
      </c>
      <c r="B320" s="5" t="n"/>
      <c r="C320" s="5" t="n"/>
      <c r="D320" s="5" t="n"/>
      <c r="E320" s="5" t="n"/>
      <c r="F320" s="5" t="n"/>
      <c r="G320" s="5" t="n"/>
      <c r="H320" s="8" t="n"/>
      <c r="I320" s="8" t="n"/>
      <c r="J320" s="8" t="n"/>
      <c r="K320" s="11">
        <f>IF(B320="","",MAX(0,IFERROR(I320,0)*IFERROR(H320,0)-IFERROR(J320,0)))</f>
        <v/>
      </c>
      <c r="L320" s="8" t="n"/>
      <c r="M320" s="11">
        <f>IF(B320="","",MAX(0,K320-L320))</f>
        <v/>
      </c>
      <c r="N320" s="11">
        <f>IF(B320="","",IF(L320&gt;=K320,"Paid",IF(L320&gt;0,"Partial","Unpaid")))</f>
        <v/>
      </c>
      <c r="O320" s="5" t="n"/>
      <c r="P320" s="8" t="n"/>
      <c r="Q320" s="8" t="n"/>
      <c r="R320" s="11">
        <f>IF(B320="","",IFERROR(K320,0)+IFERROR(P320,0)-IFERROR(Q320,0))</f>
        <v/>
      </c>
      <c r="S320" s="5" t="n"/>
      <c r="T320" s="5" t="n"/>
      <c r="U320" s="11">
        <f>IF(B320="","",TRIM(LOWER(C320)&amp;"|"&amp;LOWER(D320)))</f>
        <v/>
      </c>
    </row>
    <row r="321">
      <c r="A321" s="11">
        <f>IF(B321="","",TEXT(ROW()-3,"""DC-""0000"))</f>
        <v/>
      </c>
      <c r="B321" s="5" t="n"/>
      <c r="C321" s="5" t="n"/>
      <c r="D321" s="5" t="n"/>
      <c r="E321" s="5" t="n"/>
      <c r="F321" s="5" t="n"/>
      <c r="G321" s="5" t="n"/>
      <c r="H321" s="8" t="n"/>
      <c r="I321" s="8" t="n"/>
      <c r="J321" s="8" t="n"/>
      <c r="K321" s="11">
        <f>IF(B321="","",MAX(0,IFERROR(I321,0)*IFERROR(H321,0)-IFERROR(J321,0)))</f>
        <v/>
      </c>
      <c r="L321" s="8" t="n"/>
      <c r="M321" s="11">
        <f>IF(B321="","",MAX(0,K321-L321))</f>
        <v/>
      </c>
      <c r="N321" s="11">
        <f>IF(B321="","",IF(L321&gt;=K321,"Paid",IF(L321&gt;0,"Partial","Unpaid")))</f>
        <v/>
      </c>
      <c r="O321" s="5" t="n"/>
      <c r="P321" s="8" t="n"/>
      <c r="Q321" s="8" t="n"/>
      <c r="R321" s="11">
        <f>IF(B321="","",IFERROR(K321,0)+IFERROR(P321,0)-IFERROR(Q321,0))</f>
        <v/>
      </c>
      <c r="S321" s="5" t="n"/>
      <c r="T321" s="5" t="n"/>
      <c r="U321" s="11">
        <f>IF(B321="","",TRIM(LOWER(C321)&amp;"|"&amp;LOWER(D321)))</f>
        <v/>
      </c>
    </row>
    <row r="322">
      <c r="A322" s="11">
        <f>IF(B322="","",TEXT(ROW()-3,"""DC-""0000"))</f>
        <v/>
      </c>
      <c r="B322" s="5" t="n"/>
      <c r="C322" s="5" t="n"/>
      <c r="D322" s="5" t="n"/>
      <c r="E322" s="5" t="n"/>
      <c r="F322" s="5" t="n"/>
      <c r="G322" s="5" t="n"/>
      <c r="H322" s="8" t="n"/>
      <c r="I322" s="8" t="n"/>
      <c r="J322" s="8" t="n"/>
      <c r="K322" s="11">
        <f>IF(B322="","",MAX(0,IFERROR(I322,0)*IFERROR(H322,0)-IFERROR(J322,0)))</f>
        <v/>
      </c>
      <c r="L322" s="8" t="n"/>
      <c r="M322" s="11">
        <f>IF(B322="","",MAX(0,K322-L322))</f>
        <v/>
      </c>
      <c r="N322" s="11">
        <f>IF(B322="","",IF(L322&gt;=K322,"Paid",IF(L322&gt;0,"Partial","Unpaid")))</f>
        <v/>
      </c>
      <c r="O322" s="5" t="n"/>
      <c r="P322" s="8" t="n"/>
      <c r="Q322" s="8" t="n"/>
      <c r="R322" s="11">
        <f>IF(B322="","",IFERROR(K322,0)+IFERROR(P322,0)-IFERROR(Q322,0))</f>
        <v/>
      </c>
      <c r="S322" s="5" t="n"/>
      <c r="T322" s="5" t="n"/>
      <c r="U322" s="11">
        <f>IF(B322="","",TRIM(LOWER(C322)&amp;"|"&amp;LOWER(D322)))</f>
        <v/>
      </c>
    </row>
    <row r="323">
      <c r="A323" s="11">
        <f>IF(B323="","",TEXT(ROW()-3,"""DC-""0000"))</f>
        <v/>
      </c>
      <c r="B323" s="5" t="n"/>
      <c r="C323" s="5" t="n"/>
      <c r="D323" s="5" t="n"/>
      <c r="E323" s="5" t="n"/>
      <c r="F323" s="5" t="n"/>
      <c r="G323" s="5" t="n"/>
      <c r="H323" s="8" t="n"/>
      <c r="I323" s="8" t="n"/>
      <c r="J323" s="8" t="n"/>
      <c r="K323" s="11">
        <f>IF(B323="","",MAX(0,IFERROR(I323,0)*IFERROR(H323,0)-IFERROR(J323,0)))</f>
        <v/>
      </c>
      <c r="L323" s="8" t="n"/>
      <c r="M323" s="11">
        <f>IF(B323="","",MAX(0,K323-L323))</f>
        <v/>
      </c>
      <c r="N323" s="11">
        <f>IF(B323="","",IF(L323&gt;=K323,"Paid",IF(L323&gt;0,"Partial","Unpaid")))</f>
        <v/>
      </c>
      <c r="O323" s="5" t="n"/>
      <c r="P323" s="8" t="n"/>
      <c r="Q323" s="8" t="n"/>
      <c r="R323" s="11">
        <f>IF(B323="","",IFERROR(K323,0)+IFERROR(P323,0)-IFERROR(Q323,0))</f>
        <v/>
      </c>
      <c r="S323" s="5" t="n"/>
      <c r="T323" s="5" t="n"/>
      <c r="U323" s="11">
        <f>IF(B323="","",TRIM(LOWER(C323)&amp;"|"&amp;LOWER(D323)))</f>
        <v/>
      </c>
    </row>
    <row r="324">
      <c r="A324" s="11">
        <f>IF(B324="","",TEXT(ROW()-3,"""DC-""0000"))</f>
        <v/>
      </c>
      <c r="B324" s="5" t="n"/>
      <c r="C324" s="5" t="n"/>
      <c r="D324" s="5" t="n"/>
      <c r="E324" s="5" t="n"/>
      <c r="F324" s="5" t="n"/>
      <c r="G324" s="5" t="n"/>
      <c r="H324" s="8" t="n"/>
      <c r="I324" s="8" t="n"/>
      <c r="J324" s="8" t="n"/>
      <c r="K324" s="11">
        <f>IF(B324="","",MAX(0,IFERROR(I324,0)*IFERROR(H324,0)-IFERROR(J324,0)))</f>
        <v/>
      </c>
      <c r="L324" s="8" t="n"/>
      <c r="M324" s="11">
        <f>IF(B324="","",MAX(0,K324-L324))</f>
        <v/>
      </c>
      <c r="N324" s="11">
        <f>IF(B324="","",IF(L324&gt;=K324,"Paid",IF(L324&gt;0,"Partial","Unpaid")))</f>
        <v/>
      </c>
      <c r="O324" s="5" t="n"/>
      <c r="P324" s="8" t="n"/>
      <c r="Q324" s="8" t="n"/>
      <c r="R324" s="11">
        <f>IF(B324="","",IFERROR(K324,0)+IFERROR(P324,0)-IFERROR(Q324,0))</f>
        <v/>
      </c>
      <c r="S324" s="5" t="n"/>
      <c r="T324" s="5" t="n"/>
      <c r="U324" s="11">
        <f>IF(B324="","",TRIM(LOWER(C324)&amp;"|"&amp;LOWER(D324)))</f>
        <v/>
      </c>
    </row>
    <row r="325">
      <c r="A325" s="11">
        <f>IF(B325="","",TEXT(ROW()-3,"""DC-""0000"))</f>
        <v/>
      </c>
      <c r="B325" s="5" t="n"/>
      <c r="C325" s="5" t="n"/>
      <c r="D325" s="5" t="n"/>
      <c r="E325" s="5" t="n"/>
      <c r="F325" s="5" t="n"/>
      <c r="G325" s="5" t="n"/>
      <c r="H325" s="8" t="n"/>
      <c r="I325" s="8" t="n"/>
      <c r="J325" s="8" t="n"/>
      <c r="K325" s="11">
        <f>IF(B325="","",MAX(0,IFERROR(I325,0)*IFERROR(H325,0)-IFERROR(J325,0)))</f>
        <v/>
      </c>
      <c r="L325" s="8" t="n"/>
      <c r="M325" s="11">
        <f>IF(B325="","",MAX(0,K325-L325))</f>
        <v/>
      </c>
      <c r="N325" s="11">
        <f>IF(B325="","",IF(L325&gt;=K325,"Paid",IF(L325&gt;0,"Partial","Unpaid")))</f>
        <v/>
      </c>
      <c r="O325" s="5" t="n"/>
      <c r="P325" s="8" t="n"/>
      <c r="Q325" s="8" t="n"/>
      <c r="R325" s="11">
        <f>IF(B325="","",IFERROR(K325,0)+IFERROR(P325,0)-IFERROR(Q325,0))</f>
        <v/>
      </c>
      <c r="S325" s="5" t="n"/>
      <c r="T325" s="5" t="n"/>
      <c r="U325" s="11">
        <f>IF(B325="","",TRIM(LOWER(C325)&amp;"|"&amp;LOWER(D325)))</f>
        <v/>
      </c>
    </row>
    <row r="326">
      <c r="A326" s="11">
        <f>IF(B326="","",TEXT(ROW()-3,"""DC-""0000"))</f>
        <v/>
      </c>
      <c r="B326" s="5" t="n"/>
      <c r="C326" s="5" t="n"/>
      <c r="D326" s="5" t="n"/>
      <c r="E326" s="5" t="n"/>
      <c r="F326" s="5" t="n"/>
      <c r="G326" s="5" t="n"/>
      <c r="H326" s="8" t="n"/>
      <c r="I326" s="8" t="n"/>
      <c r="J326" s="8" t="n"/>
      <c r="K326" s="11">
        <f>IF(B326="","",MAX(0,IFERROR(I326,0)*IFERROR(H326,0)-IFERROR(J326,0)))</f>
        <v/>
      </c>
      <c r="L326" s="8" t="n"/>
      <c r="M326" s="11">
        <f>IF(B326="","",MAX(0,K326-L326))</f>
        <v/>
      </c>
      <c r="N326" s="11">
        <f>IF(B326="","",IF(L326&gt;=K326,"Paid",IF(L326&gt;0,"Partial","Unpaid")))</f>
        <v/>
      </c>
      <c r="O326" s="5" t="n"/>
      <c r="P326" s="8" t="n"/>
      <c r="Q326" s="8" t="n"/>
      <c r="R326" s="11">
        <f>IF(B326="","",IFERROR(K326,0)+IFERROR(P326,0)-IFERROR(Q326,0))</f>
        <v/>
      </c>
      <c r="S326" s="5" t="n"/>
      <c r="T326" s="5" t="n"/>
      <c r="U326" s="11">
        <f>IF(B326="","",TRIM(LOWER(C326)&amp;"|"&amp;LOWER(D326)))</f>
        <v/>
      </c>
    </row>
    <row r="327">
      <c r="A327" s="11">
        <f>IF(B327="","",TEXT(ROW()-3,"""DC-""0000"))</f>
        <v/>
      </c>
      <c r="B327" s="5" t="n"/>
      <c r="C327" s="5" t="n"/>
      <c r="D327" s="5" t="n"/>
      <c r="E327" s="5" t="n"/>
      <c r="F327" s="5" t="n"/>
      <c r="G327" s="5" t="n"/>
      <c r="H327" s="8" t="n"/>
      <c r="I327" s="8" t="n"/>
      <c r="J327" s="8" t="n"/>
      <c r="K327" s="11">
        <f>IF(B327="","",MAX(0,IFERROR(I327,0)*IFERROR(H327,0)-IFERROR(J327,0)))</f>
        <v/>
      </c>
      <c r="L327" s="8" t="n"/>
      <c r="M327" s="11">
        <f>IF(B327="","",MAX(0,K327-L327))</f>
        <v/>
      </c>
      <c r="N327" s="11">
        <f>IF(B327="","",IF(L327&gt;=K327,"Paid",IF(L327&gt;0,"Partial","Unpaid")))</f>
        <v/>
      </c>
      <c r="O327" s="5" t="n"/>
      <c r="P327" s="8" t="n"/>
      <c r="Q327" s="8" t="n"/>
      <c r="R327" s="11">
        <f>IF(B327="","",IFERROR(K327,0)+IFERROR(P327,0)-IFERROR(Q327,0))</f>
        <v/>
      </c>
      <c r="S327" s="5" t="n"/>
      <c r="T327" s="5" t="n"/>
      <c r="U327" s="11">
        <f>IF(B327="","",TRIM(LOWER(C327)&amp;"|"&amp;LOWER(D327)))</f>
        <v/>
      </c>
    </row>
    <row r="328">
      <c r="A328" s="11">
        <f>IF(B328="","",TEXT(ROW()-3,"""DC-""0000"))</f>
        <v/>
      </c>
      <c r="B328" s="5" t="n"/>
      <c r="C328" s="5" t="n"/>
      <c r="D328" s="5" t="n"/>
      <c r="E328" s="5" t="n"/>
      <c r="F328" s="5" t="n"/>
      <c r="G328" s="5" t="n"/>
      <c r="H328" s="8" t="n"/>
      <c r="I328" s="8" t="n"/>
      <c r="J328" s="8" t="n"/>
      <c r="K328" s="11">
        <f>IF(B328="","",MAX(0,IFERROR(I328,0)*IFERROR(H328,0)-IFERROR(J328,0)))</f>
        <v/>
      </c>
      <c r="L328" s="8" t="n"/>
      <c r="M328" s="11">
        <f>IF(B328="","",MAX(0,K328-L328))</f>
        <v/>
      </c>
      <c r="N328" s="11">
        <f>IF(B328="","",IF(L328&gt;=K328,"Paid",IF(L328&gt;0,"Partial","Unpaid")))</f>
        <v/>
      </c>
      <c r="O328" s="5" t="n"/>
      <c r="P328" s="8" t="n"/>
      <c r="Q328" s="8" t="n"/>
      <c r="R328" s="11">
        <f>IF(B328="","",IFERROR(K328,0)+IFERROR(P328,0)-IFERROR(Q328,0))</f>
        <v/>
      </c>
      <c r="S328" s="5" t="n"/>
      <c r="T328" s="5" t="n"/>
      <c r="U328" s="11">
        <f>IF(B328="","",TRIM(LOWER(C328)&amp;"|"&amp;LOWER(D328)))</f>
        <v/>
      </c>
    </row>
    <row r="329">
      <c r="A329" s="11">
        <f>IF(B329="","",TEXT(ROW()-3,"""DC-""0000"))</f>
        <v/>
      </c>
      <c r="B329" s="5" t="n"/>
      <c r="C329" s="5" t="n"/>
      <c r="D329" s="5" t="n"/>
      <c r="E329" s="5" t="n"/>
      <c r="F329" s="5" t="n"/>
      <c r="G329" s="5" t="n"/>
      <c r="H329" s="8" t="n"/>
      <c r="I329" s="8" t="n"/>
      <c r="J329" s="8" t="n"/>
      <c r="K329" s="11">
        <f>IF(B329="","",MAX(0,IFERROR(I329,0)*IFERROR(H329,0)-IFERROR(J329,0)))</f>
        <v/>
      </c>
      <c r="L329" s="8" t="n"/>
      <c r="M329" s="11">
        <f>IF(B329="","",MAX(0,K329-L329))</f>
        <v/>
      </c>
      <c r="N329" s="11">
        <f>IF(B329="","",IF(L329&gt;=K329,"Paid",IF(L329&gt;0,"Partial","Unpaid")))</f>
        <v/>
      </c>
      <c r="O329" s="5" t="n"/>
      <c r="P329" s="8" t="n"/>
      <c r="Q329" s="8" t="n"/>
      <c r="R329" s="11">
        <f>IF(B329="","",IFERROR(K329,0)+IFERROR(P329,0)-IFERROR(Q329,0))</f>
        <v/>
      </c>
      <c r="S329" s="5" t="n"/>
      <c r="T329" s="5" t="n"/>
      <c r="U329" s="11">
        <f>IF(B329="","",TRIM(LOWER(C329)&amp;"|"&amp;LOWER(D329)))</f>
        <v/>
      </c>
    </row>
    <row r="330">
      <c r="A330" s="11">
        <f>IF(B330="","",TEXT(ROW()-3,"""DC-""0000"))</f>
        <v/>
      </c>
      <c r="B330" s="5" t="n"/>
      <c r="C330" s="5" t="n"/>
      <c r="D330" s="5" t="n"/>
      <c r="E330" s="5" t="n"/>
      <c r="F330" s="5" t="n"/>
      <c r="G330" s="5" t="n"/>
      <c r="H330" s="8" t="n"/>
      <c r="I330" s="8" t="n"/>
      <c r="J330" s="8" t="n"/>
      <c r="K330" s="11">
        <f>IF(B330="","",MAX(0,IFERROR(I330,0)*IFERROR(H330,0)-IFERROR(J330,0)))</f>
        <v/>
      </c>
      <c r="L330" s="8" t="n"/>
      <c r="M330" s="11">
        <f>IF(B330="","",MAX(0,K330-L330))</f>
        <v/>
      </c>
      <c r="N330" s="11">
        <f>IF(B330="","",IF(L330&gt;=K330,"Paid",IF(L330&gt;0,"Partial","Unpaid")))</f>
        <v/>
      </c>
      <c r="O330" s="5" t="n"/>
      <c r="P330" s="8" t="n"/>
      <c r="Q330" s="8" t="n"/>
      <c r="R330" s="11">
        <f>IF(B330="","",IFERROR(K330,0)+IFERROR(P330,0)-IFERROR(Q330,0))</f>
        <v/>
      </c>
      <c r="S330" s="5" t="n"/>
      <c r="T330" s="5" t="n"/>
      <c r="U330" s="11">
        <f>IF(B330="","",TRIM(LOWER(C330)&amp;"|"&amp;LOWER(D330)))</f>
        <v/>
      </c>
    </row>
    <row r="331">
      <c r="A331" s="11">
        <f>IF(B331="","",TEXT(ROW()-3,"""DC-""0000"))</f>
        <v/>
      </c>
      <c r="B331" s="5" t="n"/>
      <c r="C331" s="5" t="n"/>
      <c r="D331" s="5" t="n"/>
      <c r="E331" s="5" t="n"/>
      <c r="F331" s="5" t="n"/>
      <c r="G331" s="5" t="n"/>
      <c r="H331" s="8" t="n"/>
      <c r="I331" s="8" t="n"/>
      <c r="J331" s="8" t="n"/>
      <c r="K331" s="11">
        <f>IF(B331="","",MAX(0,IFERROR(I331,0)*IFERROR(H331,0)-IFERROR(J331,0)))</f>
        <v/>
      </c>
      <c r="L331" s="8" t="n"/>
      <c r="M331" s="11">
        <f>IF(B331="","",MAX(0,K331-L331))</f>
        <v/>
      </c>
      <c r="N331" s="11">
        <f>IF(B331="","",IF(L331&gt;=K331,"Paid",IF(L331&gt;0,"Partial","Unpaid")))</f>
        <v/>
      </c>
      <c r="O331" s="5" t="n"/>
      <c r="P331" s="8" t="n"/>
      <c r="Q331" s="8" t="n"/>
      <c r="R331" s="11">
        <f>IF(B331="","",IFERROR(K331,0)+IFERROR(P331,0)-IFERROR(Q331,0))</f>
        <v/>
      </c>
      <c r="S331" s="5" t="n"/>
      <c r="T331" s="5" t="n"/>
      <c r="U331" s="11">
        <f>IF(B331="","",TRIM(LOWER(C331)&amp;"|"&amp;LOWER(D331)))</f>
        <v/>
      </c>
    </row>
    <row r="332">
      <c r="A332" s="11">
        <f>IF(B332="","",TEXT(ROW()-3,"""DC-""0000"))</f>
        <v/>
      </c>
      <c r="B332" s="5" t="n"/>
      <c r="C332" s="5" t="n"/>
      <c r="D332" s="5" t="n"/>
      <c r="E332" s="5" t="n"/>
      <c r="F332" s="5" t="n"/>
      <c r="G332" s="5" t="n"/>
      <c r="H332" s="8" t="n"/>
      <c r="I332" s="8" t="n"/>
      <c r="J332" s="8" t="n"/>
      <c r="K332" s="11">
        <f>IF(B332="","",MAX(0,IFERROR(I332,0)*IFERROR(H332,0)-IFERROR(J332,0)))</f>
        <v/>
      </c>
      <c r="L332" s="8" t="n"/>
      <c r="M332" s="11">
        <f>IF(B332="","",MAX(0,K332-L332))</f>
        <v/>
      </c>
      <c r="N332" s="11">
        <f>IF(B332="","",IF(L332&gt;=K332,"Paid",IF(L332&gt;0,"Partial","Unpaid")))</f>
        <v/>
      </c>
      <c r="O332" s="5" t="n"/>
      <c r="P332" s="8" t="n"/>
      <c r="Q332" s="8" t="n"/>
      <c r="R332" s="11">
        <f>IF(B332="","",IFERROR(K332,0)+IFERROR(P332,0)-IFERROR(Q332,0))</f>
        <v/>
      </c>
      <c r="S332" s="5" t="n"/>
      <c r="T332" s="5" t="n"/>
      <c r="U332" s="11">
        <f>IF(B332="","",TRIM(LOWER(C332)&amp;"|"&amp;LOWER(D332)))</f>
        <v/>
      </c>
    </row>
    <row r="333">
      <c r="A333" s="11">
        <f>IF(B333="","",TEXT(ROW()-3,"""DC-""0000"))</f>
        <v/>
      </c>
      <c r="B333" s="5" t="n"/>
      <c r="C333" s="5" t="n"/>
      <c r="D333" s="5" t="n"/>
      <c r="E333" s="5" t="n"/>
      <c r="F333" s="5" t="n"/>
      <c r="G333" s="5" t="n"/>
      <c r="H333" s="8" t="n"/>
      <c r="I333" s="8" t="n"/>
      <c r="J333" s="8" t="n"/>
      <c r="K333" s="11">
        <f>IF(B333="","",MAX(0,IFERROR(I333,0)*IFERROR(H333,0)-IFERROR(J333,0)))</f>
        <v/>
      </c>
      <c r="L333" s="8" t="n"/>
      <c r="M333" s="11">
        <f>IF(B333="","",MAX(0,K333-L333))</f>
        <v/>
      </c>
      <c r="N333" s="11">
        <f>IF(B333="","",IF(L333&gt;=K333,"Paid",IF(L333&gt;0,"Partial","Unpaid")))</f>
        <v/>
      </c>
      <c r="O333" s="5" t="n"/>
      <c r="P333" s="8" t="n"/>
      <c r="Q333" s="8" t="n"/>
      <c r="R333" s="11">
        <f>IF(B333="","",IFERROR(K333,0)+IFERROR(P333,0)-IFERROR(Q333,0))</f>
        <v/>
      </c>
      <c r="S333" s="5" t="n"/>
      <c r="T333" s="5" t="n"/>
      <c r="U333" s="11">
        <f>IF(B333="","",TRIM(LOWER(C333)&amp;"|"&amp;LOWER(D333)))</f>
        <v/>
      </c>
    </row>
    <row r="334">
      <c r="A334" s="11">
        <f>IF(B334="","",TEXT(ROW()-3,"""DC-""0000"))</f>
        <v/>
      </c>
      <c r="B334" s="5" t="n"/>
      <c r="C334" s="5" t="n"/>
      <c r="D334" s="5" t="n"/>
      <c r="E334" s="5" t="n"/>
      <c r="F334" s="5" t="n"/>
      <c r="G334" s="5" t="n"/>
      <c r="H334" s="8" t="n"/>
      <c r="I334" s="8" t="n"/>
      <c r="J334" s="8" t="n"/>
      <c r="K334" s="11">
        <f>IF(B334="","",MAX(0,IFERROR(I334,0)*IFERROR(H334,0)-IFERROR(J334,0)))</f>
        <v/>
      </c>
      <c r="L334" s="8" t="n"/>
      <c r="M334" s="11">
        <f>IF(B334="","",MAX(0,K334-L334))</f>
        <v/>
      </c>
      <c r="N334" s="11">
        <f>IF(B334="","",IF(L334&gt;=K334,"Paid",IF(L334&gt;0,"Partial","Unpaid")))</f>
        <v/>
      </c>
      <c r="O334" s="5" t="n"/>
      <c r="P334" s="8" t="n"/>
      <c r="Q334" s="8" t="n"/>
      <c r="R334" s="11">
        <f>IF(B334="","",IFERROR(K334,0)+IFERROR(P334,0)-IFERROR(Q334,0))</f>
        <v/>
      </c>
      <c r="S334" s="5" t="n"/>
      <c r="T334" s="5" t="n"/>
      <c r="U334" s="11">
        <f>IF(B334="","",TRIM(LOWER(C334)&amp;"|"&amp;LOWER(D334)))</f>
        <v/>
      </c>
    </row>
    <row r="335">
      <c r="A335" s="11">
        <f>IF(B335="","",TEXT(ROW()-3,"""DC-""0000"))</f>
        <v/>
      </c>
      <c r="B335" s="5" t="n"/>
      <c r="C335" s="5" t="n"/>
      <c r="D335" s="5" t="n"/>
      <c r="E335" s="5" t="n"/>
      <c r="F335" s="5" t="n"/>
      <c r="G335" s="5" t="n"/>
      <c r="H335" s="8" t="n"/>
      <c r="I335" s="8" t="n"/>
      <c r="J335" s="8" t="n"/>
      <c r="K335" s="11">
        <f>IF(B335="","",MAX(0,IFERROR(I335,0)*IFERROR(H335,0)-IFERROR(J335,0)))</f>
        <v/>
      </c>
      <c r="L335" s="8" t="n"/>
      <c r="M335" s="11">
        <f>IF(B335="","",MAX(0,K335-L335))</f>
        <v/>
      </c>
      <c r="N335" s="11">
        <f>IF(B335="","",IF(L335&gt;=K335,"Paid",IF(L335&gt;0,"Partial","Unpaid")))</f>
        <v/>
      </c>
      <c r="O335" s="5" t="n"/>
      <c r="P335" s="8" t="n"/>
      <c r="Q335" s="8" t="n"/>
      <c r="R335" s="11">
        <f>IF(B335="","",IFERROR(K335,0)+IFERROR(P335,0)-IFERROR(Q335,0))</f>
        <v/>
      </c>
      <c r="S335" s="5" t="n"/>
      <c r="T335" s="5" t="n"/>
      <c r="U335" s="11">
        <f>IF(B335="","",TRIM(LOWER(C335)&amp;"|"&amp;LOWER(D335)))</f>
        <v/>
      </c>
    </row>
    <row r="336">
      <c r="A336" s="11">
        <f>IF(B336="","",TEXT(ROW()-3,"""DC-""0000"))</f>
        <v/>
      </c>
      <c r="B336" s="5" t="n"/>
      <c r="C336" s="5" t="n"/>
      <c r="D336" s="5" t="n"/>
      <c r="E336" s="5" t="n"/>
      <c r="F336" s="5" t="n"/>
      <c r="G336" s="5" t="n"/>
      <c r="H336" s="8" t="n"/>
      <c r="I336" s="8" t="n"/>
      <c r="J336" s="8" t="n"/>
      <c r="K336" s="11">
        <f>IF(B336="","",MAX(0,IFERROR(I336,0)*IFERROR(H336,0)-IFERROR(J336,0)))</f>
        <v/>
      </c>
      <c r="L336" s="8" t="n"/>
      <c r="M336" s="11">
        <f>IF(B336="","",MAX(0,K336-L336))</f>
        <v/>
      </c>
      <c r="N336" s="11">
        <f>IF(B336="","",IF(L336&gt;=K336,"Paid",IF(L336&gt;0,"Partial","Unpaid")))</f>
        <v/>
      </c>
      <c r="O336" s="5" t="n"/>
      <c r="P336" s="8" t="n"/>
      <c r="Q336" s="8" t="n"/>
      <c r="R336" s="11">
        <f>IF(B336="","",IFERROR(K336,0)+IFERROR(P336,0)-IFERROR(Q336,0))</f>
        <v/>
      </c>
      <c r="S336" s="5" t="n"/>
      <c r="T336" s="5" t="n"/>
      <c r="U336" s="11">
        <f>IF(B336="","",TRIM(LOWER(C336)&amp;"|"&amp;LOWER(D336)))</f>
        <v/>
      </c>
    </row>
    <row r="337">
      <c r="A337" s="11">
        <f>IF(B337="","",TEXT(ROW()-3,"""DC-""0000"))</f>
        <v/>
      </c>
      <c r="B337" s="5" t="n"/>
      <c r="C337" s="5" t="n"/>
      <c r="D337" s="5" t="n"/>
      <c r="E337" s="5" t="n"/>
      <c r="F337" s="5" t="n"/>
      <c r="G337" s="5" t="n"/>
      <c r="H337" s="8" t="n"/>
      <c r="I337" s="8" t="n"/>
      <c r="J337" s="8" t="n"/>
      <c r="K337" s="11">
        <f>IF(B337="","",MAX(0,IFERROR(I337,0)*IFERROR(H337,0)-IFERROR(J337,0)))</f>
        <v/>
      </c>
      <c r="L337" s="8" t="n"/>
      <c r="M337" s="11">
        <f>IF(B337="","",MAX(0,K337-L337))</f>
        <v/>
      </c>
      <c r="N337" s="11">
        <f>IF(B337="","",IF(L337&gt;=K337,"Paid",IF(L337&gt;0,"Partial","Unpaid")))</f>
        <v/>
      </c>
      <c r="O337" s="5" t="n"/>
      <c r="P337" s="8" t="n"/>
      <c r="Q337" s="8" t="n"/>
      <c r="R337" s="11">
        <f>IF(B337="","",IFERROR(K337,0)+IFERROR(P337,0)-IFERROR(Q337,0))</f>
        <v/>
      </c>
      <c r="S337" s="5" t="n"/>
      <c r="T337" s="5" t="n"/>
      <c r="U337" s="11">
        <f>IF(B337="","",TRIM(LOWER(C337)&amp;"|"&amp;LOWER(D337)))</f>
        <v/>
      </c>
    </row>
    <row r="338">
      <c r="A338" s="11">
        <f>IF(B338="","",TEXT(ROW()-3,"""DC-""0000"))</f>
        <v/>
      </c>
      <c r="B338" s="5" t="n"/>
      <c r="C338" s="5" t="n"/>
      <c r="D338" s="5" t="n"/>
      <c r="E338" s="5" t="n"/>
      <c r="F338" s="5" t="n"/>
      <c r="G338" s="5" t="n"/>
      <c r="H338" s="8" t="n"/>
      <c r="I338" s="8" t="n"/>
      <c r="J338" s="8" t="n"/>
      <c r="K338" s="11">
        <f>IF(B338="","",MAX(0,IFERROR(I338,0)*IFERROR(H338,0)-IFERROR(J338,0)))</f>
        <v/>
      </c>
      <c r="L338" s="8" t="n"/>
      <c r="M338" s="11">
        <f>IF(B338="","",MAX(0,K338-L338))</f>
        <v/>
      </c>
      <c r="N338" s="11">
        <f>IF(B338="","",IF(L338&gt;=K338,"Paid",IF(L338&gt;0,"Partial","Unpaid")))</f>
        <v/>
      </c>
      <c r="O338" s="5" t="n"/>
      <c r="P338" s="8" t="n"/>
      <c r="Q338" s="8" t="n"/>
      <c r="R338" s="11">
        <f>IF(B338="","",IFERROR(K338,0)+IFERROR(P338,0)-IFERROR(Q338,0))</f>
        <v/>
      </c>
      <c r="S338" s="5" t="n"/>
      <c r="T338" s="5" t="n"/>
      <c r="U338" s="11">
        <f>IF(B338="","",TRIM(LOWER(C338)&amp;"|"&amp;LOWER(D338)))</f>
        <v/>
      </c>
    </row>
    <row r="339">
      <c r="A339" s="11">
        <f>IF(B339="","",TEXT(ROW()-3,"""DC-""0000"))</f>
        <v/>
      </c>
      <c r="B339" s="5" t="n"/>
      <c r="C339" s="5" t="n"/>
      <c r="D339" s="5" t="n"/>
      <c r="E339" s="5" t="n"/>
      <c r="F339" s="5" t="n"/>
      <c r="G339" s="5" t="n"/>
      <c r="H339" s="8" t="n"/>
      <c r="I339" s="8" t="n"/>
      <c r="J339" s="8" t="n"/>
      <c r="K339" s="11">
        <f>IF(B339="","",MAX(0,IFERROR(I339,0)*IFERROR(H339,0)-IFERROR(J339,0)))</f>
        <v/>
      </c>
      <c r="L339" s="8" t="n"/>
      <c r="M339" s="11">
        <f>IF(B339="","",MAX(0,K339-L339))</f>
        <v/>
      </c>
      <c r="N339" s="11">
        <f>IF(B339="","",IF(L339&gt;=K339,"Paid",IF(L339&gt;0,"Partial","Unpaid")))</f>
        <v/>
      </c>
      <c r="O339" s="5" t="n"/>
      <c r="P339" s="8" t="n"/>
      <c r="Q339" s="8" t="n"/>
      <c r="R339" s="11">
        <f>IF(B339="","",IFERROR(K339,0)+IFERROR(P339,0)-IFERROR(Q339,0))</f>
        <v/>
      </c>
      <c r="S339" s="5" t="n"/>
      <c r="T339" s="5" t="n"/>
      <c r="U339" s="11">
        <f>IF(B339="","",TRIM(LOWER(C339)&amp;"|"&amp;LOWER(D339)))</f>
        <v/>
      </c>
    </row>
    <row r="340">
      <c r="A340" s="11">
        <f>IF(B340="","",TEXT(ROW()-3,"""DC-""0000"))</f>
        <v/>
      </c>
      <c r="B340" s="5" t="n"/>
      <c r="C340" s="5" t="n"/>
      <c r="D340" s="5" t="n"/>
      <c r="E340" s="5" t="n"/>
      <c r="F340" s="5" t="n"/>
      <c r="G340" s="5" t="n"/>
      <c r="H340" s="8" t="n"/>
      <c r="I340" s="8" t="n"/>
      <c r="J340" s="8" t="n"/>
      <c r="K340" s="11">
        <f>IF(B340="","",MAX(0,IFERROR(I340,0)*IFERROR(H340,0)-IFERROR(J340,0)))</f>
        <v/>
      </c>
      <c r="L340" s="8" t="n"/>
      <c r="M340" s="11">
        <f>IF(B340="","",MAX(0,K340-L340))</f>
        <v/>
      </c>
      <c r="N340" s="11">
        <f>IF(B340="","",IF(L340&gt;=K340,"Paid",IF(L340&gt;0,"Partial","Unpaid")))</f>
        <v/>
      </c>
      <c r="O340" s="5" t="n"/>
      <c r="P340" s="8" t="n"/>
      <c r="Q340" s="8" t="n"/>
      <c r="R340" s="11">
        <f>IF(B340="","",IFERROR(K340,0)+IFERROR(P340,0)-IFERROR(Q340,0))</f>
        <v/>
      </c>
      <c r="S340" s="5" t="n"/>
      <c r="T340" s="5" t="n"/>
      <c r="U340" s="11">
        <f>IF(B340="","",TRIM(LOWER(C340)&amp;"|"&amp;LOWER(D340)))</f>
        <v/>
      </c>
    </row>
    <row r="341">
      <c r="A341" s="11">
        <f>IF(B341="","",TEXT(ROW()-3,"""DC-""0000"))</f>
        <v/>
      </c>
      <c r="B341" s="5" t="n"/>
      <c r="C341" s="5" t="n"/>
      <c r="D341" s="5" t="n"/>
      <c r="E341" s="5" t="n"/>
      <c r="F341" s="5" t="n"/>
      <c r="G341" s="5" t="n"/>
      <c r="H341" s="8" t="n"/>
      <c r="I341" s="8" t="n"/>
      <c r="J341" s="8" t="n"/>
      <c r="K341" s="11">
        <f>IF(B341="","",MAX(0,IFERROR(I341,0)*IFERROR(H341,0)-IFERROR(J341,0)))</f>
        <v/>
      </c>
      <c r="L341" s="8" t="n"/>
      <c r="M341" s="11">
        <f>IF(B341="","",MAX(0,K341-L341))</f>
        <v/>
      </c>
      <c r="N341" s="11">
        <f>IF(B341="","",IF(L341&gt;=K341,"Paid",IF(L341&gt;0,"Partial","Unpaid")))</f>
        <v/>
      </c>
      <c r="O341" s="5" t="n"/>
      <c r="P341" s="8" t="n"/>
      <c r="Q341" s="8" t="n"/>
      <c r="R341" s="11">
        <f>IF(B341="","",IFERROR(K341,0)+IFERROR(P341,0)-IFERROR(Q341,0))</f>
        <v/>
      </c>
      <c r="S341" s="5" t="n"/>
      <c r="T341" s="5" t="n"/>
      <c r="U341" s="11">
        <f>IF(B341="","",TRIM(LOWER(C341)&amp;"|"&amp;LOWER(D341)))</f>
        <v/>
      </c>
    </row>
    <row r="342">
      <c r="A342" s="11">
        <f>IF(B342="","",TEXT(ROW()-3,"""DC-""0000"))</f>
        <v/>
      </c>
      <c r="B342" s="5" t="n"/>
      <c r="C342" s="5" t="n"/>
      <c r="D342" s="5" t="n"/>
      <c r="E342" s="5" t="n"/>
      <c r="F342" s="5" t="n"/>
      <c r="G342" s="5" t="n"/>
      <c r="H342" s="8" t="n"/>
      <c r="I342" s="8" t="n"/>
      <c r="J342" s="8" t="n"/>
      <c r="K342" s="11">
        <f>IF(B342="","",MAX(0,IFERROR(I342,0)*IFERROR(H342,0)-IFERROR(J342,0)))</f>
        <v/>
      </c>
      <c r="L342" s="8" t="n"/>
      <c r="M342" s="11">
        <f>IF(B342="","",MAX(0,K342-L342))</f>
        <v/>
      </c>
      <c r="N342" s="11">
        <f>IF(B342="","",IF(L342&gt;=K342,"Paid",IF(L342&gt;0,"Partial","Unpaid")))</f>
        <v/>
      </c>
      <c r="O342" s="5" t="n"/>
      <c r="P342" s="8" t="n"/>
      <c r="Q342" s="8" t="n"/>
      <c r="R342" s="11">
        <f>IF(B342="","",IFERROR(K342,0)+IFERROR(P342,0)-IFERROR(Q342,0))</f>
        <v/>
      </c>
      <c r="S342" s="5" t="n"/>
      <c r="T342" s="5" t="n"/>
      <c r="U342" s="11">
        <f>IF(B342="","",TRIM(LOWER(C342)&amp;"|"&amp;LOWER(D342)))</f>
        <v/>
      </c>
    </row>
    <row r="343">
      <c r="A343" s="11">
        <f>IF(B343="","",TEXT(ROW()-3,"""DC-""0000"))</f>
        <v/>
      </c>
      <c r="B343" s="5" t="n"/>
      <c r="C343" s="5" t="n"/>
      <c r="D343" s="5" t="n"/>
      <c r="E343" s="5" t="n"/>
      <c r="F343" s="5" t="n"/>
      <c r="G343" s="5" t="n"/>
      <c r="H343" s="8" t="n"/>
      <c r="I343" s="8" t="n"/>
      <c r="J343" s="8" t="n"/>
      <c r="K343" s="11">
        <f>IF(B343="","",MAX(0,IFERROR(I343,0)*IFERROR(H343,0)-IFERROR(J343,0)))</f>
        <v/>
      </c>
      <c r="L343" s="8" t="n"/>
      <c r="M343" s="11">
        <f>IF(B343="","",MAX(0,K343-L343))</f>
        <v/>
      </c>
      <c r="N343" s="11">
        <f>IF(B343="","",IF(L343&gt;=K343,"Paid",IF(L343&gt;0,"Partial","Unpaid")))</f>
        <v/>
      </c>
      <c r="O343" s="5" t="n"/>
      <c r="P343" s="8" t="n"/>
      <c r="Q343" s="8" t="n"/>
      <c r="R343" s="11">
        <f>IF(B343="","",IFERROR(K343,0)+IFERROR(P343,0)-IFERROR(Q343,0))</f>
        <v/>
      </c>
      <c r="S343" s="5" t="n"/>
      <c r="T343" s="5" t="n"/>
      <c r="U343" s="11">
        <f>IF(B343="","",TRIM(LOWER(C343)&amp;"|"&amp;LOWER(D343)))</f>
        <v/>
      </c>
    </row>
    <row r="344">
      <c r="A344" s="11">
        <f>IF(B344="","",TEXT(ROW()-3,"""DC-""0000"))</f>
        <v/>
      </c>
      <c r="B344" s="5" t="n"/>
      <c r="C344" s="5" t="n"/>
      <c r="D344" s="5" t="n"/>
      <c r="E344" s="5" t="n"/>
      <c r="F344" s="5" t="n"/>
      <c r="G344" s="5" t="n"/>
      <c r="H344" s="8" t="n"/>
      <c r="I344" s="8" t="n"/>
      <c r="J344" s="8" t="n"/>
      <c r="K344" s="11">
        <f>IF(B344="","",MAX(0,IFERROR(I344,0)*IFERROR(H344,0)-IFERROR(J344,0)))</f>
        <v/>
      </c>
      <c r="L344" s="8" t="n"/>
      <c r="M344" s="11">
        <f>IF(B344="","",MAX(0,K344-L344))</f>
        <v/>
      </c>
      <c r="N344" s="11">
        <f>IF(B344="","",IF(L344&gt;=K344,"Paid",IF(L344&gt;0,"Partial","Unpaid")))</f>
        <v/>
      </c>
      <c r="O344" s="5" t="n"/>
      <c r="P344" s="8" t="n"/>
      <c r="Q344" s="8" t="n"/>
      <c r="R344" s="11">
        <f>IF(B344="","",IFERROR(K344,0)+IFERROR(P344,0)-IFERROR(Q344,0))</f>
        <v/>
      </c>
      <c r="S344" s="5" t="n"/>
      <c r="T344" s="5" t="n"/>
      <c r="U344" s="11">
        <f>IF(B344="","",TRIM(LOWER(C344)&amp;"|"&amp;LOWER(D344)))</f>
        <v/>
      </c>
    </row>
    <row r="345">
      <c r="A345" s="11">
        <f>IF(B345="","",TEXT(ROW()-3,"""DC-""0000"))</f>
        <v/>
      </c>
      <c r="B345" s="5" t="n"/>
      <c r="C345" s="5" t="n"/>
      <c r="D345" s="5" t="n"/>
      <c r="E345" s="5" t="n"/>
      <c r="F345" s="5" t="n"/>
      <c r="G345" s="5" t="n"/>
      <c r="H345" s="8" t="n"/>
      <c r="I345" s="8" t="n"/>
      <c r="J345" s="8" t="n"/>
      <c r="K345" s="11">
        <f>IF(B345="","",MAX(0,IFERROR(I345,0)*IFERROR(H345,0)-IFERROR(J345,0)))</f>
        <v/>
      </c>
      <c r="L345" s="8" t="n"/>
      <c r="M345" s="11">
        <f>IF(B345="","",MAX(0,K345-L345))</f>
        <v/>
      </c>
      <c r="N345" s="11">
        <f>IF(B345="","",IF(L345&gt;=K345,"Paid",IF(L345&gt;0,"Partial","Unpaid")))</f>
        <v/>
      </c>
      <c r="O345" s="5" t="n"/>
      <c r="P345" s="8" t="n"/>
      <c r="Q345" s="8" t="n"/>
      <c r="R345" s="11">
        <f>IF(B345="","",IFERROR(K345,0)+IFERROR(P345,0)-IFERROR(Q345,0))</f>
        <v/>
      </c>
      <c r="S345" s="5" t="n"/>
      <c r="T345" s="5" t="n"/>
      <c r="U345" s="11">
        <f>IF(B345="","",TRIM(LOWER(C345)&amp;"|"&amp;LOWER(D345)))</f>
        <v/>
      </c>
    </row>
    <row r="346">
      <c r="A346" s="11">
        <f>IF(B346="","",TEXT(ROW()-3,"""DC-""0000"))</f>
        <v/>
      </c>
      <c r="B346" s="5" t="n"/>
      <c r="C346" s="5" t="n"/>
      <c r="D346" s="5" t="n"/>
      <c r="E346" s="5" t="n"/>
      <c r="F346" s="5" t="n"/>
      <c r="G346" s="5" t="n"/>
      <c r="H346" s="8" t="n"/>
      <c r="I346" s="8" t="n"/>
      <c r="J346" s="8" t="n"/>
      <c r="K346" s="11">
        <f>IF(B346="","",MAX(0,IFERROR(I346,0)*IFERROR(H346,0)-IFERROR(J346,0)))</f>
        <v/>
      </c>
      <c r="L346" s="8" t="n"/>
      <c r="M346" s="11">
        <f>IF(B346="","",MAX(0,K346-L346))</f>
        <v/>
      </c>
      <c r="N346" s="11">
        <f>IF(B346="","",IF(L346&gt;=K346,"Paid",IF(L346&gt;0,"Partial","Unpaid")))</f>
        <v/>
      </c>
      <c r="O346" s="5" t="n"/>
      <c r="P346" s="8" t="n"/>
      <c r="Q346" s="8" t="n"/>
      <c r="R346" s="11">
        <f>IF(B346="","",IFERROR(K346,0)+IFERROR(P346,0)-IFERROR(Q346,0))</f>
        <v/>
      </c>
      <c r="S346" s="5" t="n"/>
      <c r="T346" s="5" t="n"/>
      <c r="U346" s="11">
        <f>IF(B346="","",TRIM(LOWER(C346)&amp;"|"&amp;LOWER(D346)))</f>
        <v/>
      </c>
    </row>
    <row r="347">
      <c r="A347" s="11">
        <f>IF(B347="","",TEXT(ROW()-3,"""DC-""0000"))</f>
        <v/>
      </c>
      <c r="B347" s="5" t="n"/>
      <c r="C347" s="5" t="n"/>
      <c r="D347" s="5" t="n"/>
      <c r="E347" s="5" t="n"/>
      <c r="F347" s="5" t="n"/>
      <c r="G347" s="5" t="n"/>
      <c r="H347" s="8" t="n"/>
      <c r="I347" s="8" t="n"/>
      <c r="J347" s="8" t="n"/>
      <c r="K347" s="11">
        <f>IF(B347="","",MAX(0,IFERROR(I347,0)*IFERROR(H347,0)-IFERROR(J347,0)))</f>
        <v/>
      </c>
      <c r="L347" s="8" t="n"/>
      <c r="M347" s="11">
        <f>IF(B347="","",MAX(0,K347-L347))</f>
        <v/>
      </c>
      <c r="N347" s="11">
        <f>IF(B347="","",IF(L347&gt;=K347,"Paid",IF(L347&gt;0,"Partial","Unpaid")))</f>
        <v/>
      </c>
      <c r="O347" s="5" t="n"/>
      <c r="P347" s="8" t="n"/>
      <c r="Q347" s="8" t="n"/>
      <c r="R347" s="11">
        <f>IF(B347="","",IFERROR(K347,0)+IFERROR(P347,0)-IFERROR(Q347,0))</f>
        <v/>
      </c>
      <c r="S347" s="5" t="n"/>
      <c r="T347" s="5" t="n"/>
      <c r="U347" s="11">
        <f>IF(B347="","",TRIM(LOWER(C347)&amp;"|"&amp;LOWER(D347)))</f>
        <v/>
      </c>
    </row>
    <row r="348">
      <c r="A348" s="11">
        <f>IF(B348="","",TEXT(ROW()-3,"""DC-""0000"))</f>
        <v/>
      </c>
      <c r="B348" s="5" t="n"/>
      <c r="C348" s="5" t="n"/>
      <c r="D348" s="5" t="n"/>
      <c r="E348" s="5" t="n"/>
      <c r="F348" s="5" t="n"/>
      <c r="G348" s="5" t="n"/>
      <c r="H348" s="8" t="n"/>
      <c r="I348" s="8" t="n"/>
      <c r="J348" s="8" t="n"/>
      <c r="K348" s="11">
        <f>IF(B348="","",MAX(0,IFERROR(I348,0)*IFERROR(H348,0)-IFERROR(J348,0)))</f>
        <v/>
      </c>
      <c r="L348" s="8" t="n"/>
      <c r="M348" s="11">
        <f>IF(B348="","",MAX(0,K348-L348))</f>
        <v/>
      </c>
      <c r="N348" s="11">
        <f>IF(B348="","",IF(L348&gt;=K348,"Paid",IF(L348&gt;0,"Partial","Unpaid")))</f>
        <v/>
      </c>
      <c r="O348" s="5" t="n"/>
      <c r="P348" s="8" t="n"/>
      <c r="Q348" s="8" t="n"/>
      <c r="R348" s="11">
        <f>IF(B348="","",IFERROR(K348,0)+IFERROR(P348,0)-IFERROR(Q348,0))</f>
        <v/>
      </c>
      <c r="S348" s="5" t="n"/>
      <c r="T348" s="5" t="n"/>
      <c r="U348" s="11">
        <f>IF(B348="","",TRIM(LOWER(C348)&amp;"|"&amp;LOWER(D348)))</f>
        <v/>
      </c>
    </row>
    <row r="349">
      <c r="A349" s="11">
        <f>IF(B349="","",TEXT(ROW()-3,"""DC-""0000"))</f>
        <v/>
      </c>
      <c r="B349" s="5" t="n"/>
      <c r="C349" s="5" t="n"/>
      <c r="D349" s="5" t="n"/>
      <c r="E349" s="5" t="n"/>
      <c r="F349" s="5" t="n"/>
      <c r="G349" s="5" t="n"/>
      <c r="H349" s="8" t="n"/>
      <c r="I349" s="8" t="n"/>
      <c r="J349" s="8" t="n"/>
      <c r="K349" s="11">
        <f>IF(B349="","",MAX(0,IFERROR(I349,0)*IFERROR(H349,0)-IFERROR(J349,0)))</f>
        <v/>
      </c>
      <c r="L349" s="8" t="n"/>
      <c r="M349" s="11">
        <f>IF(B349="","",MAX(0,K349-L349))</f>
        <v/>
      </c>
      <c r="N349" s="11">
        <f>IF(B349="","",IF(L349&gt;=K349,"Paid",IF(L349&gt;0,"Partial","Unpaid")))</f>
        <v/>
      </c>
      <c r="O349" s="5" t="n"/>
      <c r="P349" s="8" t="n"/>
      <c r="Q349" s="8" t="n"/>
      <c r="R349" s="11">
        <f>IF(B349="","",IFERROR(K349,0)+IFERROR(P349,0)-IFERROR(Q349,0))</f>
        <v/>
      </c>
      <c r="S349" s="5" t="n"/>
      <c r="T349" s="5" t="n"/>
      <c r="U349" s="11">
        <f>IF(B349="","",TRIM(LOWER(C349)&amp;"|"&amp;LOWER(D349)))</f>
        <v/>
      </c>
    </row>
    <row r="350">
      <c r="A350" s="11">
        <f>IF(B350="","",TEXT(ROW()-3,"""DC-""0000"))</f>
        <v/>
      </c>
      <c r="B350" s="5" t="n"/>
      <c r="C350" s="5" t="n"/>
      <c r="D350" s="5" t="n"/>
      <c r="E350" s="5" t="n"/>
      <c r="F350" s="5" t="n"/>
      <c r="G350" s="5" t="n"/>
      <c r="H350" s="8" t="n"/>
      <c r="I350" s="8" t="n"/>
      <c r="J350" s="8" t="n"/>
      <c r="K350" s="11">
        <f>IF(B350="","",MAX(0,IFERROR(I350,0)*IFERROR(H350,0)-IFERROR(J350,0)))</f>
        <v/>
      </c>
      <c r="L350" s="8" t="n"/>
      <c r="M350" s="11">
        <f>IF(B350="","",MAX(0,K350-L350))</f>
        <v/>
      </c>
      <c r="N350" s="11">
        <f>IF(B350="","",IF(L350&gt;=K350,"Paid",IF(L350&gt;0,"Partial","Unpaid")))</f>
        <v/>
      </c>
      <c r="O350" s="5" t="n"/>
      <c r="P350" s="8" t="n"/>
      <c r="Q350" s="8" t="n"/>
      <c r="R350" s="11">
        <f>IF(B350="","",IFERROR(K350,0)+IFERROR(P350,0)-IFERROR(Q350,0))</f>
        <v/>
      </c>
      <c r="S350" s="5" t="n"/>
      <c r="T350" s="5" t="n"/>
      <c r="U350" s="11">
        <f>IF(B350="","",TRIM(LOWER(C350)&amp;"|"&amp;LOWER(D350)))</f>
        <v/>
      </c>
    </row>
    <row r="351">
      <c r="A351" s="11">
        <f>IF(B351="","",TEXT(ROW()-3,"""DC-""0000"))</f>
        <v/>
      </c>
      <c r="B351" s="5" t="n"/>
      <c r="C351" s="5" t="n"/>
      <c r="D351" s="5" t="n"/>
      <c r="E351" s="5" t="n"/>
      <c r="F351" s="5" t="n"/>
      <c r="G351" s="5" t="n"/>
      <c r="H351" s="8" t="n"/>
      <c r="I351" s="8" t="n"/>
      <c r="J351" s="8" t="n"/>
      <c r="K351" s="11">
        <f>IF(B351="","",MAX(0,IFERROR(I351,0)*IFERROR(H351,0)-IFERROR(J351,0)))</f>
        <v/>
      </c>
      <c r="L351" s="8" t="n"/>
      <c r="M351" s="11">
        <f>IF(B351="","",MAX(0,K351-L351))</f>
        <v/>
      </c>
      <c r="N351" s="11">
        <f>IF(B351="","",IF(L351&gt;=K351,"Paid",IF(L351&gt;0,"Partial","Unpaid")))</f>
        <v/>
      </c>
      <c r="O351" s="5" t="n"/>
      <c r="P351" s="8" t="n"/>
      <c r="Q351" s="8" t="n"/>
      <c r="R351" s="11">
        <f>IF(B351="","",IFERROR(K351,0)+IFERROR(P351,0)-IFERROR(Q351,0))</f>
        <v/>
      </c>
      <c r="S351" s="5" t="n"/>
      <c r="T351" s="5" t="n"/>
      <c r="U351" s="11">
        <f>IF(B351="","",TRIM(LOWER(C351)&amp;"|"&amp;LOWER(D351)))</f>
        <v/>
      </c>
    </row>
    <row r="352">
      <c r="A352" s="11">
        <f>IF(B352="","",TEXT(ROW()-3,"""DC-""0000"))</f>
        <v/>
      </c>
      <c r="B352" s="5" t="n"/>
      <c r="C352" s="5" t="n"/>
      <c r="D352" s="5" t="n"/>
      <c r="E352" s="5" t="n"/>
      <c r="F352" s="5" t="n"/>
      <c r="G352" s="5" t="n"/>
      <c r="H352" s="8" t="n"/>
      <c r="I352" s="8" t="n"/>
      <c r="J352" s="8" t="n"/>
      <c r="K352" s="11">
        <f>IF(B352="","",MAX(0,IFERROR(I352,0)*IFERROR(H352,0)-IFERROR(J352,0)))</f>
        <v/>
      </c>
      <c r="L352" s="8" t="n"/>
      <c r="M352" s="11">
        <f>IF(B352="","",MAX(0,K352-L352))</f>
        <v/>
      </c>
      <c r="N352" s="11">
        <f>IF(B352="","",IF(L352&gt;=K352,"Paid",IF(L352&gt;0,"Partial","Unpaid")))</f>
        <v/>
      </c>
      <c r="O352" s="5" t="n"/>
      <c r="P352" s="8" t="n"/>
      <c r="Q352" s="8" t="n"/>
      <c r="R352" s="11">
        <f>IF(B352="","",IFERROR(K352,0)+IFERROR(P352,0)-IFERROR(Q352,0))</f>
        <v/>
      </c>
      <c r="S352" s="5" t="n"/>
      <c r="T352" s="5" t="n"/>
      <c r="U352" s="11">
        <f>IF(B352="","",TRIM(LOWER(C352)&amp;"|"&amp;LOWER(D352)))</f>
        <v/>
      </c>
    </row>
    <row r="353">
      <c r="A353" s="11">
        <f>IF(B353="","",TEXT(ROW()-3,"""DC-""0000"))</f>
        <v/>
      </c>
      <c r="B353" s="5" t="n"/>
      <c r="C353" s="5" t="n"/>
      <c r="D353" s="5" t="n"/>
      <c r="E353" s="5" t="n"/>
      <c r="F353" s="5" t="n"/>
      <c r="G353" s="5" t="n"/>
      <c r="H353" s="8" t="n"/>
      <c r="I353" s="8" t="n"/>
      <c r="J353" s="8" t="n"/>
      <c r="K353" s="11">
        <f>IF(B353="","",MAX(0,IFERROR(I353,0)*IFERROR(H353,0)-IFERROR(J353,0)))</f>
        <v/>
      </c>
      <c r="L353" s="8" t="n"/>
      <c r="M353" s="11">
        <f>IF(B353="","",MAX(0,K353-L353))</f>
        <v/>
      </c>
      <c r="N353" s="11">
        <f>IF(B353="","",IF(L353&gt;=K353,"Paid",IF(L353&gt;0,"Partial","Unpaid")))</f>
        <v/>
      </c>
      <c r="O353" s="5" t="n"/>
      <c r="P353" s="8" t="n"/>
      <c r="Q353" s="8" t="n"/>
      <c r="R353" s="11">
        <f>IF(B353="","",IFERROR(K353,0)+IFERROR(P353,0)-IFERROR(Q353,0))</f>
        <v/>
      </c>
      <c r="S353" s="5" t="n"/>
      <c r="T353" s="5" t="n"/>
      <c r="U353" s="11">
        <f>IF(B353="","",TRIM(LOWER(C353)&amp;"|"&amp;LOWER(D353)))</f>
        <v/>
      </c>
    </row>
    <row r="354">
      <c r="A354" s="11">
        <f>IF(B354="","",TEXT(ROW()-3,"""DC-""0000"))</f>
        <v/>
      </c>
      <c r="B354" s="5" t="n"/>
      <c r="C354" s="5" t="n"/>
      <c r="D354" s="5" t="n"/>
      <c r="E354" s="5" t="n"/>
      <c r="F354" s="5" t="n"/>
      <c r="G354" s="5" t="n"/>
      <c r="H354" s="8" t="n"/>
      <c r="I354" s="8" t="n"/>
      <c r="J354" s="8" t="n"/>
      <c r="K354" s="11">
        <f>IF(B354="","",MAX(0,IFERROR(I354,0)*IFERROR(H354,0)-IFERROR(J354,0)))</f>
        <v/>
      </c>
      <c r="L354" s="8" t="n"/>
      <c r="M354" s="11">
        <f>IF(B354="","",MAX(0,K354-L354))</f>
        <v/>
      </c>
      <c r="N354" s="11">
        <f>IF(B354="","",IF(L354&gt;=K354,"Paid",IF(L354&gt;0,"Partial","Unpaid")))</f>
        <v/>
      </c>
      <c r="O354" s="5" t="n"/>
      <c r="P354" s="8" t="n"/>
      <c r="Q354" s="8" t="n"/>
      <c r="R354" s="11">
        <f>IF(B354="","",IFERROR(K354,0)+IFERROR(P354,0)-IFERROR(Q354,0))</f>
        <v/>
      </c>
      <c r="S354" s="5" t="n"/>
      <c r="T354" s="5" t="n"/>
      <c r="U354" s="11">
        <f>IF(B354="","",TRIM(LOWER(C354)&amp;"|"&amp;LOWER(D354)))</f>
        <v/>
      </c>
    </row>
    <row r="355">
      <c r="A355" s="11">
        <f>IF(B355="","",TEXT(ROW()-3,"""DC-""0000"))</f>
        <v/>
      </c>
      <c r="B355" s="5" t="n"/>
      <c r="C355" s="5" t="n"/>
      <c r="D355" s="5" t="n"/>
      <c r="E355" s="5" t="n"/>
      <c r="F355" s="5" t="n"/>
      <c r="G355" s="5" t="n"/>
      <c r="H355" s="8" t="n"/>
      <c r="I355" s="8" t="n"/>
      <c r="J355" s="8" t="n"/>
      <c r="K355" s="11">
        <f>IF(B355="","",MAX(0,IFERROR(I355,0)*IFERROR(H355,0)-IFERROR(J355,0)))</f>
        <v/>
      </c>
      <c r="L355" s="8" t="n"/>
      <c r="M355" s="11">
        <f>IF(B355="","",MAX(0,K355-L355))</f>
        <v/>
      </c>
      <c r="N355" s="11">
        <f>IF(B355="","",IF(L355&gt;=K355,"Paid",IF(L355&gt;0,"Partial","Unpaid")))</f>
        <v/>
      </c>
      <c r="O355" s="5" t="n"/>
      <c r="P355" s="8" t="n"/>
      <c r="Q355" s="8" t="n"/>
      <c r="R355" s="11">
        <f>IF(B355="","",IFERROR(K355,0)+IFERROR(P355,0)-IFERROR(Q355,0))</f>
        <v/>
      </c>
      <c r="S355" s="5" t="n"/>
      <c r="T355" s="5" t="n"/>
      <c r="U355" s="11">
        <f>IF(B355="","",TRIM(LOWER(C355)&amp;"|"&amp;LOWER(D355)))</f>
        <v/>
      </c>
    </row>
    <row r="356">
      <c r="A356" s="11">
        <f>IF(B356="","",TEXT(ROW()-3,"""DC-""0000"))</f>
        <v/>
      </c>
      <c r="B356" s="5" t="n"/>
      <c r="C356" s="5" t="n"/>
      <c r="D356" s="5" t="n"/>
      <c r="E356" s="5" t="n"/>
      <c r="F356" s="5" t="n"/>
      <c r="G356" s="5" t="n"/>
      <c r="H356" s="8" t="n"/>
      <c r="I356" s="8" t="n"/>
      <c r="J356" s="8" t="n"/>
      <c r="K356" s="11">
        <f>IF(B356="","",MAX(0,IFERROR(I356,0)*IFERROR(H356,0)-IFERROR(J356,0)))</f>
        <v/>
      </c>
      <c r="L356" s="8" t="n"/>
      <c r="M356" s="11">
        <f>IF(B356="","",MAX(0,K356-L356))</f>
        <v/>
      </c>
      <c r="N356" s="11">
        <f>IF(B356="","",IF(L356&gt;=K356,"Paid",IF(L356&gt;0,"Partial","Unpaid")))</f>
        <v/>
      </c>
      <c r="O356" s="5" t="n"/>
      <c r="P356" s="8" t="n"/>
      <c r="Q356" s="8" t="n"/>
      <c r="R356" s="11">
        <f>IF(B356="","",IFERROR(K356,0)+IFERROR(P356,0)-IFERROR(Q356,0))</f>
        <v/>
      </c>
      <c r="S356" s="5" t="n"/>
      <c r="T356" s="5" t="n"/>
      <c r="U356" s="11">
        <f>IF(B356="","",TRIM(LOWER(C356)&amp;"|"&amp;LOWER(D356)))</f>
        <v/>
      </c>
    </row>
    <row r="357">
      <c r="A357" s="11">
        <f>IF(B357="","",TEXT(ROW()-3,"""DC-""0000"))</f>
        <v/>
      </c>
      <c r="B357" s="5" t="n"/>
      <c r="C357" s="5" t="n"/>
      <c r="D357" s="5" t="n"/>
      <c r="E357" s="5" t="n"/>
      <c r="F357" s="5" t="n"/>
      <c r="G357" s="5" t="n"/>
      <c r="H357" s="8" t="n"/>
      <c r="I357" s="8" t="n"/>
      <c r="J357" s="8" t="n"/>
      <c r="K357" s="11">
        <f>IF(B357="","",MAX(0,IFERROR(I357,0)*IFERROR(H357,0)-IFERROR(J357,0)))</f>
        <v/>
      </c>
      <c r="L357" s="8" t="n"/>
      <c r="M357" s="11">
        <f>IF(B357="","",MAX(0,K357-L357))</f>
        <v/>
      </c>
      <c r="N357" s="11">
        <f>IF(B357="","",IF(L357&gt;=K357,"Paid",IF(L357&gt;0,"Partial","Unpaid")))</f>
        <v/>
      </c>
      <c r="O357" s="5" t="n"/>
      <c r="P357" s="8" t="n"/>
      <c r="Q357" s="8" t="n"/>
      <c r="R357" s="11">
        <f>IF(B357="","",IFERROR(K357,0)+IFERROR(P357,0)-IFERROR(Q357,0))</f>
        <v/>
      </c>
      <c r="S357" s="5" t="n"/>
      <c r="T357" s="5" t="n"/>
      <c r="U357" s="11">
        <f>IF(B357="","",TRIM(LOWER(C357)&amp;"|"&amp;LOWER(D357)))</f>
        <v/>
      </c>
    </row>
    <row r="358">
      <c r="A358" s="11">
        <f>IF(B358="","",TEXT(ROW()-3,"""DC-""0000"))</f>
        <v/>
      </c>
      <c r="B358" s="5" t="n"/>
      <c r="C358" s="5" t="n"/>
      <c r="D358" s="5" t="n"/>
      <c r="E358" s="5" t="n"/>
      <c r="F358" s="5" t="n"/>
      <c r="G358" s="5" t="n"/>
      <c r="H358" s="8" t="n"/>
      <c r="I358" s="8" t="n"/>
      <c r="J358" s="8" t="n"/>
      <c r="K358" s="11">
        <f>IF(B358="","",MAX(0,IFERROR(I358,0)*IFERROR(H358,0)-IFERROR(J358,0)))</f>
        <v/>
      </c>
      <c r="L358" s="8" t="n"/>
      <c r="M358" s="11">
        <f>IF(B358="","",MAX(0,K358-L358))</f>
        <v/>
      </c>
      <c r="N358" s="11">
        <f>IF(B358="","",IF(L358&gt;=K358,"Paid",IF(L358&gt;0,"Partial","Unpaid")))</f>
        <v/>
      </c>
      <c r="O358" s="5" t="n"/>
      <c r="P358" s="8" t="n"/>
      <c r="Q358" s="8" t="n"/>
      <c r="R358" s="11">
        <f>IF(B358="","",IFERROR(K358,0)+IFERROR(P358,0)-IFERROR(Q358,0))</f>
        <v/>
      </c>
      <c r="S358" s="5" t="n"/>
      <c r="T358" s="5" t="n"/>
      <c r="U358" s="11">
        <f>IF(B358="","",TRIM(LOWER(C358)&amp;"|"&amp;LOWER(D358)))</f>
        <v/>
      </c>
    </row>
    <row r="359">
      <c r="A359" s="11">
        <f>IF(B359="","",TEXT(ROW()-3,"""DC-""0000"))</f>
        <v/>
      </c>
      <c r="B359" s="5" t="n"/>
      <c r="C359" s="5" t="n"/>
      <c r="D359" s="5" t="n"/>
      <c r="E359" s="5" t="n"/>
      <c r="F359" s="5" t="n"/>
      <c r="G359" s="5" t="n"/>
      <c r="H359" s="8" t="n"/>
      <c r="I359" s="8" t="n"/>
      <c r="J359" s="8" t="n"/>
      <c r="K359" s="11">
        <f>IF(B359="","",MAX(0,IFERROR(I359,0)*IFERROR(H359,0)-IFERROR(J359,0)))</f>
        <v/>
      </c>
      <c r="L359" s="8" t="n"/>
      <c r="M359" s="11">
        <f>IF(B359="","",MAX(0,K359-L359))</f>
        <v/>
      </c>
      <c r="N359" s="11">
        <f>IF(B359="","",IF(L359&gt;=K359,"Paid",IF(L359&gt;0,"Partial","Unpaid")))</f>
        <v/>
      </c>
      <c r="O359" s="5" t="n"/>
      <c r="P359" s="8" t="n"/>
      <c r="Q359" s="8" t="n"/>
      <c r="R359" s="11">
        <f>IF(B359="","",IFERROR(K359,0)+IFERROR(P359,0)-IFERROR(Q359,0))</f>
        <v/>
      </c>
      <c r="S359" s="5" t="n"/>
      <c r="T359" s="5" t="n"/>
      <c r="U359" s="11">
        <f>IF(B359="","",TRIM(LOWER(C359)&amp;"|"&amp;LOWER(D359)))</f>
        <v/>
      </c>
    </row>
    <row r="360">
      <c r="A360" s="11">
        <f>IF(B360="","",TEXT(ROW()-3,"""DC-""0000"))</f>
        <v/>
      </c>
      <c r="B360" s="5" t="n"/>
      <c r="C360" s="5" t="n"/>
      <c r="D360" s="5" t="n"/>
      <c r="E360" s="5" t="n"/>
      <c r="F360" s="5" t="n"/>
      <c r="G360" s="5" t="n"/>
      <c r="H360" s="8" t="n"/>
      <c r="I360" s="8" t="n"/>
      <c r="J360" s="8" t="n"/>
      <c r="K360" s="11">
        <f>IF(B360="","",MAX(0,IFERROR(I360,0)*IFERROR(H360,0)-IFERROR(J360,0)))</f>
        <v/>
      </c>
      <c r="L360" s="8" t="n"/>
      <c r="M360" s="11">
        <f>IF(B360="","",MAX(0,K360-L360))</f>
        <v/>
      </c>
      <c r="N360" s="11">
        <f>IF(B360="","",IF(L360&gt;=K360,"Paid",IF(L360&gt;0,"Partial","Unpaid")))</f>
        <v/>
      </c>
      <c r="O360" s="5" t="n"/>
      <c r="P360" s="8" t="n"/>
      <c r="Q360" s="8" t="n"/>
      <c r="R360" s="11">
        <f>IF(B360="","",IFERROR(K360,0)+IFERROR(P360,0)-IFERROR(Q360,0))</f>
        <v/>
      </c>
      <c r="S360" s="5" t="n"/>
      <c r="T360" s="5" t="n"/>
      <c r="U360" s="11">
        <f>IF(B360="","",TRIM(LOWER(C360)&amp;"|"&amp;LOWER(D360)))</f>
        <v/>
      </c>
    </row>
    <row r="361">
      <c r="A361" s="11">
        <f>IF(B361="","",TEXT(ROW()-3,"""DC-""0000"))</f>
        <v/>
      </c>
      <c r="B361" s="5" t="n"/>
      <c r="C361" s="5" t="n"/>
      <c r="D361" s="5" t="n"/>
      <c r="E361" s="5" t="n"/>
      <c r="F361" s="5" t="n"/>
      <c r="G361" s="5" t="n"/>
      <c r="H361" s="8" t="n"/>
      <c r="I361" s="8" t="n"/>
      <c r="J361" s="8" t="n"/>
      <c r="K361" s="11">
        <f>IF(B361="","",MAX(0,IFERROR(I361,0)*IFERROR(H361,0)-IFERROR(J361,0)))</f>
        <v/>
      </c>
      <c r="L361" s="8" t="n"/>
      <c r="M361" s="11">
        <f>IF(B361="","",MAX(0,K361-L361))</f>
        <v/>
      </c>
      <c r="N361" s="11">
        <f>IF(B361="","",IF(L361&gt;=K361,"Paid",IF(L361&gt;0,"Partial","Unpaid")))</f>
        <v/>
      </c>
      <c r="O361" s="5" t="n"/>
      <c r="P361" s="8" t="n"/>
      <c r="Q361" s="8" t="n"/>
      <c r="R361" s="11">
        <f>IF(B361="","",IFERROR(K361,0)+IFERROR(P361,0)-IFERROR(Q361,0))</f>
        <v/>
      </c>
      <c r="S361" s="5" t="n"/>
      <c r="T361" s="5" t="n"/>
      <c r="U361" s="11">
        <f>IF(B361="","",TRIM(LOWER(C361)&amp;"|"&amp;LOWER(D361)))</f>
        <v/>
      </c>
    </row>
    <row r="362">
      <c r="A362" s="11">
        <f>IF(B362="","",TEXT(ROW()-3,"""DC-""0000"))</f>
        <v/>
      </c>
      <c r="B362" s="5" t="n"/>
      <c r="C362" s="5" t="n"/>
      <c r="D362" s="5" t="n"/>
      <c r="E362" s="5" t="n"/>
      <c r="F362" s="5" t="n"/>
      <c r="G362" s="5" t="n"/>
      <c r="H362" s="8" t="n"/>
      <c r="I362" s="8" t="n"/>
      <c r="J362" s="8" t="n"/>
      <c r="K362" s="11">
        <f>IF(B362="","",MAX(0,IFERROR(I362,0)*IFERROR(H362,0)-IFERROR(J362,0)))</f>
        <v/>
      </c>
      <c r="L362" s="8" t="n"/>
      <c r="M362" s="11">
        <f>IF(B362="","",MAX(0,K362-L362))</f>
        <v/>
      </c>
      <c r="N362" s="11">
        <f>IF(B362="","",IF(L362&gt;=K362,"Paid",IF(L362&gt;0,"Partial","Unpaid")))</f>
        <v/>
      </c>
      <c r="O362" s="5" t="n"/>
      <c r="P362" s="8" t="n"/>
      <c r="Q362" s="8" t="n"/>
      <c r="R362" s="11">
        <f>IF(B362="","",IFERROR(K362,0)+IFERROR(P362,0)-IFERROR(Q362,0))</f>
        <v/>
      </c>
      <c r="S362" s="5" t="n"/>
      <c r="T362" s="5" t="n"/>
      <c r="U362" s="11">
        <f>IF(B362="","",TRIM(LOWER(C362)&amp;"|"&amp;LOWER(D362)))</f>
        <v/>
      </c>
    </row>
    <row r="363">
      <c r="A363" s="11">
        <f>IF(B363="","",TEXT(ROW()-3,"""DC-""0000"))</f>
        <v/>
      </c>
      <c r="B363" s="5" t="n"/>
      <c r="C363" s="5" t="n"/>
      <c r="D363" s="5" t="n"/>
      <c r="E363" s="5" t="n"/>
      <c r="F363" s="5" t="n"/>
      <c r="G363" s="5" t="n"/>
      <c r="H363" s="8" t="n"/>
      <c r="I363" s="8" t="n"/>
      <c r="J363" s="8" t="n"/>
      <c r="K363" s="11">
        <f>IF(B363="","",MAX(0,IFERROR(I363,0)*IFERROR(H363,0)-IFERROR(J363,0)))</f>
        <v/>
      </c>
      <c r="L363" s="8" t="n"/>
      <c r="M363" s="11">
        <f>IF(B363="","",MAX(0,K363-L363))</f>
        <v/>
      </c>
      <c r="N363" s="11">
        <f>IF(B363="","",IF(L363&gt;=K363,"Paid",IF(L363&gt;0,"Partial","Unpaid")))</f>
        <v/>
      </c>
      <c r="O363" s="5" t="n"/>
      <c r="P363" s="8" t="n"/>
      <c r="Q363" s="8" t="n"/>
      <c r="R363" s="11">
        <f>IF(B363="","",IFERROR(K363,0)+IFERROR(P363,0)-IFERROR(Q363,0))</f>
        <v/>
      </c>
      <c r="S363" s="5" t="n"/>
      <c r="T363" s="5" t="n"/>
      <c r="U363" s="11">
        <f>IF(B363="","",TRIM(LOWER(C363)&amp;"|"&amp;LOWER(D363)))</f>
        <v/>
      </c>
    </row>
    <row r="364">
      <c r="A364" s="11">
        <f>IF(B364="","",TEXT(ROW()-3,"""DC-""0000"))</f>
        <v/>
      </c>
      <c r="B364" s="5" t="n"/>
      <c r="C364" s="5" t="n"/>
      <c r="D364" s="5" t="n"/>
      <c r="E364" s="5" t="n"/>
      <c r="F364" s="5" t="n"/>
      <c r="G364" s="5" t="n"/>
      <c r="H364" s="8" t="n"/>
      <c r="I364" s="8" t="n"/>
      <c r="J364" s="8" t="n"/>
      <c r="K364" s="11">
        <f>IF(B364="","",MAX(0,IFERROR(I364,0)*IFERROR(H364,0)-IFERROR(J364,0)))</f>
        <v/>
      </c>
      <c r="L364" s="8" t="n"/>
      <c r="M364" s="11">
        <f>IF(B364="","",MAX(0,K364-L364))</f>
        <v/>
      </c>
      <c r="N364" s="11">
        <f>IF(B364="","",IF(L364&gt;=K364,"Paid",IF(L364&gt;0,"Partial","Unpaid")))</f>
        <v/>
      </c>
      <c r="O364" s="5" t="n"/>
      <c r="P364" s="8" t="n"/>
      <c r="Q364" s="8" t="n"/>
      <c r="R364" s="11">
        <f>IF(B364="","",IFERROR(K364,0)+IFERROR(P364,0)-IFERROR(Q364,0))</f>
        <v/>
      </c>
      <c r="S364" s="5" t="n"/>
      <c r="T364" s="5" t="n"/>
      <c r="U364" s="11">
        <f>IF(B364="","",TRIM(LOWER(C364)&amp;"|"&amp;LOWER(D364)))</f>
        <v/>
      </c>
    </row>
    <row r="365">
      <c r="A365" s="11">
        <f>IF(B365="","",TEXT(ROW()-3,"""DC-""0000"))</f>
        <v/>
      </c>
      <c r="B365" s="5" t="n"/>
      <c r="C365" s="5" t="n"/>
      <c r="D365" s="5" t="n"/>
      <c r="E365" s="5" t="n"/>
      <c r="F365" s="5" t="n"/>
      <c r="G365" s="5" t="n"/>
      <c r="H365" s="8" t="n"/>
      <c r="I365" s="8" t="n"/>
      <c r="J365" s="8" t="n"/>
      <c r="K365" s="11">
        <f>IF(B365="","",MAX(0,IFERROR(I365,0)*IFERROR(H365,0)-IFERROR(J365,0)))</f>
        <v/>
      </c>
      <c r="L365" s="8" t="n"/>
      <c r="M365" s="11">
        <f>IF(B365="","",MAX(0,K365-L365))</f>
        <v/>
      </c>
      <c r="N365" s="11">
        <f>IF(B365="","",IF(L365&gt;=K365,"Paid",IF(L365&gt;0,"Partial","Unpaid")))</f>
        <v/>
      </c>
      <c r="O365" s="5" t="n"/>
      <c r="P365" s="8" t="n"/>
      <c r="Q365" s="8" t="n"/>
      <c r="R365" s="11">
        <f>IF(B365="","",IFERROR(K365,0)+IFERROR(P365,0)-IFERROR(Q365,0))</f>
        <v/>
      </c>
      <c r="S365" s="5" t="n"/>
      <c r="T365" s="5" t="n"/>
      <c r="U365" s="11">
        <f>IF(B365="","",TRIM(LOWER(C365)&amp;"|"&amp;LOWER(D365)))</f>
        <v/>
      </c>
    </row>
    <row r="366">
      <c r="A366" s="11">
        <f>IF(B366="","",TEXT(ROW()-3,"""DC-""0000"))</f>
        <v/>
      </c>
      <c r="B366" s="5" t="n"/>
      <c r="C366" s="5" t="n"/>
      <c r="D366" s="5" t="n"/>
      <c r="E366" s="5" t="n"/>
      <c r="F366" s="5" t="n"/>
      <c r="G366" s="5" t="n"/>
      <c r="H366" s="8" t="n"/>
      <c r="I366" s="8" t="n"/>
      <c r="J366" s="8" t="n"/>
      <c r="K366" s="11">
        <f>IF(B366="","",MAX(0,IFERROR(I366,0)*IFERROR(H366,0)-IFERROR(J366,0)))</f>
        <v/>
      </c>
      <c r="L366" s="8" t="n"/>
      <c r="M366" s="11">
        <f>IF(B366="","",MAX(0,K366-L366))</f>
        <v/>
      </c>
      <c r="N366" s="11">
        <f>IF(B366="","",IF(L366&gt;=K366,"Paid",IF(L366&gt;0,"Partial","Unpaid")))</f>
        <v/>
      </c>
      <c r="O366" s="5" t="n"/>
      <c r="P366" s="8" t="n"/>
      <c r="Q366" s="8" t="n"/>
      <c r="R366" s="11">
        <f>IF(B366="","",IFERROR(K366,0)+IFERROR(P366,0)-IFERROR(Q366,0))</f>
        <v/>
      </c>
      <c r="S366" s="5" t="n"/>
      <c r="T366" s="5" t="n"/>
      <c r="U366" s="11">
        <f>IF(B366="","",TRIM(LOWER(C366)&amp;"|"&amp;LOWER(D366)))</f>
        <v/>
      </c>
    </row>
    <row r="367">
      <c r="A367" s="11">
        <f>IF(B367="","",TEXT(ROW()-3,"""DC-""0000"))</f>
        <v/>
      </c>
      <c r="B367" s="5" t="n"/>
      <c r="C367" s="5" t="n"/>
      <c r="D367" s="5" t="n"/>
      <c r="E367" s="5" t="n"/>
      <c r="F367" s="5" t="n"/>
      <c r="G367" s="5" t="n"/>
      <c r="H367" s="8" t="n"/>
      <c r="I367" s="8" t="n"/>
      <c r="J367" s="8" t="n"/>
      <c r="K367" s="11">
        <f>IF(B367="","",MAX(0,IFERROR(I367,0)*IFERROR(H367,0)-IFERROR(J367,0)))</f>
        <v/>
      </c>
      <c r="L367" s="8" t="n"/>
      <c r="M367" s="11">
        <f>IF(B367="","",MAX(0,K367-L367))</f>
        <v/>
      </c>
      <c r="N367" s="11">
        <f>IF(B367="","",IF(L367&gt;=K367,"Paid",IF(L367&gt;0,"Partial","Unpaid")))</f>
        <v/>
      </c>
      <c r="O367" s="5" t="n"/>
      <c r="P367" s="8" t="n"/>
      <c r="Q367" s="8" t="n"/>
      <c r="R367" s="11">
        <f>IF(B367="","",IFERROR(K367,0)+IFERROR(P367,0)-IFERROR(Q367,0))</f>
        <v/>
      </c>
      <c r="S367" s="5" t="n"/>
      <c r="T367" s="5" t="n"/>
      <c r="U367" s="11">
        <f>IF(B367="","",TRIM(LOWER(C367)&amp;"|"&amp;LOWER(D367)))</f>
        <v/>
      </c>
    </row>
    <row r="368">
      <c r="A368" s="11">
        <f>IF(B368="","",TEXT(ROW()-3,"""DC-""0000"))</f>
        <v/>
      </c>
      <c r="B368" s="5" t="n"/>
      <c r="C368" s="5" t="n"/>
      <c r="D368" s="5" t="n"/>
      <c r="E368" s="5" t="n"/>
      <c r="F368" s="5" t="n"/>
      <c r="G368" s="5" t="n"/>
      <c r="H368" s="8" t="n"/>
      <c r="I368" s="8" t="n"/>
      <c r="J368" s="8" t="n"/>
      <c r="K368" s="11">
        <f>IF(B368="","",MAX(0,IFERROR(I368,0)*IFERROR(H368,0)-IFERROR(J368,0)))</f>
        <v/>
      </c>
      <c r="L368" s="8" t="n"/>
      <c r="M368" s="11">
        <f>IF(B368="","",MAX(0,K368-L368))</f>
        <v/>
      </c>
      <c r="N368" s="11">
        <f>IF(B368="","",IF(L368&gt;=K368,"Paid",IF(L368&gt;0,"Partial","Unpaid")))</f>
        <v/>
      </c>
      <c r="O368" s="5" t="n"/>
      <c r="P368" s="8" t="n"/>
      <c r="Q368" s="8" t="n"/>
      <c r="R368" s="11">
        <f>IF(B368="","",IFERROR(K368,0)+IFERROR(P368,0)-IFERROR(Q368,0))</f>
        <v/>
      </c>
      <c r="S368" s="5" t="n"/>
      <c r="T368" s="5" t="n"/>
      <c r="U368" s="11">
        <f>IF(B368="","",TRIM(LOWER(C368)&amp;"|"&amp;LOWER(D368)))</f>
        <v/>
      </c>
    </row>
    <row r="369">
      <c r="A369" s="11">
        <f>IF(B369="","",TEXT(ROW()-3,"""DC-""0000"))</f>
        <v/>
      </c>
      <c r="B369" s="5" t="n"/>
      <c r="C369" s="5" t="n"/>
      <c r="D369" s="5" t="n"/>
      <c r="E369" s="5" t="n"/>
      <c r="F369" s="5" t="n"/>
      <c r="G369" s="5" t="n"/>
      <c r="H369" s="8" t="n"/>
      <c r="I369" s="8" t="n"/>
      <c r="J369" s="8" t="n"/>
      <c r="K369" s="11">
        <f>IF(B369="","",MAX(0,IFERROR(I369,0)*IFERROR(H369,0)-IFERROR(J369,0)))</f>
        <v/>
      </c>
      <c r="L369" s="8" t="n"/>
      <c r="M369" s="11">
        <f>IF(B369="","",MAX(0,K369-L369))</f>
        <v/>
      </c>
      <c r="N369" s="11">
        <f>IF(B369="","",IF(L369&gt;=K369,"Paid",IF(L369&gt;0,"Partial","Unpaid")))</f>
        <v/>
      </c>
      <c r="O369" s="5" t="n"/>
      <c r="P369" s="8" t="n"/>
      <c r="Q369" s="8" t="n"/>
      <c r="R369" s="11">
        <f>IF(B369="","",IFERROR(K369,0)+IFERROR(P369,0)-IFERROR(Q369,0))</f>
        <v/>
      </c>
      <c r="S369" s="5" t="n"/>
      <c r="T369" s="5" t="n"/>
      <c r="U369" s="11">
        <f>IF(B369="","",TRIM(LOWER(C369)&amp;"|"&amp;LOWER(D369)))</f>
        <v/>
      </c>
    </row>
    <row r="370">
      <c r="A370" s="11">
        <f>IF(B370="","",TEXT(ROW()-3,"""DC-""0000"))</f>
        <v/>
      </c>
      <c r="B370" s="5" t="n"/>
      <c r="C370" s="5" t="n"/>
      <c r="D370" s="5" t="n"/>
      <c r="E370" s="5" t="n"/>
      <c r="F370" s="5" t="n"/>
      <c r="G370" s="5" t="n"/>
      <c r="H370" s="8" t="n"/>
      <c r="I370" s="8" t="n"/>
      <c r="J370" s="8" t="n"/>
      <c r="K370" s="11">
        <f>IF(B370="","",MAX(0,IFERROR(I370,0)*IFERROR(H370,0)-IFERROR(J370,0)))</f>
        <v/>
      </c>
      <c r="L370" s="8" t="n"/>
      <c r="M370" s="11">
        <f>IF(B370="","",MAX(0,K370-L370))</f>
        <v/>
      </c>
      <c r="N370" s="11">
        <f>IF(B370="","",IF(L370&gt;=K370,"Paid",IF(L370&gt;0,"Partial","Unpaid")))</f>
        <v/>
      </c>
      <c r="O370" s="5" t="n"/>
      <c r="P370" s="8" t="n"/>
      <c r="Q370" s="8" t="n"/>
      <c r="R370" s="11">
        <f>IF(B370="","",IFERROR(K370,0)+IFERROR(P370,0)-IFERROR(Q370,0))</f>
        <v/>
      </c>
      <c r="S370" s="5" t="n"/>
      <c r="T370" s="5" t="n"/>
      <c r="U370" s="11">
        <f>IF(B370="","",TRIM(LOWER(C370)&amp;"|"&amp;LOWER(D370)))</f>
        <v/>
      </c>
    </row>
    <row r="371">
      <c r="A371" s="11">
        <f>IF(B371="","",TEXT(ROW()-3,"""DC-""0000"))</f>
        <v/>
      </c>
      <c r="B371" s="5" t="n"/>
      <c r="C371" s="5" t="n"/>
      <c r="D371" s="5" t="n"/>
      <c r="E371" s="5" t="n"/>
      <c r="F371" s="5" t="n"/>
      <c r="G371" s="5" t="n"/>
      <c r="H371" s="8" t="n"/>
      <c r="I371" s="8" t="n"/>
      <c r="J371" s="8" t="n"/>
      <c r="K371" s="11">
        <f>IF(B371="","",MAX(0,IFERROR(I371,0)*IFERROR(H371,0)-IFERROR(J371,0)))</f>
        <v/>
      </c>
      <c r="L371" s="8" t="n"/>
      <c r="M371" s="11">
        <f>IF(B371="","",MAX(0,K371-L371))</f>
        <v/>
      </c>
      <c r="N371" s="11">
        <f>IF(B371="","",IF(L371&gt;=K371,"Paid",IF(L371&gt;0,"Partial","Unpaid")))</f>
        <v/>
      </c>
      <c r="O371" s="5" t="n"/>
      <c r="P371" s="8" t="n"/>
      <c r="Q371" s="8" t="n"/>
      <c r="R371" s="11">
        <f>IF(B371="","",IFERROR(K371,0)+IFERROR(P371,0)-IFERROR(Q371,0))</f>
        <v/>
      </c>
      <c r="S371" s="5" t="n"/>
      <c r="T371" s="5" t="n"/>
      <c r="U371" s="11">
        <f>IF(B371="","",TRIM(LOWER(C371)&amp;"|"&amp;LOWER(D371)))</f>
        <v/>
      </c>
    </row>
    <row r="372">
      <c r="A372" s="11">
        <f>IF(B372="","",TEXT(ROW()-3,"""DC-""0000"))</f>
        <v/>
      </c>
      <c r="B372" s="5" t="n"/>
      <c r="C372" s="5" t="n"/>
      <c r="D372" s="5" t="n"/>
      <c r="E372" s="5" t="n"/>
      <c r="F372" s="5" t="n"/>
      <c r="G372" s="5" t="n"/>
      <c r="H372" s="8" t="n"/>
      <c r="I372" s="8" t="n"/>
      <c r="J372" s="8" t="n"/>
      <c r="K372" s="11">
        <f>IF(B372="","",MAX(0,IFERROR(I372,0)*IFERROR(H372,0)-IFERROR(J372,0)))</f>
        <v/>
      </c>
      <c r="L372" s="8" t="n"/>
      <c r="M372" s="11">
        <f>IF(B372="","",MAX(0,K372-L372))</f>
        <v/>
      </c>
      <c r="N372" s="11">
        <f>IF(B372="","",IF(L372&gt;=K372,"Paid",IF(L372&gt;0,"Partial","Unpaid")))</f>
        <v/>
      </c>
      <c r="O372" s="5" t="n"/>
      <c r="P372" s="8" t="n"/>
      <c r="Q372" s="8" t="n"/>
      <c r="R372" s="11">
        <f>IF(B372="","",IFERROR(K372,0)+IFERROR(P372,0)-IFERROR(Q372,0))</f>
        <v/>
      </c>
      <c r="S372" s="5" t="n"/>
      <c r="T372" s="5" t="n"/>
      <c r="U372" s="11">
        <f>IF(B372="","",TRIM(LOWER(C372)&amp;"|"&amp;LOWER(D372)))</f>
        <v/>
      </c>
    </row>
    <row r="373">
      <c r="A373" s="11">
        <f>IF(B373="","",TEXT(ROW()-3,"""DC-""0000"))</f>
        <v/>
      </c>
      <c r="B373" s="5" t="n"/>
      <c r="C373" s="5" t="n"/>
      <c r="D373" s="5" t="n"/>
      <c r="E373" s="5" t="n"/>
      <c r="F373" s="5" t="n"/>
      <c r="G373" s="5" t="n"/>
      <c r="H373" s="8" t="n"/>
      <c r="I373" s="8" t="n"/>
      <c r="J373" s="8" t="n"/>
      <c r="K373" s="11">
        <f>IF(B373="","",MAX(0,IFERROR(I373,0)*IFERROR(H373,0)-IFERROR(J373,0)))</f>
        <v/>
      </c>
      <c r="L373" s="8" t="n"/>
      <c r="M373" s="11">
        <f>IF(B373="","",MAX(0,K373-L373))</f>
        <v/>
      </c>
      <c r="N373" s="11">
        <f>IF(B373="","",IF(L373&gt;=K373,"Paid",IF(L373&gt;0,"Partial","Unpaid")))</f>
        <v/>
      </c>
      <c r="O373" s="5" t="n"/>
      <c r="P373" s="8" t="n"/>
      <c r="Q373" s="8" t="n"/>
      <c r="R373" s="11">
        <f>IF(B373="","",IFERROR(K373,0)+IFERROR(P373,0)-IFERROR(Q373,0))</f>
        <v/>
      </c>
      <c r="S373" s="5" t="n"/>
      <c r="T373" s="5" t="n"/>
      <c r="U373" s="11">
        <f>IF(B373="","",TRIM(LOWER(C373)&amp;"|"&amp;LOWER(D373)))</f>
        <v/>
      </c>
    </row>
    <row r="374">
      <c r="A374" s="11">
        <f>IF(B374="","",TEXT(ROW()-3,"""DC-""0000"))</f>
        <v/>
      </c>
      <c r="B374" s="5" t="n"/>
      <c r="C374" s="5" t="n"/>
      <c r="D374" s="5" t="n"/>
      <c r="E374" s="5" t="n"/>
      <c r="F374" s="5" t="n"/>
      <c r="G374" s="5" t="n"/>
      <c r="H374" s="8" t="n"/>
      <c r="I374" s="8" t="n"/>
      <c r="J374" s="8" t="n"/>
      <c r="K374" s="11">
        <f>IF(B374="","",MAX(0,IFERROR(I374,0)*IFERROR(H374,0)-IFERROR(J374,0)))</f>
        <v/>
      </c>
      <c r="L374" s="8" t="n"/>
      <c r="M374" s="11">
        <f>IF(B374="","",MAX(0,K374-L374))</f>
        <v/>
      </c>
      <c r="N374" s="11">
        <f>IF(B374="","",IF(L374&gt;=K374,"Paid",IF(L374&gt;0,"Partial","Unpaid")))</f>
        <v/>
      </c>
      <c r="O374" s="5" t="n"/>
      <c r="P374" s="8" t="n"/>
      <c r="Q374" s="8" t="n"/>
      <c r="R374" s="11">
        <f>IF(B374="","",IFERROR(K374,0)+IFERROR(P374,0)-IFERROR(Q374,0))</f>
        <v/>
      </c>
      <c r="S374" s="5" t="n"/>
      <c r="T374" s="5" t="n"/>
      <c r="U374" s="11">
        <f>IF(B374="","",TRIM(LOWER(C374)&amp;"|"&amp;LOWER(D374)))</f>
        <v/>
      </c>
    </row>
    <row r="375">
      <c r="A375" s="11">
        <f>IF(B375="","",TEXT(ROW()-3,"""DC-""0000"))</f>
        <v/>
      </c>
      <c r="B375" s="5" t="n"/>
      <c r="C375" s="5" t="n"/>
      <c r="D375" s="5" t="n"/>
      <c r="E375" s="5" t="n"/>
      <c r="F375" s="5" t="n"/>
      <c r="G375" s="5" t="n"/>
      <c r="H375" s="8" t="n"/>
      <c r="I375" s="8" t="n"/>
      <c r="J375" s="8" t="n"/>
      <c r="K375" s="11">
        <f>IF(B375="","",MAX(0,IFERROR(I375,0)*IFERROR(H375,0)-IFERROR(J375,0)))</f>
        <v/>
      </c>
      <c r="L375" s="8" t="n"/>
      <c r="M375" s="11">
        <f>IF(B375="","",MAX(0,K375-L375))</f>
        <v/>
      </c>
      <c r="N375" s="11">
        <f>IF(B375="","",IF(L375&gt;=K375,"Paid",IF(L375&gt;0,"Partial","Unpaid")))</f>
        <v/>
      </c>
      <c r="O375" s="5" t="n"/>
      <c r="P375" s="8" t="n"/>
      <c r="Q375" s="8" t="n"/>
      <c r="R375" s="11">
        <f>IF(B375="","",IFERROR(K375,0)+IFERROR(P375,0)-IFERROR(Q375,0))</f>
        <v/>
      </c>
      <c r="S375" s="5" t="n"/>
      <c r="T375" s="5" t="n"/>
      <c r="U375" s="11">
        <f>IF(B375="","",TRIM(LOWER(C375)&amp;"|"&amp;LOWER(D375)))</f>
        <v/>
      </c>
    </row>
    <row r="376">
      <c r="A376" s="11">
        <f>IF(B376="","",TEXT(ROW()-3,"""DC-""0000"))</f>
        <v/>
      </c>
      <c r="B376" s="5" t="n"/>
      <c r="C376" s="5" t="n"/>
      <c r="D376" s="5" t="n"/>
      <c r="E376" s="5" t="n"/>
      <c r="F376" s="5" t="n"/>
      <c r="G376" s="5" t="n"/>
      <c r="H376" s="8" t="n"/>
      <c r="I376" s="8" t="n"/>
      <c r="J376" s="8" t="n"/>
      <c r="K376" s="11">
        <f>IF(B376="","",MAX(0,IFERROR(I376,0)*IFERROR(H376,0)-IFERROR(J376,0)))</f>
        <v/>
      </c>
      <c r="L376" s="8" t="n"/>
      <c r="M376" s="11">
        <f>IF(B376="","",MAX(0,K376-L376))</f>
        <v/>
      </c>
      <c r="N376" s="11">
        <f>IF(B376="","",IF(L376&gt;=K376,"Paid",IF(L376&gt;0,"Partial","Unpaid")))</f>
        <v/>
      </c>
      <c r="O376" s="5" t="n"/>
      <c r="P376" s="8" t="n"/>
      <c r="Q376" s="8" t="n"/>
      <c r="R376" s="11">
        <f>IF(B376="","",IFERROR(K376,0)+IFERROR(P376,0)-IFERROR(Q376,0))</f>
        <v/>
      </c>
      <c r="S376" s="5" t="n"/>
      <c r="T376" s="5" t="n"/>
      <c r="U376" s="11">
        <f>IF(B376="","",TRIM(LOWER(C376)&amp;"|"&amp;LOWER(D376)))</f>
        <v/>
      </c>
    </row>
    <row r="377">
      <c r="A377" s="11">
        <f>IF(B377="","",TEXT(ROW()-3,"""DC-""0000"))</f>
        <v/>
      </c>
      <c r="B377" s="5" t="n"/>
      <c r="C377" s="5" t="n"/>
      <c r="D377" s="5" t="n"/>
      <c r="E377" s="5" t="n"/>
      <c r="F377" s="5" t="n"/>
      <c r="G377" s="5" t="n"/>
      <c r="H377" s="8" t="n"/>
      <c r="I377" s="8" t="n"/>
      <c r="J377" s="8" t="n"/>
      <c r="K377" s="11">
        <f>IF(B377="","",MAX(0,IFERROR(I377,0)*IFERROR(H377,0)-IFERROR(J377,0)))</f>
        <v/>
      </c>
      <c r="L377" s="8" t="n"/>
      <c r="M377" s="11">
        <f>IF(B377="","",MAX(0,K377-L377))</f>
        <v/>
      </c>
      <c r="N377" s="11">
        <f>IF(B377="","",IF(L377&gt;=K377,"Paid",IF(L377&gt;0,"Partial","Unpaid")))</f>
        <v/>
      </c>
      <c r="O377" s="5" t="n"/>
      <c r="P377" s="8" t="n"/>
      <c r="Q377" s="8" t="n"/>
      <c r="R377" s="11">
        <f>IF(B377="","",IFERROR(K377,0)+IFERROR(P377,0)-IFERROR(Q377,0))</f>
        <v/>
      </c>
      <c r="S377" s="5" t="n"/>
      <c r="T377" s="5" t="n"/>
      <c r="U377" s="11">
        <f>IF(B377="","",TRIM(LOWER(C377)&amp;"|"&amp;LOWER(D377)))</f>
        <v/>
      </c>
    </row>
    <row r="378">
      <c r="A378" s="11">
        <f>IF(B378="","",TEXT(ROW()-3,"""DC-""0000"))</f>
        <v/>
      </c>
      <c r="B378" s="5" t="n"/>
      <c r="C378" s="5" t="n"/>
      <c r="D378" s="5" t="n"/>
      <c r="E378" s="5" t="n"/>
      <c r="F378" s="5" t="n"/>
      <c r="G378" s="5" t="n"/>
      <c r="H378" s="8" t="n"/>
      <c r="I378" s="8" t="n"/>
      <c r="J378" s="8" t="n"/>
      <c r="K378" s="11">
        <f>IF(B378="","",MAX(0,IFERROR(I378,0)*IFERROR(H378,0)-IFERROR(J378,0)))</f>
        <v/>
      </c>
      <c r="L378" s="8" t="n"/>
      <c r="M378" s="11">
        <f>IF(B378="","",MAX(0,K378-L378))</f>
        <v/>
      </c>
      <c r="N378" s="11">
        <f>IF(B378="","",IF(L378&gt;=K378,"Paid",IF(L378&gt;0,"Partial","Unpaid")))</f>
        <v/>
      </c>
      <c r="O378" s="5" t="n"/>
      <c r="P378" s="8" t="n"/>
      <c r="Q378" s="8" t="n"/>
      <c r="R378" s="11">
        <f>IF(B378="","",IFERROR(K378,0)+IFERROR(P378,0)-IFERROR(Q378,0))</f>
        <v/>
      </c>
      <c r="S378" s="5" t="n"/>
      <c r="T378" s="5" t="n"/>
      <c r="U378" s="11">
        <f>IF(B378="","",TRIM(LOWER(C378)&amp;"|"&amp;LOWER(D378)))</f>
        <v/>
      </c>
    </row>
    <row r="379">
      <c r="A379" s="11">
        <f>IF(B379="","",TEXT(ROW()-3,"""DC-""0000"))</f>
        <v/>
      </c>
      <c r="B379" s="5" t="n"/>
      <c r="C379" s="5" t="n"/>
      <c r="D379" s="5" t="n"/>
      <c r="E379" s="5" t="n"/>
      <c r="F379" s="5" t="n"/>
      <c r="G379" s="5" t="n"/>
      <c r="H379" s="8" t="n"/>
      <c r="I379" s="8" t="n"/>
      <c r="J379" s="8" t="n"/>
      <c r="K379" s="11">
        <f>IF(B379="","",MAX(0,IFERROR(I379,0)*IFERROR(H379,0)-IFERROR(J379,0)))</f>
        <v/>
      </c>
      <c r="L379" s="8" t="n"/>
      <c r="M379" s="11">
        <f>IF(B379="","",MAX(0,K379-L379))</f>
        <v/>
      </c>
      <c r="N379" s="11">
        <f>IF(B379="","",IF(L379&gt;=K379,"Paid",IF(L379&gt;0,"Partial","Unpaid")))</f>
        <v/>
      </c>
      <c r="O379" s="5" t="n"/>
      <c r="P379" s="8" t="n"/>
      <c r="Q379" s="8" t="n"/>
      <c r="R379" s="11">
        <f>IF(B379="","",IFERROR(K379,0)+IFERROR(P379,0)-IFERROR(Q379,0))</f>
        <v/>
      </c>
      <c r="S379" s="5" t="n"/>
      <c r="T379" s="5" t="n"/>
      <c r="U379" s="11">
        <f>IF(B379="","",TRIM(LOWER(C379)&amp;"|"&amp;LOWER(D379)))</f>
        <v/>
      </c>
    </row>
    <row r="380">
      <c r="A380" s="11">
        <f>IF(B380="","",TEXT(ROW()-3,"""DC-""0000"))</f>
        <v/>
      </c>
      <c r="B380" s="5" t="n"/>
      <c r="C380" s="5" t="n"/>
      <c r="D380" s="5" t="n"/>
      <c r="E380" s="5" t="n"/>
      <c r="F380" s="5" t="n"/>
      <c r="G380" s="5" t="n"/>
      <c r="H380" s="8" t="n"/>
      <c r="I380" s="8" t="n"/>
      <c r="J380" s="8" t="n"/>
      <c r="K380" s="11">
        <f>IF(B380="","",MAX(0,IFERROR(I380,0)*IFERROR(H380,0)-IFERROR(J380,0)))</f>
        <v/>
      </c>
      <c r="L380" s="8" t="n"/>
      <c r="M380" s="11">
        <f>IF(B380="","",MAX(0,K380-L380))</f>
        <v/>
      </c>
      <c r="N380" s="11">
        <f>IF(B380="","",IF(L380&gt;=K380,"Paid",IF(L380&gt;0,"Partial","Unpaid")))</f>
        <v/>
      </c>
      <c r="O380" s="5" t="n"/>
      <c r="P380" s="8" t="n"/>
      <c r="Q380" s="8" t="n"/>
      <c r="R380" s="11">
        <f>IF(B380="","",IFERROR(K380,0)+IFERROR(P380,0)-IFERROR(Q380,0))</f>
        <v/>
      </c>
      <c r="S380" s="5" t="n"/>
      <c r="T380" s="5" t="n"/>
      <c r="U380" s="11">
        <f>IF(B380="","",TRIM(LOWER(C380)&amp;"|"&amp;LOWER(D380)))</f>
        <v/>
      </c>
    </row>
    <row r="381">
      <c r="A381" s="11">
        <f>IF(B381="","",TEXT(ROW()-3,"""DC-""0000"))</f>
        <v/>
      </c>
      <c r="B381" s="5" t="n"/>
      <c r="C381" s="5" t="n"/>
      <c r="D381" s="5" t="n"/>
      <c r="E381" s="5" t="n"/>
      <c r="F381" s="5" t="n"/>
      <c r="G381" s="5" t="n"/>
      <c r="H381" s="8" t="n"/>
      <c r="I381" s="8" t="n"/>
      <c r="J381" s="8" t="n"/>
      <c r="K381" s="11">
        <f>IF(B381="","",MAX(0,IFERROR(I381,0)*IFERROR(H381,0)-IFERROR(J381,0)))</f>
        <v/>
      </c>
      <c r="L381" s="8" t="n"/>
      <c r="M381" s="11">
        <f>IF(B381="","",MAX(0,K381-L381))</f>
        <v/>
      </c>
      <c r="N381" s="11">
        <f>IF(B381="","",IF(L381&gt;=K381,"Paid",IF(L381&gt;0,"Partial","Unpaid")))</f>
        <v/>
      </c>
      <c r="O381" s="5" t="n"/>
      <c r="P381" s="8" t="n"/>
      <c r="Q381" s="8" t="n"/>
      <c r="R381" s="11">
        <f>IF(B381="","",IFERROR(K381,0)+IFERROR(P381,0)-IFERROR(Q381,0))</f>
        <v/>
      </c>
      <c r="S381" s="5" t="n"/>
      <c r="T381" s="5" t="n"/>
      <c r="U381" s="11">
        <f>IF(B381="","",TRIM(LOWER(C381)&amp;"|"&amp;LOWER(D381)))</f>
        <v/>
      </c>
    </row>
    <row r="382">
      <c r="A382" s="11">
        <f>IF(B382="","",TEXT(ROW()-3,"""DC-""0000"))</f>
        <v/>
      </c>
      <c r="B382" s="5" t="n"/>
      <c r="C382" s="5" t="n"/>
      <c r="D382" s="5" t="n"/>
      <c r="E382" s="5" t="n"/>
      <c r="F382" s="5" t="n"/>
      <c r="G382" s="5" t="n"/>
      <c r="H382" s="8" t="n"/>
      <c r="I382" s="8" t="n"/>
      <c r="J382" s="8" t="n"/>
      <c r="K382" s="11">
        <f>IF(B382="","",MAX(0,IFERROR(I382,0)*IFERROR(H382,0)-IFERROR(J382,0)))</f>
        <v/>
      </c>
      <c r="L382" s="8" t="n"/>
      <c r="M382" s="11">
        <f>IF(B382="","",MAX(0,K382-L382))</f>
        <v/>
      </c>
      <c r="N382" s="11">
        <f>IF(B382="","",IF(L382&gt;=K382,"Paid",IF(L382&gt;0,"Partial","Unpaid")))</f>
        <v/>
      </c>
      <c r="O382" s="5" t="n"/>
      <c r="P382" s="8" t="n"/>
      <c r="Q382" s="8" t="n"/>
      <c r="R382" s="11">
        <f>IF(B382="","",IFERROR(K382,0)+IFERROR(P382,0)-IFERROR(Q382,0))</f>
        <v/>
      </c>
      <c r="S382" s="5" t="n"/>
      <c r="T382" s="5" t="n"/>
      <c r="U382" s="11">
        <f>IF(B382="","",TRIM(LOWER(C382)&amp;"|"&amp;LOWER(D382)))</f>
        <v/>
      </c>
    </row>
    <row r="383">
      <c r="A383" s="11">
        <f>IF(B383="","",TEXT(ROW()-3,"""DC-""0000"))</f>
        <v/>
      </c>
      <c r="B383" s="5" t="n"/>
      <c r="C383" s="5" t="n"/>
      <c r="D383" s="5" t="n"/>
      <c r="E383" s="5" t="n"/>
      <c r="F383" s="5" t="n"/>
      <c r="G383" s="5" t="n"/>
      <c r="H383" s="8" t="n"/>
      <c r="I383" s="8" t="n"/>
      <c r="J383" s="8" t="n"/>
      <c r="K383" s="11">
        <f>IF(B383="","",MAX(0,IFERROR(I383,0)*IFERROR(H383,0)-IFERROR(J383,0)))</f>
        <v/>
      </c>
      <c r="L383" s="8" t="n"/>
      <c r="M383" s="11">
        <f>IF(B383="","",MAX(0,K383-L383))</f>
        <v/>
      </c>
      <c r="N383" s="11">
        <f>IF(B383="","",IF(L383&gt;=K383,"Paid",IF(L383&gt;0,"Partial","Unpaid")))</f>
        <v/>
      </c>
      <c r="O383" s="5" t="n"/>
      <c r="P383" s="8" t="n"/>
      <c r="Q383" s="8" t="n"/>
      <c r="R383" s="11">
        <f>IF(B383="","",IFERROR(K383,0)+IFERROR(P383,0)-IFERROR(Q383,0))</f>
        <v/>
      </c>
      <c r="S383" s="5" t="n"/>
      <c r="T383" s="5" t="n"/>
      <c r="U383" s="11">
        <f>IF(B383="","",TRIM(LOWER(C383)&amp;"|"&amp;LOWER(D383)))</f>
        <v/>
      </c>
    </row>
    <row r="384">
      <c r="A384" s="11">
        <f>IF(B384="","",TEXT(ROW()-3,"""DC-""0000"))</f>
        <v/>
      </c>
      <c r="B384" s="5" t="n"/>
      <c r="C384" s="5" t="n"/>
      <c r="D384" s="5" t="n"/>
      <c r="E384" s="5" t="n"/>
      <c r="F384" s="5" t="n"/>
      <c r="G384" s="5" t="n"/>
      <c r="H384" s="8" t="n"/>
      <c r="I384" s="8" t="n"/>
      <c r="J384" s="8" t="n"/>
      <c r="K384" s="11">
        <f>IF(B384="","",MAX(0,IFERROR(I384,0)*IFERROR(H384,0)-IFERROR(J384,0)))</f>
        <v/>
      </c>
      <c r="L384" s="8" t="n"/>
      <c r="M384" s="11">
        <f>IF(B384="","",MAX(0,K384-L384))</f>
        <v/>
      </c>
      <c r="N384" s="11">
        <f>IF(B384="","",IF(L384&gt;=K384,"Paid",IF(L384&gt;0,"Partial","Unpaid")))</f>
        <v/>
      </c>
      <c r="O384" s="5" t="n"/>
      <c r="P384" s="8" t="n"/>
      <c r="Q384" s="8" t="n"/>
      <c r="R384" s="11">
        <f>IF(B384="","",IFERROR(K384,0)+IFERROR(P384,0)-IFERROR(Q384,0))</f>
        <v/>
      </c>
      <c r="S384" s="5" t="n"/>
      <c r="T384" s="5" t="n"/>
      <c r="U384" s="11">
        <f>IF(B384="","",TRIM(LOWER(C384)&amp;"|"&amp;LOWER(D384)))</f>
        <v/>
      </c>
    </row>
    <row r="385">
      <c r="A385" s="11">
        <f>IF(B385="","",TEXT(ROW()-3,"""DC-""0000"))</f>
        <v/>
      </c>
      <c r="B385" s="5" t="n"/>
      <c r="C385" s="5" t="n"/>
      <c r="D385" s="5" t="n"/>
      <c r="E385" s="5" t="n"/>
      <c r="F385" s="5" t="n"/>
      <c r="G385" s="5" t="n"/>
      <c r="H385" s="8" t="n"/>
      <c r="I385" s="8" t="n"/>
      <c r="J385" s="8" t="n"/>
      <c r="K385" s="11">
        <f>IF(B385="","",MAX(0,IFERROR(I385,0)*IFERROR(H385,0)-IFERROR(J385,0)))</f>
        <v/>
      </c>
      <c r="L385" s="8" t="n"/>
      <c r="M385" s="11">
        <f>IF(B385="","",MAX(0,K385-L385))</f>
        <v/>
      </c>
      <c r="N385" s="11">
        <f>IF(B385="","",IF(L385&gt;=K385,"Paid",IF(L385&gt;0,"Partial","Unpaid")))</f>
        <v/>
      </c>
      <c r="O385" s="5" t="n"/>
      <c r="P385" s="8" t="n"/>
      <c r="Q385" s="8" t="n"/>
      <c r="R385" s="11">
        <f>IF(B385="","",IFERROR(K385,0)+IFERROR(P385,0)-IFERROR(Q385,0))</f>
        <v/>
      </c>
      <c r="S385" s="5" t="n"/>
      <c r="T385" s="5" t="n"/>
      <c r="U385" s="11">
        <f>IF(B385="","",TRIM(LOWER(C385)&amp;"|"&amp;LOWER(D385)))</f>
        <v/>
      </c>
    </row>
    <row r="386">
      <c r="A386" s="11">
        <f>IF(B386="","",TEXT(ROW()-3,"""DC-""0000"))</f>
        <v/>
      </c>
      <c r="B386" s="5" t="n"/>
      <c r="C386" s="5" t="n"/>
      <c r="D386" s="5" t="n"/>
      <c r="E386" s="5" t="n"/>
      <c r="F386" s="5" t="n"/>
      <c r="G386" s="5" t="n"/>
      <c r="H386" s="8" t="n"/>
      <c r="I386" s="8" t="n"/>
      <c r="J386" s="8" t="n"/>
      <c r="K386" s="11">
        <f>IF(B386="","",MAX(0,IFERROR(I386,0)*IFERROR(H386,0)-IFERROR(J386,0)))</f>
        <v/>
      </c>
      <c r="L386" s="8" t="n"/>
      <c r="M386" s="11">
        <f>IF(B386="","",MAX(0,K386-L386))</f>
        <v/>
      </c>
      <c r="N386" s="11">
        <f>IF(B386="","",IF(L386&gt;=K386,"Paid",IF(L386&gt;0,"Partial","Unpaid")))</f>
        <v/>
      </c>
      <c r="O386" s="5" t="n"/>
      <c r="P386" s="8" t="n"/>
      <c r="Q386" s="8" t="n"/>
      <c r="R386" s="11">
        <f>IF(B386="","",IFERROR(K386,0)+IFERROR(P386,0)-IFERROR(Q386,0))</f>
        <v/>
      </c>
      <c r="S386" s="5" t="n"/>
      <c r="T386" s="5" t="n"/>
      <c r="U386" s="11">
        <f>IF(B386="","",TRIM(LOWER(C386)&amp;"|"&amp;LOWER(D386)))</f>
        <v/>
      </c>
    </row>
    <row r="387">
      <c r="A387" s="11">
        <f>IF(B387="","",TEXT(ROW()-3,"""DC-""0000"))</f>
        <v/>
      </c>
      <c r="B387" s="5" t="n"/>
      <c r="C387" s="5" t="n"/>
      <c r="D387" s="5" t="n"/>
      <c r="E387" s="5" t="n"/>
      <c r="F387" s="5" t="n"/>
      <c r="G387" s="5" t="n"/>
      <c r="H387" s="8" t="n"/>
      <c r="I387" s="8" t="n"/>
      <c r="J387" s="8" t="n"/>
      <c r="K387" s="11">
        <f>IF(B387="","",MAX(0,IFERROR(I387,0)*IFERROR(H387,0)-IFERROR(J387,0)))</f>
        <v/>
      </c>
      <c r="L387" s="8" t="n"/>
      <c r="M387" s="11">
        <f>IF(B387="","",MAX(0,K387-L387))</f>
        <v/>
      </c>
      <c r="N387" s="11">
        <f>IF(B387="","",IF(L387&gt;=K387,"Paid",IF(L387&gt;0,"Partial","Unpaid")))</f>
        <v/>
      </c>
      <c r="O387" s="5" t="n"/>
      <c r="P387" s="8" t="n"/>
      <c r="Q387" s="8" t="n"/>
      <c r="R387" s="11">
        <f>IF(B387="","",IFERROR(K387,0)+IFERROR(P387,0)-IFERROR(Q387,0))</f>
        <v/>
      </c>
      <c r="S387" s="5" t="n"/>
      <c r="T387" s="5" t="n"/>
      <c r="U387" s="11">
        <f>IF(B387="","",TRIM(LOWER(C387)&amp;"|"&amp;LOWER(D387)))</f>
        <v/>
      </c>
    </row>
    <row r="388">
      <c r="A388" s="11">
        <f>IF(B388="","",TEXT(ROW()-3,"""DC-""0000"))</f>
        <v/>
      </c>
      <c r="B388" s="5" t="n"/>
      <c r="C388" s="5" t="n"/>
      <c r="D388" s="5" t="n"/>
      <c r="E388" s="5" t="n"/>
      <c r="F388" s="5" t="n"/>
      <c r="G388" s="5" t="n"/>
      <c r="H388" s="8" t="n"/>
      <c r="I388" s="8" t="n"/>
      <c r="J388" s="8" t="n"/>
      <c r="K388" s="11">
        <f>IF(B388="","",MAX(0,IFERROR(I388,0)*IFERROR(H388,0)-IFERROR(J388,0)))</f>
        <v/>
      </c>
      <c r="L388" s="8" t="n"/>
      <c r="M388" s="11">
        <f>IF(B388="","",MAX(0,K388-L388))</f>
        <v/>
      </c>
      <c r="N388" s="11">
        <f>IF(B388="","",IF(L388&gt;=K388,"Paid",IF(L388&gt;0,"Partial","Unpaid")))</f>
        <v/>
      </c>
      <c r="O388" s="5" t="n"/>
      <c r="P388" s="8" t="n"/>
      <c r="Q388" s="8" t="n"/>
      <c r="R388" s="11">
        <f>IF(B388="","",IFERROR(K388,0)+IFERROR(P388,0)-IFERROR(Q388,0))</f>
        <v/>
      </c>
      <c r="S388" s="5" t="n"/>
      <c r="T388" s="5" t="n"/>
      <c r="U388" s="11">
        <f>IF(B388="","",TRIM(LOWER(C388)&amp;"|"&amp;LOWER(D388)))</f>
        <v/>
      </c>
    </row>
    <row r="389">
      <c r="A389" s="11">
        <f>IF(B389="","",TEXT(ROW()-3,"""DC-""0000"))</f>
        <v/>
      </c>
      <c r="B389" s="5" t="n"/>
      <c r="C389" s="5" t="n"/>
      <c r="D389" s="5" t="n"/>
      <c r="E389" s="5" t="n"/>
      <c r="F389" s="5" t="n"/>
      <c r="G389" s="5" t="n"/>
      <c r="H389" s="8" t="n"/>
      <c r="I389" s="8" t="n"/>
      <c r="J389" s="8" t="n"/>
      <c r="K389" s="11">
        <f>IF(B389="","",MAX(0,IFERROR(I389,0)*IFERROR(H389,0)-IFERROR(J389,0)))</f>
        <v/>
      </c>
      <c r="L389" s="8" t="n"/>
      <c r="M389" s="11">
        <f>IF(B389="","",MAX(0,K389-L389))</f>
        <v/>
      </c>
      <c r="N389" s="11">
        <f>IF(B389="","",IF(L389&gt;=K389,"Paid",IF(L389&gt;0,"Partial","Unpaid")))</f>
        <v/>
      </c>
      <c r="O389" s="5" t="n"/>
      <c r="P389" s="8" t="n"/>
      <c r="Q389" s="8" t="n"/>
      <c r="R389" s="11">
        <f>IF(B389="","",IFERROR(K389,0)+IFERROR(P389,0)-IFERROR(Q389,0))</f>
        <v/>
      </c>
      <c r="S389" s="5" t="n"/>
      <c r="T389" s="5" t="n"/>
      <c r="U389" s="11">
        <f>IF(B389="","",TRIM(LOWER(C389)&amp;"|"&amp;LOWER(D389)))</f>
        <v/>
      </c>
    </row>
    <row r="390">
      <c r="A390" s="11">
        <f>IF(B390="","",TEXT(ROW()-3,"""DC-""0000"))</f>
        <v/>
      </c>
      <c r="B390" s="5" t="n"/>
      <c r="C390" s="5" t="n"/>
      <c r="D390" s="5" t="n"/>
      <c r="E390" s="5" t="n"/>
      <c r="F390" s="5" t="n"/>
      <c r="G390" s="5" t="n"/>
      <c r="H390" s="8" t="n"/>
      <c r="I390" s="8" t="n"/>
      <c r="J390" s="8" t="n"/>
      <c r="K390" s="11">
        <f>IF(B390="","",MAX(0,IFERROR(I390,0)*IFERROR(H390,0)-IFERROR(J390,0)))</f>
        <v/>
      </c>
      <c r="L390" s="8" t="n"/>
      <c r="M390" s="11">
        <f>IF(B390="","",MAX(0,K390-L390))</f>
        <v/>
      </c>
      <c r="N390" s="11">
        <f>IF(B390="","",IF(L390&gt;=K390,"Paid",IF(L390&gt;0,"Partial","Unpaid")))</f>
        <v/>
      </c>
      <c r="O390" s="5" t="n"/>
      <c r="P390" s="8" t="n"/>
      <c r="Q390" s="8" t="n"/>
      <c r="R390" s="11">
        <f>IF(B390="","",IFERROR(K390,0)+IFERROR(P390,0)-IFERROR(Q390,0))</f>
        <v/>
      </c>
      <c r="S390" s="5" t="n"/>
      <c r="T390" s="5" t="n"/>
      <c r="U390" s="11">
        <f>IF(B390="","",TRIM(LOWER(C390)&amp;"|"&amp;LOWER(D390)))</f>
        <v/>
      </c>
    </row>
    <row r="391">
      <c r="A391" s="11">
        <f>IF(B391="","",TEXT(ROW()-3,"""DC-""0000"))</f>
        <v/>
      </c>
      <c r="B391" s="5" t="n"/>
      <c r="C391" s="5" t="n"/>
      <c r="D391" s="5" t="n"/>
      <c r="E391" s="5" t="n"/>
      <c r="F391" s="5" t="n"/>
      <c r="G391" s="5" t="n"/>
      <c r="H391" s="8" t="n"/>
      <c r="I391" s="8" t="n"/>
      <c r="J391" s="8" t="n"/>
      <c r="K391" s="11">
        <f>IF(B391="","",MAX(0,IFERROR(I391,0)*IFERROR(H391,0)-IFERROR(J391,0)))</f>
        <v/>
      </c>
      <c r="L391" s="8" t="n"/>
      <c r="M391" s="11">
        <f>IF(B391="","",MAX(0,K391-L391))</f>
        <v/>
      </c>
      <c r="N391" s="11">
        <f>IF(B391="","",IF(L391&gt;=K391,"Paid",IF(L391&gt;0,"Partial","Unpaid")))</f>
        <v/>
      </c>
      <c r="O391" s="5" t="n"/>
      <c r="P391" s="8" t="n"/>
      <c r="Q391" s="8" t="n"/>
      <c r="R391" s="11">
        <f>IF(B391="","",IFERROR(K391,0)+IFERROR(P391,0)-IFERROR(Q391,0))</f>
        <v/>
      </c>
      <c r="S391" s="5" t="n"/>
      <c r="T391" s="5" t="n"/>
      <c r="U391" s="11">
        <f>IF(B391="","",TRIM(LOWER(C391)&amp;"|"&amp;LOWER(D391)))</f>
        <v/>
      </c>
    </row>
    <row r="392">
      <c r="A392" s="11">
        <f>IF(B392="","",TEXT(ROW()-3,"""DC-""0000"))</f>
        <v/>
      </c>
      <c r="B392" s="5" t="n"/>
      <c r="C392" s="5" t="n"/>
      <c r="D392" s="5" t="n"/>
      <c r="E392" s="5" t="n"/>
      <c r="F392" s="5" t="n"/>
      <c r="G392" s="5" t="n"/>
      <c r="H392" s="8" t="n"/>
      <c r="I392" s="8" t="n"/>
      <c r="J392" s="8" t="n"/>
      <c r="K392" s="11">
        <f>IF(B392="","",MAX(0,IFERROR(I392,0)*IFERROR(H392,0)-IFERROR(J392,0)))</f>
        <v/>
      </c>
      <c r="L392" s="8" t="n"/>
      <c r="M392" s="11">
        <f>IF(B392="","",MAX(0,K392-L392))</f>
        <v/>
      </c>
      <c r="N392" s="11">
        <f>IF(B392="","",IF(L392&gt;=K392,"Paid",IF(L392&gt;0,"Partial","Unpaid")))</f>
        <v/>
      </c>
      <c r="O392" s="5" t="n"/>
      <c r="P392" s="8" t="n"/>
      <c r="Q392" s="8" t="n"/>
      <c r="R392" s="11">
        <f>IF(B392="","",IFERROR(K392,0)+IFERROR(P392,0)-IFERROR(Q392,0))</f>
        <v/>
      </c>
      <c r="S392" s="5" t="n"/>
      <c r="T392" s="5" t="n"/>
      <c r="U392" s="11">
        <f>IF(B392="","",TRIM(LOWER(C392)&amp;"|"&amp;LOWER(D392)))</f>
        <v/>
      </c>
    </row>
    <row r="393">
      <c r="A393" s="11">
        <f>IF(B393="","",TEXT(ROW()-3,"""DC-""0000"))</f>
        <v/>
      </c>
      <c r="B393" s="5" t="n"/>
      <c r="C393" s="5" t="n"/>
      <c r="D393" s="5" t="n"/>
      <c r="E393" s="5" t="n"/>
      <c r="F393" s="5" t="n"/>
      <c r="G393" s="5" t="n"/>
      <c r="H393" s="8" t="n"/>
      <c r="I393" s="8" t="n"/>
      <c r="J393" s="8" t="n"/>
      <c r="K393" s="11">
        <f>IF(B393="","",MAX(0,IFERROR(I393,0)*IFERROR(H393,0)-IFERROR(J393,0)))</f>
        <v/>
      </c>
      <c r="L393" s="8" t="n"/>
      <c r="M393" s="11">
        <f>IF(B393="","",MAX(0,K393-L393))</f>
        <v/>
      </c>
      <c r="N393" s="11">
        <f>IF(B393="","",IF(L393&gt;=K393,"Paid",IF(L393&gt;0,"Partial","Unpaid")))</f>
        <v/>
      </c>
      <c r="O393" s="5" t="n"/>
      <c r="P393" s="8" t="n"/>
      <c r="Q393" s="8" t="n"/>
      <c r="R393" s="11">
        <f>IF(B393="","",IFERROR(K393,0)+IFERROR(P393,0)-IFERROR(Q393,0))</f>
        <v/>
      </c>
      <c r="S393" s="5" t="n"/>
      <c r="T393" s="5" t="n"/>
      <c r="U393" s="11">
        <f>IF(B393="","",TRIM(LOWER(C393)&amp;"|"&amp;LOWER(D393)))</f>
        <v/>
      </c>
    </row>
    <row r="394">
      <c r="A394" s="11">
        <f>IF(B394="","",TEXT(ROW()-3,"""DC-""0000"))</f>
        <v/>
      </c>
      <c r="B394" s="5" t="n"/>
      <c r="C394" s="5" t="n"/>
      <c r="D394" s="5" t="n"/>
      <c r="E394" s="5" t="n"/>
      <c r="F394" s="5" t="n"/>
      <c r="G394" s="5" t="n"/>
      <c r="H394" s="8" t="n"/>
      <c r="I394" s="8" t="n"/>
      <c r="J394" s="8" t="n"/>
      <c r="K394" s="11">
        <f>IF(B394="","",MAX(0,IFERROR(I394,0)*IFERROR(H394,0)-IFERROR(J394,0)))</f>
        <v/>
      </c>
      <c r="L394" s="8" t="n"/>
      <c r="M394" s="11">
        <f>IF(B394="","",MAX(0,K394-L394))</f>
        <v/>
      </c>
      <c r="N394" s="11">
        <f>IF(B394="","",IF(L394&gt;=K394,"Paid",IF(L394&gt;0,"Partial","Unpaid")))</f>
        <v/>
      </c>
      <c r="O394" s="5" t="n"/>
      <c r="P394" s="8" t="n"/>
      <c r="Q394" s="8" t="n"/>
      <c r="R394" s="11">
        <f>IF(B394="","",IFERROR(K394,0)+IFERROR(P394,0)-IFERROR(Q394,0))</f>
        <v/>
      </c>
      <c r="S394" s="5" t="n"/>
      <c r="T394" s="5" t="n"/>
      <c r="U394" s="11">
        <f>IF(B394="","",TRIM(LOWER(C394)&amp;"|"&amp;LOWER(D394)))</f>
        <v/>
      </c>
    </row>
    <row r="395">
      <c r="A395" s="11">
        <f>IF(B395="","",TEXT(ROW()-3,"""DC-""0000"))</f>
        <v/>
      </c>
      <c r="B395" s="5" t="n"/>
      <c r="C395" s="5" t="n"/>
      <c r="D395" s="5" t="n"/>
      <c r="E395" s="5" t="n"/>
      <c r="F395" s="5" t="n"/>
      <c r="G395" s="5" t="n"/>
      <c r="H395" s="8" t="n"/>
      <c r="I395" s="8" t="n"/>
      <c r="J395" s="8" t="n"/>
      <c r="K395" s="11">
        <f>IF(B395="","",MAX(0,IFERROR(I395,0)*IFERROR(H395,0)-IFERROR(J395,0)))</f>
        <v/>
      </c>
      <c r="L395" s="8" t="n"/>
      <c r="M395" s="11">
        <f>IF(B395="","",MAX(0,K395-L395))</f>
        <v/>
      </c>
      <c r="N395" s="11">
        <f>IF(B395="","",IF(L395&gt;=K395,"Paid",IF(L395&gt;0,"Partial","Unpaid")))</f>
        <v/>
      </c>
      <c r="O395" s="5" t="n"/>
      <c r="P395" s="8" t="n"/>
      <c r="Q395" s="8" t="n"/>
      <c r="R395" s="11">
        <f>IF(B395="","",IFERROR(K395,0)+IFERROR(P395,0)-IFERROR(Q395,0))</f>
        <v/>
      </c>
      <c r="S395" s="5" t="n"/>
      <c r="T395" s="5" t="n"/>
      <c r="U395" s="11">
        <f>IF(B395="","",TRIM(LOWER(C395)&amp;"|"&amp;LOWER(D395)))</f>
        <v/>
      </c>
    </row>
    <row r="396">
      <c r="A396" s="11">
        <f>IF(B396="","",TEXT(ROW()-3,"""DC-""0000"))</f>
        <v/>
      </c>
      <c r="B396" s="5" t="n"/>
      <c r="C396" s="5" t="n"/>
      <c r="D396" s="5" t="n"/>
      <c r="E396" s="5" t="n"/>
      <c r="F396" s="5" t="n"/>
      <c r="G396" s="5" t="n"/>
      <c r="H396" s="8" t="n"/>
      <c r="I396" s="8" t="n"/>
      <c r="J396" s="8" t="n"/>
      <c r="K396" s="11">
        <f>IF(B396="","",MAX(0,IFERROR(I396,0)*IFERROR(H396,0)-IFERROR(J396,0)))</f>
        <v/>
      </c>
      <c r="L396" s="8" t="n"/>
      <c r="M396" s="11">
        <f>IF(B396="","",MAX(0,K396-L396))</f>
        <v/>
      </c>
      <c r="N396" s="11">
        <f>IF(B396="","",IF(L396&gt;=K396,"Paid",IF(L396&gt;0,"Partial","Unpaid")))</f>
        <v/>
      </c>
      <c r="O396" s="5" t="n"/>
      <c r="P396" s="8" t="n"/>
      <c r="Q396" s="8" t="n"/>
      <c r="R396" s="11">
        <f>IF(B396="","",IFERROR(K396,0)+IFERROR(P396,0)-IFERROR(Q396,0))</f>
        <v/>
      </c>
      <c r="S396" s="5" t="n"/>
      <c r="T396" s="5" t="n"/>
      <c r="U396" s="11">
        <f>IF(B396="","",TRIM(LOWER(C396)&amp;"|"&amp;LOWER(D396)))</f>
        <v/>
      </c>
    </row>
    <row r="397">
      <c r="A397" s="11">
        <f>IF(B397="","",TEXT(ROW()-3,"""DC-""0000"))</f>
        <v/>
      </c>
      <c r="B397" s="5" t="n"/>
      <c r="C397" s="5" t="n"/>
      <c r="D397" s="5" t="n"/>
      <c r="E397" s="5" t="n"/>
      <c r="F397" s="5" t="n"/>
      <c r="G397" s="5" t="n"/>
      <c r="H397" s="8" t="n"/>
      <c r="I397" s="8" t="n"/>
      <c r="J397" s="8" t="n"/>
      <c r="K397" s="11">
        <f>IF(B397="","",MAX(0,IFERROR(I397,0)*IFERROR(H397,0)-IFERROR(J397,0)))</f>
        <v/>
      </c>
      <c r="L397" s="8" t="n"/>
      <c r="M397" s="11">
        <f>IF(B397="","",MAX(0,K397-L397))</f>
        <v/>
      </c>
      <c r="N397" s="11">
        <f>IF(B397="","",IF(L397&gt;=K397,"Paid",IF(L397&gt;0,"Partial","Unpaid")))</f>
        <v/>
      </c>
      <c r="O397" s="5" t="n"/>
      <c r="P397" s="8" t="n"/>
      <c r="Q397" s="8" t="n"/>
      <c r="R397" s="11">
        <f>IF(B397="","",IFERROR(K397,0)+IFERROR(P397,0)-IFERROR(Q397,0))</f>
        <v/>
      </c>
      <c r="S397" s="5" t="n"/>
      <c r="T397" s="5" t="n"/>
      <c r="U397" s="11">
        <f>IF(B397="","",TRIM(LOWER(C397)&amp;"|"&amp;LOWER(D397)))</f>
        <v/>
      </c>
    </row>
    <row r="398">
      <c r="A398" s="11">
        <f>IF(B398="","",TEXT(ROW()-3,"""DC-""0000"))</f>
        <v/>
      </c>
      <c r="B398" s="5" t="n"/>
      <c r="C398" s="5" t="n"/>
      <c r="D398" s="5" t="n"/>
      <c r="E398" s="5" t="n"/>
      <c r="F398" s="5" t="n"/>
      <c r="G398" s="5" t="n"/>
      <c r="H398" s="8" t="n"/>
      <c r="I398" s="8" t="n"/>
      <c r="J398" s="8" t="n"/>
      <c r="K398" s="11">
        <f>IF(B398="","",MAX(0,IFERROR(I398,0)*IFERROR(H398,0)-IFERROR(J398,0)))</f>
        <v/>
      </c>
      <c r="L398" s="8" t="n"/>
      <c r="M398" s="11">
        <f>IF(B398="","",MAX(0,K398-L398))</f>
        <v/>
      </c>
      <c r="N398" s="11">
        <f>IF(B398="","",IF(L398&gt;=K398,"Paid",IF(L398&gt;0,"Partial","Unpaid")))</f>
        <v/>
      </c>
      <c r="O398" s="5" t="n"/>
      <c r="P398" s="8" t="n"/>
      <c r="Q398" s="8" t="n"/>
      <c r="R398" s="11">
        <f>IF(B398="","",IFERROR(K398,0)+IFERROR(P398,0)-IFERROR(Q398,0))</f>
        <v/>
      </c>
      <c r="S398" s="5" t="n"/>
      <c r="T398" s="5" t="n"/>
      <c r="U398" s="11">
        <f>IF(B398="","",TRIM(LOWER(C398)&amp;"|"&amp;LOWER(D398)))</f>
        <v/>
      </c>
    </row>
    <row r="399">
      <c r="A399" s="11">
        <f>IF(B399="","",TEXT(ROW()-3,"""DC-""0000"))</f>
        <v/>
      </c>
      <c r="B399" s="5" t="n"/>
      <c r="C399" s="5" t="n"/>
      <c r="D399" s="5" t="n"/>
      <c r="E399" s="5" t="n"/>
      <c r="F399" s="5" t="n"/>
      <c r="G399" s="5" t="n"/>
      <c r="H399" s="8" t="n"/>
      <c r="I399" s="8" t="n"/>
      <c r="J399" s="8" t="n"/>
      <c r="K399" s="11">
        <f>IF(B399="","",MAX(0,IFERROR(I399,0)*IFERROR(H399,0)-IFERROR(J399,0)))</f>
        <v/>
      </c>
      <c r="L399" s="8" t="n"/>
      <c r="M399" s="11">
        <f>IF(B399="","",MAX(0,K399-L399))</f>
        <v/>
      </c>
      <c r="N399" s="11">
        <f>IF(B399="","",IF(L399&gt;=K399,"Paid",IF(L399&gt;0,"Partial","Unpaid")))</f>
        <v/>
      </c>
      <c r="O399" s="5" t="n"/>
      <c r="P399" s="8" t="n"/>
      <c r="Q399" s="8" t="n"/>
      <c r="R399" s="11">
        <f>IF(B399="","",IFERROR(K399,0)+IFERROR(P399,0)-IFERROR(Q399,0))</f>
        <v/>
      </c>
      <c r="S399" s="5" t="n"/>
      <c r="T399" s="5" t="n"/>
      <c r="U399" s="11">
        <f>IF(B399="","",TRIM(LOWER(C399)&amp;"|"&amp;LOWER(D399)))</f>
        <v/>
      </c>
    </row>
    <row r="400">
      <c r="A400" s="11">
        <f>IF(B400="","",TEXT(ROW()-3,"""DC-""0000"))</f>
        <v/>
      </c>
      <c r="B400" s="5" t="n"/>
      <c r="C400" s="5" t="n"/>
      <c r="D400" s="5" t="n"/>
      <c r="E400" s="5" t="n"/>
      <c r="F400" s="5" t="n"/>
      <c r="G400" s="5" t="n"/>
      <c r="H400" s="8" t="n"/>
      <c r="I400" s="8" t="n"/>
      <c r="J400" s="8" t="n"/>
      <c r="K400" s="11">
        <f>IF(B400="","",MAX(0,IFERROR(I400,0)*IFERROR(H400,0)-IFERROR(J400,0)))</f>
        <v/>
      </c>
      <c r="L400" s="8" t="n"/>
      <c r="M400" s="11">
        <f>IF(B400="","",MAX(0,K400-L400))</f>
        <v/>
      </c>
      <c r="N400" s="11">
        <f>IF(B400="","",IF(L400&gt;=K400,"Paid",IF(L400&gt;0,"Partial","Unpaid")))</f>
        <v/>
      </c>
      <c r="O400" s="5" t="n"/>
      <c r="P400" s="8" t="n"/>
      <c r="Q400" s="8" t="n"/>
      <c r="R400" s="11">
        <f>IF(B400="","",IFERROR(K400,0)+IFERROR(P400,0)-IFERROR(Q400,0))</f>
        <v/>
      </c>
      <c r="S400" s="5" t="n"/>
      <c r="T400" s="5" t="n"/>
      <c r="U400" s="11">
        <f>IF(B400="","",TRIM(LOWER(C400)&amp;"|"&amp;LOWER(D400)))</f>
        <v/>
      </c>
    </row>
    <row r="401">
      <c r="A401" s="11">
        <f>IF(B401="","",TEXT(ROW()-3,"""DC-""0000"))</f>
        <v/>
      </c>
      <c r="B401" s="5" t="n"/>
      <c r="C401" s="5" t="n"/>
      <c r="D401" s="5" t="n"/>
      <c r="E401" s="5" t="n"/>
      <c r="F401" s="5" t="n"/>
      <c r="G401" s="5" t="n"/>
      <c r="H401" s="8" t="n"/>
      <c r="I401" s="8" t="n"/>
      <c r="J401" s="8" t="n"/>
      <c r="K401" s="11">
        <f>IF(B401="","",MAX(0,IFERROR(I401,0)*IFERROR(H401,0)-IFERROR(J401,0)))</f>
        <v/>
      </c>
      <c r="L401" s="8" t="n"/>
      <c r="M401" s="11">
        <f>IF(B401="","",MAX(0,K401-L401))</f>
        <v/>
      </c>
      <c r="N401" s="11">
        <f>IF(B401="","",IF(L401&gt;=K401,"Paid",IF(L401&gt;0,"Partial","Unpaid")))</f>
        <v/>
      </c>
      <c r="O401" s="5" t="n"/>
      <c r="P401" s="8" t="n"/>
      <c r="Q401" s="8" t="n"/>
      <c r="R401" s="11">
        <f>IF(B401="","",IFERROR(K401,0)+IFERROR(P401,0)-IFERROR(Q401,0))</f>
        <v/>
      </c>
      <c r="S401" s="5" t="n"/>
      <c r="T401" s="5" t="n"/>
      <c r="U401" s="11">
        <f>IF(B401="","",TRIM(LOWER(C401)&amp;"|"&amp;LOWER(D401)))</f>
        <v/>
      </c>
    </row>
    <row r="402">
      <c r="A402" s="11">
        <f>IF(B402="","",TEXT(ROW()-3,"""DC-""0000"))</f>
        <v/>
      </c>
      <c r="B402" s="5" t="n"/>
      <c r="C402" s="5" t="n"/>
      <c r="D402" s="5" t="n"/>
      <c r="E402" s="5" t="n"/>
      <c r="F402" s="5" t="n"/>
      <c r="G402" s="5" t="n"/>
      <c r="H402" s="8" t="n"/>
      <c r="I402" s="8" t="n"/>
      <c r="J402" s="8" t="n"/>
      <c r="K402" s="11">
        <f>IF(B402="","",MAX(0,IFERROR(I402,0)*IFERROR(H402,0)-IFERROR(J402,0)))</f>
        <v/>
      </c>
      <c r="L402" s="8" t="n"/>
      <c r="M402" s="11">
        <f>IF(B402="","",MAX(0,K402-L402))</f>
        <v/>
      </c>
      <c r="N402" s="11">
        <f>IF(B402="","",IF(L402&gt;=K402,"Paid",IF(L402&gt;0,"Partial","Unpaid")))</f>
        <v/>
      </c>
      <c r="O402" s="5" t="n"/>
      <c r="P402" s="8" t="n"/>
      <c r="Q402" s="8" t="n"/>
      <c r="R402" s="11">
        <f>IF(B402="","",IFERROR(K402,0)+IFERROR(P402,0)-IFERROR(Q402,0))</f>
        <v/>
      </c>
      <c r="S402" s="5" t="n"/>
      <c r="T402" s="5" t="n"/>
      <c r="U402" s="11">
        <f>IF(B402="","",TRIM(LOWER(C402)&amp;"|"&amp;LOWER(D402)))</f>
        <v/>
      </c>
    </row>
    <row r="403">
      <c r="A403" s="11">
        <f>IF(B403="","",TEXT(ROW()-3,"""DC-""0000"))</f>
        <v/>
      </c>
      <c r="B403" s="5" t="n"/>
      <c r="C403" s="5" t="n"/>
      <c r="D403" s="5" t="n"/>
      <c r="E403" s="5" t="n"/>
      <c r="F403" s="5" t="n"/>
      <c r="G403" s="5" t="n"/>
      <c r="H403" s="8" t="n"/>
      <c r="I403" s="8" t="n"/>
      <c r="J403" s="8" t="n"/>
      <c r="K403" s="11">
        <f>IF(B403="","",MAX(0,IFERROR(I403,0)*IFERROR(H403,0)-IFERROR(J403,0)))</f>
        <v/>
      </c>
      <c r="L403" s="8" t="n"/>
      <c r="M403" s="11">
        <f>IF(B403="","",MAX(0,K403-L403))</f>
        <v/>
      </c>
      <c r="N403" s="11">
        <f>IF(B403="","",IF(L403&gt;=K403,"Paid",IF(L403&gt;0,"Partial","Unpaid")))</f>
        <v/>
      </c>
      <c r="O403" s="5" t="n"/>
      <c r="P403" s="8" t="n"/>
      <c r="Q403" s="8" t="n"/>
      <c r="R403" s="11">
        <f>IF(B403="","",IFERROR(K403,0)+IFERROR(P403,0)-IFERROR(Q403,0))</f>
        <v/>
      </c>
      <c r="S403" s="5" t="n"/>
      <c r="T403" s="5" t="n"/>
      <c r="U403" s="11">
        <f>IF(B403="","",TRIM(LOWER(C403)&amp;"|"&amp;LOWER(D403)))</f>
        <v/>
      </c>
    </row>
    <row r="404">
      <c r="A404" s="11">
        <f>IF(B404="","",TEXT(ROW()-3,"""DC-""0000"))</f>
        <v/>
      </c>
      <c r="B404" s="5" t="n"/>
      <c r="C404" s="5" t="n"/>
      <c r="D404" s="5" t="n"/>
      <c r="E404" s="5" t="n"/>
      <c r="F404" s="5" t="n"/>
      <c r="G404" s="5" t="n"/>
      <c r="H404" s="8" t="n"/>
      <c r="I404" s="8" t="n"/>
      <c r="J404" s="8" t="n"/>
      <c r="K404" s="11">
        <f>IF(B404="","",MAX(0,IFERROR(I404,0)*IFERROR(H404,0)-IFERROR(J404,0)))</f>
        <v/>
      </c>
      <c r="L404" s="8" t="n"/>
      <c r="M404" s="11">
        <f>IF(B404="","",MAX(0,K404-L404))</f>
        <v/>
      </c>
      <c r="N404" s="11">
        <f>IF(B404="","",IF(L404&gt;=K404,"Paid",IF(L404&gt;0,"Partial","Unpaid")))</f>
        <v/>
      </c>
      <c r="O404" s="5" t="n"/>
      <c r="P404" s="8" t="n"/>
      <c r="Q404" s="8" t="n"/>
      <c r="R404" s="11">
        <f>IF(B404="","",IFERROR(K404,0)+IFERROR(P404,0)-IFERROR(Q404,0))</f>
        <v/>
      </c>
      <c r="S404" s="5" t="n"/>
      <c r="T404" s="5" t="n"/>
      <c r="U404" s="11">
        <f>IF(B404="","",TRIM(LOWER(C404)&amp;"|"&amp;LOWER(D404)))</f>
        <v/>
      </c>
    </row>
    <row r="405">
      <c r="A405" s="11">
        <f>IF(B405="","",TEXT(ROW()-3,"""DC-""0000"))</f>
        <v/>
      </c>
      <c r="B405" s="5" t="n"/>
      <c r="C405" s="5" t="n"/>
      <c r="D405" s="5" t="n"/>
      <c r="E405" s="5" t="n"/>
      <c r="F405" s="5" t="n"/>
      <c r="G405" s="5" t="n"/>
      <c r="H405" s="8" t="n"/>
      <c r="I405" s="8" t="n"/>
      <c r="J405" s="8" t="n"/>
      <c r="K405" s="11">
        <f>IF(B405="","",MAX(0,IFERROR(I405,0)*IFERROR(H405,0)-IFERROR(J405,0)))</f>
        <v/>
      </c>
      <c r="L405" s="8" t="n"/>
      <c r="M405" s="11">
        <f>IF(B405="","",MAX(0,K405-L405))</f>
        <v/>
      </c>
      <c r="N405" s="11">
        <f>IF(B405="","",IF(L405&gt;=K405,"Paid",IF(L405&gt;0,"Partial","Unpaid")))</f>
        <v/>
      </c>
      <c r="O405" s="5" t="n"/>
      <c r="P405" s="8" t="n"/>
      <c r="Q405" s="8" t="n"/>
      <c r="R405" s="11">
        <f>IF(B405="","",IFERROR(K405,0)+IFERROR(P405,0)-IFERROR(Q405,0))</f>
        <v/>
      </c>
      <c r="S405" s="5" t="n"/>
      <c r="T405" s="5" t="n"/>
      <c r="U405" s="11">
        <f>IF(B405="","",TRIM(LOWER(C405)&amp;"|"&amp;LOWER(D405)))</f>
        <v/>
      </c>
    </row>
    <row r="406">
      <c r="A406" s="11">
        <f>IF(B406="","",TEXT(ROW()-3,"""DC-""0000"))</f>
        <v/>
      </c>
      <c r="B406" s="5" t="n"/>
      <c r="C406" s="5" t="n"/>
      <c r="D406" s="5" t="n"/>
      <c r="E406" s="5" t="n"/>
      <c r="F406" s="5" t="n"/>
      <c r="G406" s="5" t="n"/>
      <c r="H406" s="8" t="n"/>
      <c r="I406" s="8" t="n"/>
      <c r="J406" s="8" t="n"/>
      <c r="K406" s="11">
        <f>IF(B406="","",MAX(0,IFERROR(I406,0)*IFERROR(H406,0)-IFERROR(J406,0)))</f>
        <v/>
      </c>
      <c r="L406" s="8" t="n"/>
      <c r="M406" s="11">
        <f>IF(B406="","",MAX(0,K406-L406))</f>
        <v/>
      </c>
      <c r="N406" s="11">
        <f>IF(B406="","",IF(L406&gt;=K406,"Paid",IF(L406&gt;0,"Partial","Unpaid")))</f>
        <v/>
      </c>
      <c r="O406" s="5" t="n"/>
      <c r="P406" s="8" t="n"/>
      <c r="Q406" s="8" t="n"/>
      <c r="R406" s="11">
        <f>IF(B406="","",IFERROR(K406,0)+IFERROR(P406,0)-IFERROR(Q406,0))</f>
        <v/>
      </c>
      <c r="S406" s="5" t="n"/>
      <c r="T406" s="5" t="n"/>
      <c r="U406" s="11">
        <f>IF(B406="","",TRIM(LOWER(C406)&amp;"|"&amp;LOWER(D406)))</f>
        <v/>
      </c>
    </row>
    <row r="407">
      <c r="A407" s="11">
        <f>IF(B407="","",TEXT(ROW()-3,"""DC-""0000"))</f>
        <v/>
      </c>
      <c r="B407" s="5" t="n"/>
      <c r="C407" s="5" t="n"/>
      <c r="D407" s="5" t="n"/>
      <c r="E407" s="5" t="n"/>
      <c r="F407" s="5" t="n"/>
      <c r="G407" s="5" t="n"/>
      <c r="H407" s="8" t="n"/>
      <c r="I407" s="8" t="n"/>
      <c r="J407" s="8" t="n"/>
      <c r="K407" s="11">
        <f>IF(B407="","",MAX(0,IFERROR(I407,0)*IFERROR(H407,0)-IFERROR(J407,0)))</f>
        <v/>
      </c>
      <c r="L407" s="8" t="n"/>
      <c r="M407" s="11">
        <f>IF(B407="","",MAX(0,K407-L407))</f>
        <v/>
      </c>
      <c r="N407" s="11">
        <f>IF(B407="","",IF(L407&gt;=K407,"Paid",IF(L407&gt;0,"Partial","Unpaid")))</f>
        <v/>
      </c>
      <c r="O407" s="5" t="n"/>
      <c r="P407" s="8" t="n"/>
      <c r="Q407" s="8" t="n"/>
      <c r="R407" s="11">
        <f>IF(B407="","",IFERROR(K407,0)+IFERROR(P407,0)-IFERROR(Q407,0))</f>
        <v/>
      </c>
      <c r="S407" s="5" t="n"/>
      <c r="T407" s="5" t="n"/>
      <c r="U407" s="11">
        <f>IF(B407="","",TRIM(LOWER(C407)&amp;"|"&amp;LOWER(D407)))</f>
        <v/>
      </c>
    </row>
    <row r="408">
      <c r="A408" s="11">
        <f>IF(B408="","",TEXT(ROW()-3,"""DC-""0000"))</f>
        <v/>
      </c>
      <c r="B408" s="5" t="n"/>
      <c r="C408" s="5" t="n"/>
      <c r="D408" s="5" t="n"/>
      <c r="E408" s="5" t="n"/>
      <c r="F408" s="5" t="n"/>
      <c r="G408" s="5" t="n"/>
      <c r="H408" s="8" t="n"/>
      <c r="I408" s="8" t="n"/>
      <c r="J408" s="8" t="n"/>
      <c r="K408" s="11">
        <f>IF(B408="","",MAX(0,IFERROR(I408,0)*IFERROR(H408,0)-IFERROR(J408,0)))</f>
        <v/>
      </c>
      <c r="L408" s="8" t="n"/>
      <c r="M408" s="11">
        <f>IF(B408="","",MAX(0,K408-L408))</f>
        <v/>
      </c>
      <c r="N408" s="11">
        <f>IF(B408="","",IF(L408&gt;=K408,"Paid",IF(L408&gt;0,"Partial","Unpaid")))</f>
        <v/>
      </c>
      <c r="O408" s="5" t="n"/>
      <c r="P408" s="8" t="n"/>
      <c r="Q408" s="8" t="n"/>
      <c r="R408" s="11">
        <f>IF(B408="","",IFERROR(K408,0)+IFERROR(P408,0)-IFERROR(Q408,0))</f>
        <v/>
      </c>
      <c r="S408" s="5" t="n"/>
      <c r="T408" s="5" t="n"/>
      <c r="U408" s="11">
        <f>IF(B408="","",TRIM(LOWER(C408)&amp;"|"&amp;LOWER(D408)))</f>
        <v/>
      </c>
    </row>
    <row r="409">
      <c r="A409" s="11">
        <f>IF(B409="","",TEXT(ROW()-3,"""DC-""0000"))</f>
        <v/>
      </c>
      <c r="B409" s="5" t="n"/>
      <c r="C409" s="5" t="n"/>
      <c r="D409" s="5" t="n"/>
      <c r="E409" s="5" t="n"/>
      <c r="F409" s="5" t="n"/>
      <c r="G409" s="5" t="n"/>
      <c r="H409" s="8" t="n"/>
      <c r="I409" s="8" t="n"/>
      <c r="J409" s="8" t="n"/>
      <c r="K409" s="11">
        <f>IF(B409="","",MAX(0,IFERROR(I409,0)*IFERROR(H409,0)-IFERROR(J409,0)))</f>
        <v/>
      </c>
      <c r="L409" s="8" t="n"/>
      <c r="M409" s="11">
        <f>IF(B409="","",MAX(0,K409-L409))</f>
        <v/>
      </c>
      <c r="N409" s="11">
        <f>IF(B409="","",IF(L409&gt;=K409,"Paid",IF(L409&gt;0,"Partial","Unpaid")))</f>
        <v/>
      </c>
      <c r="O409" s="5" t="n"/>
      <c r="P409" s="8" t="n"/>
      <c r="Q409" s="8" t="n"/>
      <c r="R409" s="11">
        <f>IF(B409="","",IFERROR(K409,0)+IFERROR(P409,0)-IFERROR(Q409,0))</f>
        <v/>
      </c>
      <c r="S409" s="5" t="n"/>
      <c r="T409" s="5" t="n"/>
      <c r="U409" s="11">
        <f>IF(B409="","",TRIM(LOWER(C409)&amp;"|"&amp;LOWER(D409)))</f>
        <v/>
      </c>
    </row>
    <row r="410">
      <c r="A410" s="11">
        <f>IF(B410="","",TEXT(ROW()-3,"""DC-""0000"))</f>
        <v/>
      </c>
      <c r="B410" s="5" t="n"/>
      <c r="C410" s="5" t="n"/>
      <c r="D410" s="5" t="n"/>
      <c r="E410" s="5" t="n"/>
      <c r="F410" s="5" t="n"/>
      <c r="G410" s="5" t="n"/>
      <c r="H410" s="8" t="n"/>
      <c r="I410" s="8" t="n"/>
      <c r="J410" s="8" t="n"/>
      <c r="K410" s="11">
        <f>IF(B410="","",MAX(0,IFERROR(I410,0)*IFERROR(H410,0)-IFERROR(J410,0)))</f>
        <v/>
      </c>
      <c r="L410" s="8" t="n"/>
      <c r="M410" s="11">
        <f>IF(B410="","",MAX(0,K410-L410))</f>
        <v/>
      </c>
      <c r="N410" s="11">
        <f>IF(B410="","",IF(L410&gt;=K410,"Paid",IF(L410&gt;0,"Partial","Unpaid")))</f>
        <v/>
      </c>
      <c r="O410" s="5" t="n"/>
      <c r="P410" s="8" t="n"/>
      <c r="Q410" s="8" t="n"/>
      <c r="R410" s="11">
        <f>IF(B410="","",IFERROR(K410,0)+IFERROR(P410,0)-IFERROR(Q410,0))</f>
        <v/>
      </c>
      <c r="S410" s="5" t="n"/>
      <c r="T410" s="5" t="n"/>
      <c r="U410" s="11">
        <f>IF(B410="","",TRIM(LOWER(C410)&amp;"|"&amp;LOWER(D410)))</f>
        <v/>
      </c>
    </row>
    <row r="411">
      <c r="A411" s="11">
        <f>IF(B411="","",TEXT(ROW()-3,"""DC-""0000"))</f>
        <v/>
      </c>
      <c r="B411" s="5" t="n"/>
      <c r="C411" s="5" t="n"/>
      <c r="D411" s="5" t="n"/>
      <c r="E411" s="5" t="n"/>
      <c r="F411" s="5" t="n"/>
      <c r="G411" s="5" t="n"/>
      <c r="H411" s="8" t="n"/>
      <c r="I411" s="8" t="n"/>
      <c r="J411" s="8" t="n"/>
      <c r="K411" s="11">
        <f>IF(B411="","",MAX(0,IFERROR(I411,0)*IFERROR(H411,0)-IFERROR(J411,0)))</f>
        <v/>
      </c>
      <c r="L411" s="8" t="n"/>
      <c r="M411" s="11">
        <f>IF(B411="","",MAX(0,K411-L411))</f>
        <v/>
      </c>
      <c r="N411" s="11">
        <f>IF(B411="","",IF(L411&gt;=K411,"Paid",IF(L411&gt;0,"Partial","Unpaid")))</f>
        <v/>
      </c>
      <c r="O411" s="5" t="n"/>
      <c r="P411" s="8" t="n"/>
      <c r="Q411" s="8" t="n"/>
      <c r="R411" s="11">
        <f>IF(B411="","",IFERROR(K411,0)+IFERROR(P411,0)-IFERROR(Q411,0))</f>
        <v/>
      </c>
      <c r="S411" s="5" t="n"/>
      <c r="T411" s="5" t="n"/>
      <c r="U411" s="11">
        <f>IF(B411="","",TRIM(LOWER(C411)&amp;"|"&amp;LOWER(D411)))</f>
        <v/>
      </c>
    </row>
    <row r="412">
      <c r="A412" s="11">
        <f>IF(B412="","",TEXT(ROW()-3,"""DC-""0000"))</f>
        <v/>
      </c>
      <c r="B412" s="5" t="n"/>
      <c r="C412" s="5" t="n"/>
      <c r="D412" s="5" t="n"/>
      <c r="E412" s="5" t="n"/>
      <c r="F412" s="5" t="n"/>
      <c r="G412" s="5" t="n"/>
      <c r="H412" s="8" t="n"/>
      <c r="I412" s="8" t="n"/>
      <c r="J412" s="8" t="n"/>
      <c r="K412" s="11">
        <f>IF(B412="","",MAX(0,IFERROR(I412,0)*IFERROR(H412,0)-IFERROR(J412,0)))</f>
        <v/>
      </c>
      <c r="L412" s="8" t="n"/>
      <c r="M412" s="11">
        <f>IF(B412="","",MAX(0,K412-L412))</f>
        <v/>
      </c>
      <c r="N412" s="11">
        <f>IF(B412="","",IF(L412&gt;=K412,"Paid",IF(L412&gt;0,"Partial","Unpaid")))</f>
        <v/>
      </c>
      <c r="O412" s="5" t="n"/>
      <c r="P412" s="8" t="n"/>
      <c r="Q412" s="8" t="n"/>
      <c r="R412" s="11">
        <f>IF(B412="","",IFERROR(K412,0)+IFERROR(P412,0)-IFERROR(Q412,0))</f>
        <v/>
      </c>
      <c r="S412" s="5" t="n"/>
      <c r="T412" s="5" t="n"/>
      <c r="U412" s="11">
        <f>IF(B412="","",TRIM(LOWER(C412)&amp;"|"&amp;LOWER(D412)))</f>
        <v/>
      </c>
    </row>
    <row r="413">
      <c r="A413" s="11">
        <f>IF(B413="","",TEXT(ROW()-3,"""DC-""0000"))</f>
        <v/>
      </c>
      <c r="B413" s="5" t="n"/>
      <c r="C413" s="5" t="n"/>
      <c r="D413" s="5" t="n"/>
      <c r="E413" s="5" t="n"/>
      <c r="F413" s="5" t="n"/>
      <c r="G413" s="5" t="n"/>
      <c r="H413" s="8" t="n"/>
      <c r="I413" s="8" t="n"/>
      <c r="J413" s="8" t="n"/>
      <c r="K413" s="11">
        <f>IF(B413="","",MAX(0,IFERROR(I413,0)*IFERROR(H413,0)-IFERROR(J413,0)))</f>
        <v/>
      </c>
      <c r="L413" s="8" t="n"/>
      <c r="M413" s="11">
        <f>IF(B413="","",MAX(0,K413-L413))</f>
        <v/>
      </c>
      <c r="N413" s="11">
        <f>IF(B413="","",IF(L413&gt;=K413,"Paid",IF(L413&gt;0,"Partial","Unpaid")))</f>
        <v/>
      </c>
      <c r="O413" s="5" t="n"/>
      <c r="P413" s="8" t="n"/>
      <c r="Q413" s="8" t="n"/>
      <c r="R413" s="11">
        <f>IF(B413="","",IFERROR(K413,0)+IFERROR(P413,0)-IFERROR(Q413,0))</f>
        <v/>
      </c>
      <c r="S413" s="5" t="n"/>
      <c r="T413" s="5" t="n"/>
      <c r="U413" s="11">
        <f>IF(B413="","",TRIM(LOWER(C413)&amp;"|"&amp;LOWER(D413)))</f>
        <v/>
      </c>
    </row>
    <row r="414">
      <c r="A414" s="11">
        <f>IF(B414="","",TEXT(ROW()-3,"""DC-""0000"))</f>
        <v/>
      </c>
      <c r="B414" s="5" t="n"/>
      <c r="C414" s="5" t="n"/>
      <c r="D414" s="5" t="n"/>
      <c r="E414" s="5" t="n"/>
      <c r="F414" s="5" t="n"/>
      <c r="G414" s="5" t="n"/>
      <c r="H414" s="8" t="n"/>
      <c r="I414" s="8" t="n"/>
      <c r="J414" s="8" t="n"/>
      <c r="K414" s="11">
        <f>IF(B414="","",MAX(0,IFERROR(I414,0)*IFERROR(H414,0)-IFERROR(J414,0)))</f>
        <v/>
      </c>
      <c r="L414" s="8" t="n"/>
      <c r="M414" s="11">
        <f>IF(B414="","",MAX(0,K414-L414))</f>
        <v/>
      </c>
      <c r="N414" s="11">
        <f>IF(B414="","",IF(L414&gt;=K414,"Paid",IF(L414&gt;0,"Partial","Unpaid")))</f>
        <v/>
      </c>
      <c r="O414" s="5" t="n"/>
      <c r="P414" s="8" t="n"/>
      <c r="Q414" s="8" t="n"/>
      <c r="R414" s="11">
        <f>IF(B414="","",IFERROR(K414,0)+IFERROR(P414,0)-IFERROR(Q414,0))</f>
        <v/>
      </c>
      <c r="S414" s="5" t="n"/>
      <c r="T414" s="5" t="n"/>
      <c r="U414" s="11">
        <f>IF(B414="","",TRIM(LOWER(C414)&amp;"|"&amp;LOWER(D414)))</f>
        <v/>
      </c>
    </row>
    <row r="415">
      <c r="A415" s="11">
        <f>IF(B415="","",TEXT(ROW()-3,"""DC-""0000"))</f>
        <v/>
      </c>
      <c r="B415" s="5" t="n"/>
      <c r="C415" s="5" t="n"/>
      <c r="D415" s="5" t="n"/>
      <c r="E415" s="5" t="n"/>
      <c r="F415" s="5" t="n"/>
      <c r="G415" s="5" t="n"/>
      <c r="H415" s="8" t="n"/>
      <c r="I415" s="8" t="n"/>
      <c r="J415" s="8" t="n"/>
      <c r="K415" s="11">
        <f>IF(B415="","",MAX(0,IFERROR(I415,0)*IFERROR(H415,0)-IFERROR(J415,0)))</f>
        <v/>
      </c>
      <c r="L415" s="8" t="n"/>
      <c r="M415" s="11">
        <f>IF(B415="","",MAX(0,K415-L415))</f>
        <v/>
      </c>
      <c r="N415" s="11">
        <f>IF(B415="","",IF(L415&gt;=K415,"Paid",IF(L415&gt;0,"Partial","Unpaid")))</f>
        <v/>
      </c>
      <c r="O415" s="5" t="n"/>
      <c r="P415" s="8" t="n"/>
      <c r="Q415" s="8" t="n"/>
      <c r="R415" s="11">
        <f>IF(B415="","",IFERROR(K415,0)+IFERROR(P415,0)-IFERROR(Q415,0))</f>
        <v/>
      </c>
      <c r="S415" s="5" t="n"/>
      <c r="T415" s="5" t="n"/>
      <c r="U415" s="11">
        <f>IF(B415="","",TRIM(LOWER(C415)&amp;"|"&amp;LOWER(D415)))</f>
        <v/>
      </c>
    </row>
    <row r="416">
      <c r="A416" s="11">
        <f>IF(B416="","",TEXT(ROW()-3,"""DC-""0000"))</f>
        <v/>
      </c>
      <c r="B416" s="5" t="n"/>
      <c r="C416" s="5" t="n"/>
      <c r="D416" s="5" t="n"/>
      <c r="E416" s="5" t="n"/>
      <c r="F416" s="5" t="n"/>
      <c r="G416" s="5" t="n"/>
      <c r="H416" s="8" t="n"/>
      <c r="I416" s="8" t="n"/>
      <c r="J416" s="8" t="n"/>
      <c r="K416" s="11">
        <f>IF(B416="","",MAX(0,IFERROR(I416,0)*IFERROR(H416,0)-IFERROR(J416,0)))</f>
        <v/>
      </c>
      <c r="L416" s="8" t="n"/>
      <c r="M416" s="11">
        <f>IF(B416="","",MAX(0,K416-L416))</f>
        <v/>
      </c>
      <c r="N416" s="11">
        <f>IF(B416="","",IF(L416&gt;=K416,"Paid",IF(L416&gt;0,"Partial","Unpaid")))</f>
        <v/>
      </c>
      <c r="O416" s="5" t="n"/>
      <c r="P416" s="8" t="n"/>
      <c r="Q416" s="8" t="n"/>
      <c r="R416" s="11">
        <f>IF(B416="","",IFERROR(K416,0)+IFERROR(P416,0)-IFERROR(Q416,0))</f>
        <v/>
      </c>
      <c r="S416" s="5" t="n"/>
      <c r="T416" s="5" t="n"/>
      <c r="U416" s="11">
        <f>IF(B416="","",TRIM(LOWER(C416)&amp;"|"&amp;LOWER(D416)))</f>
        <v/>
      </c>
    </row>
    <row r="417">
      <c r="A417" s="11">
        <f>IF(B417="","",TEXT(ROW()-3,"""DC-""0000"))</f>
        <v/>
      </c>
      <c r="B417" s="5" t="n"/>
      <c r="C417" s="5" t="n"/>
      <c r="D417" s="5" t="n"/>
      <c r="E417" s="5" t="n"/>
      <c r="F417" s="5" t="n"/>
      <c r="G417" s="5" t="n"/>
      <c r="H417" s="8" t="n"/>
      <c r="I417" s="8" t="n"/>
      <c r="J417" s="8" t="n"/>
      <c r="K417" s="11">
        <f>IF(B417="","",MAX(0,IFERROR(I417,0)*IFERROR(H417,0)-IFERROR(J417,0)))</f>
        <v/>
      </c>
      <c r="L417" s="8" t="n"/>
      <c r="M417" s="11">
        <f>IF(B417="","",MAX(0,K417-L417))</f>
        <v/>
      </c>
      <c r="N417" s="11">
        <f>IF(B417="","",IF(L417&gt;=K417,"Paid",IF(L417&gt;0,"Partial","Unpaid")))</f>
        <v/>
      </c>
      <c r="O417" s="5" t="n"/>
      <c r="P417" s="8" t="n"/>
      <c r="Q417" s="8" t="n"/>
      <c r="R417" s="11">
        <f>IF(B417="","",IFERROR(K417,0)+IFERROR(P417,0)-IFERROR(Q417,0))</f>
        <v/>
      </c>
      <c r="S417" s="5" t="n"/>
      <c r="T417" s="5" t="n"/>
      <c r="U417" s="11">
        <f>IF(B417="","",TRIM(LOWER(C417)&amp;"|"&amp;LOWER(D417)))</f>
        <v/>
      </c>
    </row>
    <row r="418">
      <c r="A418" s="11">
        <f>IF(B418="","",TEXT(ROW()-3,"""DC-""0000"))</f>
        <v/>
      </c>
      <c r="B418" s="5" t="n"/>
      <c r="C418" s="5" t="n"/>
      <c r="D418" s="5" t="n"/>
      <c r="E418" s="5" t="n"/>
      <c r="F418" s="5" t="n"/>
      <c r="G418" s="5" t="n"/>
      <c r="H418" s="8" t="n"/>
      <c r="I418" s="8" t="n"/>
      <c r="J418" s="8" t="n"/>
      <c r="K418" s="11">
        <f>IF(B418="","",MAX(0,IFERROR(I418,0)*IFERROR(H418,0)-IFERROR(J418,0)))</f>
        <v/>
      </c>
      <c r="L418" s="8" t="n"/>
      <c r="M418" s="11">
        <f>IF(B418="","",MAX(0,K418-L418))</f>
        <v/>
      </c>
      <c r="N418" s="11">
        <f>IF(B418="","",IF(L418&gt;=K418,"Paid",IF(L418&gt;0,"Partial","Unpaid")))</f>
        <v/>
      </c>
      <c r="O418" s="5" t="n"/>
      <c r="P418" s="8" t="n"/>
      <c r="Q418" s="8" t="n"/>
      <c r="R418" s="11">
        <f>IF(B418="","",IFERROR(K418,0)+IFERROR(P418,0)-IFERROR(Q418,0))</f>
        <v/>
      </c>
      <c r="S418" s="5" t="n"/>
      <c r="T418" s="5" t="n"/>
      <c r="U418" s="11">
        <f>IF(B418="","",TRIM(LOWER(C418)&amp;"|"&amp;LOWER(D418)))</f>
        <v/>
      </c>
    </row>
    <row r="419">
      <c r="A419" s="11">
        <f>IF(B419="","",TEXT(ROW()-3,"""DC-""0000"))</f>
        <v/>
      </c>
      <c r="B419" s="5" t="n"/>
      <c r="C419" s="5" t="n"/>
      <c r="D419" s="5" t="n"/>
      <c r="E419" s="5" t="n"/>
      <c r="F419" s="5" t="n"/>
      <c r="G419" s="5" t="n"/>
      <c r="H419" s="8" t="n"/>
      <c r="I419" s="8" t="n"/>
      <c r="J419" s="8" t="n"/>
      <c r="K419" s="11">
        <f>IF(B419="","",MAX(0,IFERROR(I419,0)*IFERROR(H419,0)-IFERROR(J419,0)))</f>
        <v/>
      </c>
      <c r="L419" s="8" t="n"/>
      <c r="M419" s="11">
        <f>IF(B419="","",MAX(0,K419-L419))</f>
        <v/>
      </c>
      <c r="N419" s="11">
        <f>IF(B419="","",IF(L419&gt;=K419,"Paid",IF(L419&gt;0,"Partial","Unpaid")))</f>
        <v/>
      </c>
      <c r="O419" s="5" t="n"/>
      <c r="P419" s="8" t="n"/>
      <c r="Q419" s="8" t="n"/>
      <c r="R419" s="11">
        <f>IF(B419="","",IFERROR(K419,0)+IFERROR(P419,0)-IFERROR(Q419,0))</f>
        <v/>
      </c>
      <c r="S419" s="5" t="n"/>
      <c r="T419" s="5" t="n"/>
      <c r="U419" s="11">
        <f>IF(B419="","",TRIM(LOWER(C419)&amp;"|"&amp;LOWER(D419)))</f>
        <v/>
      </c>
    </row>
    <row r="420">
      <c r="A420" s="11">
        <f>IF(B420="","",TEXT(ROW()-3,"""DC-""0000"))</f>
        <v/>
      </c>
      <c r="B420" s="5" t="n"/>
      <c r="C420" s="5" t="n"/>
      <c r="D420" s="5" t="n"/>
      <c r="E420" s="5" t="n"/>
      <c r="F420" s="5" t="n"/>
      <c r="G420" s="5" t="n"/>
      <c r="H420" s="8" t="n"/>
      <c r="I420" s="8" t="n"/>
      <c r="J420" s="8" t="n"/>
      <c r="K420" s="11">
        <f>IF(B420="","",MAX(0,IFERROR(I420,0)*IFERROR(H420,0)-IFERROR(J420,0)))</f>
        <v/>
      </c>
      <c r="L420" s="8" t="n"/>
      <c r="M420" s="11">
        <f>IF(B420="","",MAX(0,K420-L420))</f>
        <v/>
      </c>
      <c r="N420" s="11">
        <f>IF(B420="","",IF(L420&gt;=K420,"Paid",IF(L420&gt;0,"Partial","Unpaid")))</f>
        <v/>
      </c>
      <c r="O420" s="5" t="n"/>
      <c r="P420" s="8" t="n"/>
      <c r="Q420" s="8" t="n"/>
      <c r="R420" s="11">
        <f>IF(B420="","",IFERROR(K420,0)+IFERROR(P420,0)-IFERROR(Q420,0))</f>
        <v/>
      </c>
      <c r="S420" s="5" t="n"/>
      <c r="T420" s="5" t="n"/>
      <c r="U420" s="11">
        <f>IF(B420="","",TRIM(LOWER(C420)&amp;"|"&amp;LOWER(D420)))</f>
        <v/>
      </c>
    </row>
    <row r="421">
      <c r="A421" s="11">
        <f>IF(B421="","",TEXT(ROW()-3,"""DC-""0000"))</f>
        <v/>
      </c>
      <c r="B421" s="5" t="n"/>
      <c r="C421" s="5" t="n"/>
      <c r="D421" s="5" t="n"/>
      <c r="E421" s="5" t="n"/>
      <c r="F421" s="5" t="n"/>
      <c r="G421" s="5" t="n"/>
      <c r="H421" s="8" t="n"/>
      <c r="I421" s="8" t="n"/>
      <c r="J421" s="8" t="n"/>
      <c r="K421" s="11">
        <f>IF(B421="","",MAX(0,IFERROR(I421,0)*IFERROR(H421,0)-IFERROR(J421,0)))</f>
        <v/>
      </c>
      <c r="L421" s="8" t="n"/>
      <c r="M421" s="11">
        <f>IF(B421="","",MAX(0,K421-L421))</f>
        <v/>
      </c>
      <c r="N421" s="11">
        <f>IF(B421="","",IF(L421&gt;=K421,"Paid",IF(L421&gt;0,"Partial","Unpaid")))</f>
        <v/>
      </c>
      <c r="O421" s="5" t="n"/>
      <c r="P421" s="8" t="n"/>
      <c r="Q421" s="8" t="n"/>
      <c r="R421" s="11">
        <f>IF(B421="","",IFERROR(K421,0)+IFERROR(P421,0)-IFERROR(Q421,0))</f>
        <v/>
      </c>
      <c r="S421" s="5" t="n"/>
      <c r="T421" s="5" t="n"/>
      <c r="U421" s="11">
        <f>IF(B421="","",TRIM(LOWER(C421)&amp;"|"&amp;LOWER(D421)))</f>
        <v/>
      </c>
    </row>
    <row r="422">
      <c r="A422" s="11">
        <f>IF(B422="","",TEXT(ROW()-3,"""DC-""0000"))</f>
        <v/>
      </c>
      <c r="B422" s="5" t="n"/>
      <c r="C422" s="5" t="n"/>
      <c r="D422" s="5" t="n"/>
      <c r="E422" s="5" t="n"/>
      <c r="F422" s="5" t="n"/>
      <c r="G422" s="5" t="n"/>
      <c r="H422" s="8" t="n"/>
      <c r="I422" s="8" t="n"/>
      <c r="J422" s="8" t="n"/>
      <c r="K422" s="11">
        <f>IF(B422="","",MAX(0,IFERROR(I422,0)*IFERROR(H422,0)-IFERROR(J422,0)))</f>
        <v/>
      </c>
      <c r="L422" s="8" t="n"/>
      <c r="M422" s="11">
        <f>IF(B422="","",MAX(0,K422-L422))</f>
        <v/>
      </c>
      <c r="N422" s="11">
        <f>IF(B422="","",IF(L422&gt;=K422,"Paid",IF(L422&gt;0,"Partial","Unpaid")))</f>
        <v/>
      </c>
      <c r="O422" s="5" t="n"/>
      <c r="P422" s="8" t="n"/>
      <c r="Q422" s="8" t="n"/>
      <c r="R422" s="11">
        <f>IF(B422="","",IFERROR(K422,0)+IFERROR(P422,0)-IFERROR(Q422,0))</f>
        <v/>
      </c>
      <c r="S422" s="5" t="n"/>
      <c r="T422" s="5" t="n"/>
      <c r="U422" s="11">
        <f>IF(B422="","",TRIM(LOWER(C422)&amp;"|"&amp;LOWER(D422)))</f>
        <v/>
      </c>
    </row>
    <row r="423">
      <c r="A423" s="11">
        <f>IF(B423="","",TEXT(ROW()-3,"""DC-""0000"))</f>
        <v/>
      </c>
      <c r="B423" s="5" t="n"/>
      <c r="C423" s="5" t="n"/>
      <c r="D423" s="5" t="n"/>
      <c r="E423" s="5" t="n"/>
      <c r="F423" s="5" t="n"/>
      <c r="G423" s="5" t="n"/>
      <c r="H423" s="8" t="n"/>
      <c r="I423" s="8" t="n"/>
      <c r="J423" s="8" t="n"/>
      <c r="K423" s="11">
        <f>IF(B423="","",MAX(0,IFERROR(I423,0)*IFERROR(H423,0)-IFERROR(J423,0)))</f>
        <v/>
      </c>
      <c r="L423" s="8" t="n"/>
      <c r="M423" s="11">
        <f>IF(B423="","",MAX(0,K423-L423))</f>
        <v/>
      </c>
      <c r="N423" s="11">
        <f>IF(B423="","",IF(L423&gt;=K423,"Paid",IF(L423&gt;0,"Partial","Unpaid")))</f>
        <v/>
      </c>
      <c r="O423" s="5" t="n"/>
      <c r="P423" s="8" t="n"/>
      <c r="Q423" s="8" t="n"/>
      <c r="R423" s="11">
        <f>IF(B423="","",IFERROR(K423,0)+IFERROR(P423,0)-IFERROR(Q423,0))</f>
        <v/>
      </c>
      <c r="S423" s="5" t="n"/>
      <c r="T423" s="5" t="n"/>
      <c r="U423" s="11">
        <f>IF(B423="","",TRIM(LOWER(C423)&amp;"|"&amp;LOWER(D423)))</f>
        <v/>
      </c>
    </row>
    <row r="424">
      <c r="A424" s="11">
        <f>IF(B424="","",TEXT(ROW()-3,"""DC-""0000"))</f>
        <v/>
      </c>
      <c r="B424" s="5" t="n"/>
      <c r="C424" s="5" t="n"/>
      <c r="D424" s="5" t="n"/>
      <c r="E424" s="5" t="n"/>
      <c r="F424" s="5" t="n"/>
      <c r="G424" s="5" t="n"/>
      <c r="H424" s="8" t="n"/>
      <c r="I424" s="8" t="n"/>
      <c r="J424" s="8" t="n"/>
      <c r="K424" s="11">
        <f>IF(B424="","",MAX(0,IFERROR(I424,0)*IFERROR(H424,0)-IFERROR(J424,0)))</f>
        <v/>
      </c>
      <c r="L424" s="8" t="n"/>
      <c r="M424" s="11">
        <f>IF(B424="","",MAX(0,K424-L424))</f>
        <v/>
      </c>
      <c r="N424" s="11">
        <f>IF(B424="","",IF(L424&gt;=K424,"Paid",IF(L424&gt;0,"Partial","Unpaid")))</f>
        <v/>
      </c>
      <c r="O424" s="5" t="n"/>
      <c r="P424" s="8" t="n"/>
      <c r="Q424" s="8" t="n"/>
      <c r="R424" s="11">
        <f>IF(B424="","",IFERROR(K424,0)+IFERROR(P424,0)-IFERROR(Q424,0))</f>
        <v/>
      </c>
      <c r="S424" s="5" t="n"/>
      <c r="T424" s="5" t="n"/>
      <c r="U424" s="11">
        <f>IF(B424="","",TRIM(LOWER(C424)&amp;"|"&amp;LOWER(D424)))</f>
        <v/>
      </c>
    </row>
    <row r="425">
      <c r="A425" s="11">
        <f>IF(B425="","",TEXT(ROW()-3,"""DC-""0000"))</f>
        <v/>
      </c>
      <c r="B425" s="5" t="n"/>
      <c r="C425" s="5" t="n"/>
      <c r="D425" s="5" t="n"/>
      <c r="E425" s="5" t="n"/>
      <c r="F425" s="5" t="n"/>
      <c r="G425" s="5" t="n"/>
      <c r="H425" s="8" t="n"/>
      <c r="I425" s="8" t="n"/>
      <c r="J425" s="8" t="n"/>
      <c r="K425" s="11">
        <f>IF(B425="","",MAX(0,IFERROR(I425,0)*IFERROR(H425,0)-IFERROR(J425,0)))</f>
        <v/>
      </c>
      <c r="L425" s="8" t="n"/>
      <c r="M425" s="11">
        <f>IF(B425="","",MAX(0,K425-L425))</f>
        <v/>
      </c>
      <c r="N425" s="11">
        <f>IF(B425="","",IF(L425&gt;=K425,"Paid",IF(L425&gt;0,"Partial","Unpaid")))</f>
        <v/>
      </c>
      <c r="O425" s="5" t="n"/>
      <c r="P425" s="8" t="n"/>
      <c r="Q425" s="8" t="n"/>
      <c r="R425" s="11">
        <f>IF(B425="","",IFERROR(K425,0)+IFERROR(P425,0)-IFERROR(Q425,0))</f>
        <v/>
      </c>
      <c r="S425" s="5" t="n"/>
      <c r="T425" s="5" t="n"/>
      <c r="U425" s="11">
        <f>IF(B425="","",TRIM(LOWER(C425)&amp;"|"&amp;LOWER(D425)))</f>
        <v/>
      </c>
    </row>
    <row r="426">
      <c r="A426" s="11">
        <f>IF(B426="","",TEXT(ROW()-3,"""DC-""0000"))</f>
        <v/>
      </c>
      <c r="B426" s="5" t="n"/>
      <c r="C426" s="5" t="n"/>
      <c r="D426" s="5" t="n"/>
      <c r="E426" s="5" t="n"/>
      <c r="F426" s="5" t="n"/>
      <c r="G426" s="5" t="n"/>
      <c r="H426" s="8" t="n"/>
      <c r="I426" s="8" t="n"/>
      <c r="J426" s="8" t="n"/>
      <c r="K426" s="11">
        <f>IF(B426="","",MAX(0,IFERROR(I426,0)*IFERROR(H426,0)-IFERROR(J426,0)))</f>
        <v/>
      </c>
      <c r="L426" s="8" t="n"/>
      <c r="M426" s="11">
        <f>IF(B426="","",MAX(0,K426-L426))</f>
        <v/>
      </c>
      <c r="N426" s="11">
        <f>IF(B426="","",IF(L426&gt;=K426,"Paid",IF(L426&gt;0,"Partial","Unpaid")))</f>
        <v/>
      </c>
      <c r="O426" s="5" t="n"/>
      <c r="P426" s="8" t="n"/>
      <c r="Q426" s="8" t="n"/>
      <c r="R426" s="11">
        <f>IF(B426="","",IFERROR(K426,0)+IFERROR(P426,0)-IFERROR(Q426,0))</f>
        <v/>
      </c>
      <c r="S426" s="5" t="n"/>
      <c r="T426" s="5" t="n"/>
      <c r="U426" s="11">
        <f>IF(B426="","",TRIM(LOWER(C426)&amp;"|"&amp;LOWER(D426)))</f>
        <v/>
      </c>
    </row>
    <row r="427">
      <c r="A427" s="11">
        <f>IF(B427="","",TEXT(ROW()-3,"""DC-""0000"))</f>
        <v/>
      </c>
      <c r="B427" s="5" t="n"/>
      <c r="C427" s="5" t="n"/>
      <c r="D427" s="5" t="n"/>
      <c r="E427" s="5" t="n"/>
      <c r="F427" s="5" t="n"/>
      <c r="G427" s="5" t="n"/>
      <c r="H427" s="8" t="n"/>
      <c r="I427" s="8" t="n"/>
      <c r="J427" s="8" t="n"/>
      <c r="K427" s="11">
        <f>IF(B427="","",MAX(0,IFERROR(I427,0)*IFERROR(H427,0)-IFERROR(J427,0)))</f>
        <v/>
      </c>
      <c r="L427" s="8" t="n"/>
      <c r="M427" s="11">
        <f>IF(B427="","",MAX(0,K427-L427))</f>
        <v/>
      </c>
      <c r="N427" s="11">
        <f>IF(B427="","",IF(L427&gt;=K427,"Paid",IF(L427&gt;0,"Partial","Unpaid")))</f>
        <v/>
      </c>
      <c r="O427" s="5" t="n"/>
      <c r="P427" s="8" t="n"/>
      <c r="Q427" s="8" t="n"/>
      <c r="R427" s="11">
        <f>IF(B427="","",IFERROR(K427,0)+IFERROR(P427,0)-IFERROR(Q427,0))</f>
        <v/>
      </c>
      <c r="S427" s="5" t="n"/>
      <c r="T427" s="5" t="n"/>
      <c r="U427" s="11">
        <f>IF(B427="","",TRIM(LOWER(C427)&amp;"|"&amp;LOWER(D427)))</f>
        <v/>
      </c>
    </row>
    <row r="428">
      <c r="A428" s="11">
        <f>IF(B428="","",TEXT(ROW()-3,"""DC-""0000"))</f>
        <v/>
      </c>
      <c r="B428" s="5" t="n"/>
      <c r="C428" s="5" t="n"/>
      <c r="D428" s="5" t="n"/>
      <c r="E428" s="5" t="n"/>
      <c r="F428" s="5" t="n"/>
      <c r="G428" s="5" t="n"/>
      <c r="H428" s="8" t="n"/>
      <c r="I428" s="8" t="n"/>
      <c r="J428" s="8" t="n"/>
      <c r="K428" s="11">
        <f>IF(B428="","",MAX(0,IFERROR(I428,0)*IFERROR(H428,0)-IFERROR(J428,0)))</f>
        <v/>
      </c>
      <c r="L428" s="8" t="n"/>
      <c r="M428" s="11">
        <f>IF(B428="","",MAX(0,K428-L428))</f>
        <v/>
      </c>
      <c r="N428" s="11">
        <f>IF(B428="","",IF(L428&gt;=K428,"Paid",IF(L428&gt;0,"Partial","Unpaid")))</f>
        <v/>
      </c>
      <c r="O428" s="5" t="n"/>
      <c r="P428" s="8" t="n"/>
      <c r="Q428" s="8" t="n"/>
      <c r="R428" s="11">
        <f>IF(B428="","",IFERROR(K428,0)+IFERROR(P428,0)-IFERROR(Q428,0))</f>
        <v/>
      </c>
      <c r="S428" s="5" t="n"/>
      <c r="T428" s="5" t="n"/>
      <c r="U428" s="11">
        <f>IF(B428="","",TRIM(LOWER(C428)&amp;"|"&amp;LOWER(D428)))</f>
        <v/>
      </c>
    </row>
    <row r="429">
      <c r="A429" s="11">
        <f>IF(B429="","",TEXT(ROW()-3,"""DC-""0000"))</f>
        <v/>
      </c>
      <c r="B429" s="5" t="n"/>
      <c r="C429" s="5" t="n"/>
      <c r="D429" s="5" t="n"/>
      <c r="E429" s="5" t="n"/>
      <c r="F429" s="5" t="n"/>
      <c r="G429" s="5" t="n"/>
      <c r="H429" s="8" t="n"/>
      <c r="I429" s="8" t="n"/>
      <c r="J429" s="8" t="n"/>
      <c r="K429" s="11">
        <f>IF(B429="","",MAX(0,IFERROR(I429,0)*IFERROR(H429,0)-IFERROR(J429,0)))</f>
        <v/>
      </c>
      <c r="L429" s="8" t="n"/>
      <c r="M429" s="11">
        <f>IF(B429="","",MAX(0,K429-L429))</f>
        <v/>
      </c>
      <c r="N429" s="11">
        <f>IF(B429="","",IF(L429&gt;=K429,"Paid",IF(L429&gt;0,"Partial","Unpaid")))</f>
        <v/>
      </c>
      <c r="O429" s="5" t="n"/>
      <c r="P429" s="8" t="n"/>
      <c r="Q429" s="8" t="n"/>
      <c r="R429" s="11">
        <f>IF(B429="","",IFERROR(K429,0)+IFERROR(P429,0)-IFERROR(Q429,0))</f>
        <v/>
      </c>
      <c r="S429" s="5" t="n"/>
      <c r="T429" s="5" t="n"/>
      <c r="U429" s="11">
        <f>IF(B429="","",TRIM(LOWER(C429)&amp;"|"&amp;LOWER(D429)))</f>
        <v/>
      </c>
    </row>
    <row r="430">
      <c r="A430" s="11">
        <f>IF(B430="","",TEXT(ROW()-3,"""DC-""0000"))</f>
        <v/>
      </c>
      <c r="B430" s="5" t="n"/>
      <c r="C430" s="5" t="n"/>
      <c r="D430" s="5" t="n"/>
      <c r="E430" s="5" t="n"/>
      <c r="F430" s="5" t="n"/>
      <c r="G430" s="5" t="n"/>
      <c r="H430" s="8" t="n"/>
      <c r="I430" s="8" t="n"/>
      <c r="J430" s="8" t="n"/>
      <c r="K430" s="11">
        <f>IF(B430="","",MAX(0,IFERROR(I430,0)*IFERROR(H430,0)-IFERROR(J430,0)))</f>
        <v/>
      </c>
      <c r="L430" s="8" t="n"/>
      <c r="M430" s="11">
        <f>IF(B430="","",MAX(0,K430-L430))</f>
        <v/>
      </c>
      <c r="N430" s="11">
        <f>IF(B430="","",IF(L430&gt;=K430,"Paid",IF(L430&gt;0,"Partial","Unpaid")))</f>
        <v/>
      </c>
      <c r="O430" s="5" t="n"/>
      <c r="P430" s="8" t="n"/>
      <c r="Q430" s="8" t="n"/>
      <c r="R430" s="11">
        <f>IF(B430="","",IFERROR(K430,0)+IFERROR(P430,0)-IFERROR(Q430,0))</f>
        <v/>
      </c>
      <c r="S430" s="5" t="n"/>
      <c r="T430" s="5" t="n"/>
      <c r="U430" s="11">
        <f>IF(B430="","",TRIM(LOWER(C430)&amp;"|"&amp;LOWER(D430)))</f>
        <v/>
      </c>
    </row>
    <row r="431">
      <c r="A431" s="11">
        <f>IF(B431="","",TEXT(ROW()-3,"""DC-""0000"))</f>
        <v/>
      </c>
      <c r="B431" s="5" t="n"/>
      <c r="C431" s="5" t="n"/>
      <c r="D431" s="5" t="n"/>
      <c r="E431" s="5" t="n"/>
      <c r="F431" s="5" t="n"/>
      <c r="G431" s="5" t="n"/>
      <c r="H431" s="8" t="n"/>
      <c r="I431" s="8" t="n"/>
      <c r="J431" s="8" t="n"/>
      <c r="K431" s="11">
        <f>IF(B431="","",MAX(0,IFERROR(I431,0)*IFERROR(H431,0)-IFERROR(J431,0)))</f>
        <v/>
      </c>
      <c r="L431" s="8" t="n"/>
      <c r="M431" s="11">
        <f>IF(B431="","",MAX(0,K431-L431))</f>
        <v/>
      </c>
      <c r="N431" s="11">
        <f>IF(B431="","",IF(L431&gt;=K431,"Paid",IF(L431&gt;0,"Partial","Unpaid")))</f>
        <v/>
      </c>
      <c r="O431" s="5" t="n"/>
      <c r="P431" s="8" t="n"/>
      <c r="Q431" s="8" t="n"/>
      <c r="R431" s="11">
        <f>IF(B431="","",IFERROR(K431,0)+IFERROR(P431,0)-IFERROR(Q431,0))</f>
        <v/>
      </c>
      <c r="S431" s="5" t="n"/>
      <c r="T431" s="5" t="n"/>
      <c r="U431" s="11">
        <f>IF(B431="","",TRIM(LOWER(C431)&amp;"|"&amp;LOWER(D431)))</f>
        <v/>
      </c>
    </row>
    <row r="432">
      <c r="A432" s="11">
        <f>IF(B432="","",TEXT(ROW()-3,"""DC-""0000"))</f>
        <v/>
      </c>
      <c r="B432" s="5" t="n"/>
      <c r="C432" s="5" t="n"/>
      <c r="D432" s="5" t="n"/>
      <c r="E432" s="5" t="n"/>
      <c r="F432" s="5" t="n"/>
      <c r="G432" s="5" t="n"/>
      <c r="H432" s="8" t="n"/>
      <c r="I432" s="8" t="n"/>
      <c r="J432" s="8" t="n"/>
      <c r="K432" s="11">
        <f>IF(B432="","",MAX(0,IFERROR(I432,0)*IFERROR(H432,0)-IFERROR(J432,0)))</f>
        <v/>
      </c>
      <c r="L432" s="8" t="n"/>
      <c r="M432" s="11">
        <f>IF(B432="","",MAX(0,K432-L432))</f>
        <v/>
      </c>
      <c r="N432" s="11">
        <f>IF(B432="","",IF(L432&gt;=K432,"Paid",IF(L432&gt;0,"Partial","Unpaid")))</f>
        <v/>
      </c>
      <c r="O432" s="5" t="n"/>
      <c r="P432" s="8" t="n"/>
      <c r="Q432" s="8" t="n"/>
      <c r="R432" s="11">
        <f>IF(B432="","",IFERROR(K432,0)+IFERROR(P432,0)-IFERROR(Q432,0))</f>
        <v/>
      </c>
      <c r="S432" s="5" t="n"/>
      <c r="T432" s="5" t="n"/>
      <c r="U432" s="11">
        <f>IF(B432="","",TRIM(LOWER(C432)&amp;"|"&amp;LOWER(D432)))</f>
        <v/>
      </c>
    </row>
    <row r="433">
      <c r="A433" s="11">
        <f>IF(B433="","",TEXT(ROW()-3,"""DC-""0000"))</f>
        <v/>
      </c>
      <c r="B433" s="5" t="n"/>
      <c r="C433" s="5" t="n"/>
      <c r="D433" s="5" t="n"/>
      <c r="E433" s="5" t="n"/>
      <c r="F433" s="5" t="n"/>
      <c r="G433" s="5" t="n"/>
      <c r="H433" s="8" t="n"/>
      <c r="I433" s="8" t="n"/>
      <c r="J433" s="8" t="n"/>
      <c r="K433" s="11">
        <f>IF(B433="","",MAX(0,IFERROR(I433,0)*IFERROR(H433,0)-IFERROR(J433,0)))</f>
        <v/>
      </c>
      <c r="L433" s="8" t="n"/>
      <c r="M433" s="11">
        <f>IF(B433="","",MAX(0,K433-L433))</f>
        <v/>
      </c>
      <c r="N433" s="11">
        <f>IF(B433="","",IF(L433&gt;=K433,"Paid",IF(L433&gt;0,"Partial","Unpaid")))</f>
        <v/>
      </c>
      <c r="O433" s="5" t="n"/>
      <c r="P433" s="8" t="n"/>
      <c r="Q433" s="8" t="n"/>
      <c r="R433" s="11">
        <f>IF(B433="","",IFERROR(K433,0)+IFERROR(P433,0)-IFERROR(Q433,0))</f>
        <v/>
      </c>
      <c r="S433" s="5" t="n"/>
      <c r="T433" s="5" t="n"/>
      <c r="U433" s="11">
        <f>IF(B433="","",TRIM(LOWER(C433)&amp;"|"&amp;LOWER(D433)))</f>
        <v/>
      </c>
    </row>
    <row r="434">
      <c r="A434" s="11">
        <f>IF(B434="","",TEXT(ROW()-3,"""DC-""0000"))</f>
        <v/>
      </c>
      <c r="B434" s="5" t="n"/>
      <c r="C434" s="5" t="n"/>
      <c r="D434" s="5" t="n"/>
      <c r="E434" s="5" t="n"/>
      <c r="F434" s="5" t="n"/>
      <c r="G434" s="5" t="n"/>
      <c r="H434" s="8" t="n"/>
      <c r="I434" s="8" t="n"/>
      <c r="J434" s="8" t="n"/>
      <c r="K434" s="11">
        <f>IF(B434="","",MAX(0,IFERROR(I434,0)*IFERROR(H434,0)-IFERROR(J434,0)))</f>
        <v/>
      </c>
      <c r="L434" s="8" t="n"/>
      <c r="M434" s="11">
        <f>IF(B434="","",MAX(0,K434-L434))</f>
        <v/>
      </c>
      <c r="N434" s="11">
        <f>IF(B434="","",IF(L434&gt;=K434,"Paid",IF(L434&gt;0,"Partial","Unpaid")))</f>
        <v/>
      </c>
      <c r="O434" s="5" t="n"/>
      <c r="P434" s="8" t="n"/>
      <c r="Q434" s="8" t="n"/>
      <c r="R434" s="11">
        <f>IF(B434="","",IFERROR(K434,0)+IFERROR(P434,0)-IFERROR(Q434,0))</f>
        <v/>
      </c>
      <c r="S434" s="5" t="n"/>
      <c r="T434" s="5" t="n"/>
      <c r="U434" s="11">
        <f>IF(B434="","",TRIM(LOWER(C434)&amp;"|"&amp;LOWER(D434)))</f>
        <v/>
      </c>
    </row>
    <row r="435">
      <c r="A435" s="11">
        <f>IF(B435="","",TEXT(ROW()-3,"""DC-""0000"))</f>
        <v/>
      </c>
      <c r="B435" s="5" t="n"/>
      <c r="C435" s="5" t="n"/>
      <c r="D435" s="5" t="n"/>
      <c r="E435" s="5" t="n"/>
      <c r="F435" s="5" t="n"/>
      <c r="G435" s="5" t="n"/>
      <c r="H435" s="8" t="n"/>
      <c r="I435" s="8" t="n"/>
      <c r="J435" s="8" t="n"/>
      <c r="K435" s="11">
        <f>IF(B435="","",MAX(0,IFERROR(I435,0)*IFERROR(H435,0)-IFERROR(J435,0)))</f>
        <v/>
      </c>
      <c r="L435" s="8" t="n"/>
      <c r="M435" s="11">
        <f>IF(B435="","",MAX(0,K435-L435))</f>
        <v/>
      </c>
      <c r="N435" s="11">
        <f>IF(B435="","",IF(L435&gt;=K435,"Paid",IF(L435&gt;0,"Partial","Unpaid")))</f>
        <v/>
      </c>
      <c r="O435" s="5" t="n"/>
      <c r="P435" s="8" t="n"/>
      <c r="Q435" s="8" t="n"/>
      <c r="R435" s="11">
        <f>IF(B435="","",IFERROR(K435,0)+IFERROR(P435,0)-IFERROR(Q435,0))</f>
        <v/>
      </c>
      <c r="S435" s="5" t="n"/>
      <c r="T435" s="5" t="n"/>
      <c r="U435" s="11">
        <f>IF(B435="","",TRIM(LOWER(C435)&amp;"|"&amp;LOWER(D435)))</f>
        <v/>
      </c>
    </row>
    <row r="436">
      <c r="A436" s="11">
        <f>IF(B436="","",TEXT(ROW()-3,"""DC-""0000"))</f>
        <v/>
      </c>
      <c r="B436" s="5" t="n"/>
      <c r="C436" s="5" t="n"/>
      <c r="D436" s="5" t="n"/>
      <c r="E436" s="5" t="n"/>
      <c r="F436" s="5" t="n"/>
      <c r="G436" s="5" t="n"/>
      <c r="H436" s="8" t="n"/>
      <c r="I436" s="8" t="n"/>
      <c r="J436" s="8" t="n"/>
      <c r="K436" s="11">
        <f>IF(B436="","",MAX(0,IFERROR(I436,0)*IFERROR(H436,0)-IFERROR(J436,0)))</f>
        <v/>
      </c>
      <c r="L436" s="8" t="n"/>
      <c r="M436" s="11">
        <f>IF(B436="","",MAX(0,K436-L436))</f>
        <v/>
      </c>
      <c r="N436" s="11">
        <f>IF(B436="","",IF(L436&gt;=K436,"Paid",IF(L436&gt;0,"Partial","Unpaid")))</f>
        <v/>
      </c>
      <c r="O436" s="5" t="n"/>
      <c r="P436" s="8" t="n"/>
      <c r="Q436" s="8" t="n"/>
      <c r="R436" s="11">
        <f>IF(B436="","",IFERROR(K436,0)+IFERROR(P436,0)-IFERROR(Q436,0))</f>
        <v/>
      </c>
      <c r="S436" s="5" t="n"/>
      <c r="T436" s="5" t="n"/>
      <c r="U436" s="11">
        <f>IF(B436="","",TRIM(LOWER(C436)&amp;"|"&amp;LOWER(D436)))</f>
        <v/>
      </c>
    </row>
    <row r="437">
      <c r="A437" s="11">
        <f>IF(B437="","",TEXT(ROW()-3,"""DC-""0000"))</f>
        <v/>
      </c>
      <c r="B437" s="5" t="n"/>
      <c r="C437" s="5" t="n"/>
      <c r="D437" s="5" t="n"/>
      <c r="E437" s="5" t="n"/>
      <c r="F437" s="5" t="n"/>
      <c r="G437" s="5" t="n"/>
      <c r="H437" s="8" t="n"/>
      <c r="I437" s="8" t="n"/>
      <c r="J437" s="8" t="n"/>
      <c r="K437" s="11">
        <f>IF(B437="","",MAX(0,IFERROR(I437,0)*IFERROR(H437,0)-IFERROR(J437,0)))</f>
        <v/>
      </c>
      <c r="L437" s="8" t="n"/>
      <c r="M437" s="11">
        <f>IF(B437="","",MAX(0,K437-L437))</f>
        <v/>
      </c>
      <c r="N437" s="11">
        <f>IF(B437="","",IF(L437&gt;=K437,"Paid",IF(L437&gt;0,"Partial","Unpaid")))</f>
        <v/>
      </c>
      <c r="O437" s="5" t="n"/>
      <c r="P437" s="8" t="n"/>
      <c r="Q437" s="8" t="n"/>
      <c r="R437" s="11">
        <f>IF(B437="","",IFERROR(K437,0)+IFERROR(P437,0)-IFERROR(Q437,0))</f>
        <v/>
      </c>
      <c r="S437" s="5" t="n"/>
      <c r="T437" s="5" t="n"/>
      <c r="U437" s="11">
        <f>IF(B437="","",TRIM(LOWER(C437)&amp;"|"&amp;LOWER(D437)))</f>
        <v/>
      </c>
    </row>
    <row r="438">
      <c r="A438" s="11">
        <f>IF(B438="","",TEXT(ROW()-3,"""DC-""0000"))</f>
        <v/>
      </c>
      <c r="B438" s="5" t="n"/>
      <c r="C438" s="5" t="n"/>
      <c r="D438" s="5" t="n"/>
      <c r="E438" s="5" t="n"/>
      <c r="F438" s="5" t="n"/>
      <c r="G438" s="5" t="n"/>
      <c r="H438" s="8" t="n"/>
      <c r="I438" s="8" t="n"/>
      <c r="J438" s="8" t="n"/>
      <c r="K438" s="11">
        <f>IF(B438="","",MAX(0,IFERROR(I438,0)*IFERROR(H438,0)-IFERROR(J438,0)))</f>
        <v/>
      </c>
      <c r="L438" s="8" t="n"/>
      <c r="M438" s="11">
        <f>IF(B438="","",MAX(0,K438-L438))</f>
        <v/>
      </c>
      <c r="N438" s="11">
        <f>IF(B438="","",IF(L438&gt;=K438,"Paid",IF(L438&gt;0,"Partial","Unpaid")))</f>
        <v/>
      </c>
      <c r="O438" s="5" t="n"/>
      <c r="P438" s="8" t="n"/>
      <c r="Q438" s="8" t="n"/>
      <c r="R438" s="11">
        <f>IF(B438="","",IFERROR(K438,0)+IFERROR(P438,0)-IFERROR(Q438,0))</f>
        <v/>
      </c>
      <c r="S438" s="5" t="n"/>
      <c r="T438" s="5" t="n"/>
      <c r="U438" s="11">
        <f>IF(B438="","",TRIM(LOWER(C438)&amp;"|"&amp;LOWER(D438)))</f>
        <v/>
      </c>
    </row>
    <row r="439">
      <c r="A439" s="11">
        <f>IF(B439="","",TEXT(ROW()-3,"""DC-""0000"))</f>
        <v/>
      </c>
      <c r="B439" s="5" t="n"/>
      <c r="C439" s="5" t="n"/>
      <c r="D439" s="5" t="n"/>
      <c r="E439" s="5" t="n"/>
      <c r="F439" s="5" t="n"/>
      <c r="G439" s="5" t="n"/>
      <c r="H439" s="8" t="n"/>
      <c r="I439" s="8" t="n"/>
      <c r="J439" s="8" t="n"/>
      <c r="K439" s="11">
        <f>IF(B439="","",MAX(0,IFERROR(I439,0)*IFERROR(H439,0)-IFERROR(J439,0)))</f>
        <v/>
      </c>
      <c r="L439" s="8" t="n"/>
      <c r="M439" s="11">
        <f>IF(B439="","",MAX(0,K439-L439))</f>
        <v/>
      </c>
      <c r="N439" s="11">
        <f>IF(B439="","",IF(L439&gt;=K439,"Paid",IF(L439&gt;0,"Partial","Unpaid")))</f>
        <v/>
      </c>
      <c r="O439" s="5" t="n"/>
      <c r="P439" s="8" t="n"/>
      <c r="Q439" s="8" t="n"/>
      <c r="R439" s="11">
        <f>IF(B439="","",IFERROR(K439,0)+IFERROR(P439,0)-IFERROR(Q439,0))</f>
        <v/>
      </c>
      <c r="S439" s="5" t="n"/>
      <c r="T439" s="5" t="n"/>
      <c r="U439" s="11">
        <f>IF(B439="","",TRIM(LOWER(C439)&amp;"|"&amp;LOWER(D439)))</f>
        <v/>
      </c>
    </row>
    <row r="440">
      <c r="A440" s="11">
        <f>IF(B440="","",TEXT(ROW()-3,"""DC-""0000"))</f>
        <v/>
      </c>
      <c r="B440" s="5" t="n"/>
      <c r="C440" s="5" t="n"/>
      <c r="D440" s="5" t="n"/>
      <c r="E440" s="5" t="n"/>
      <c r="F440" s="5" t="n"/>
      <c r="G440" s="5" t="n"/>
      <c r="H440" s="8" t="n"/>
      <c r="I440" s="8" t="n"/>
      <c r="J440" s="8" t="n"/>
      <c r="K440" s="11">
        <f>IF(B440="","",MAX(0,IFERROR(I440,0)*IFERROR(H440,0)-IFERROR(J440,0)))</f>
        <v/>
      </c>
      <c r="L440" s="8" t="n"/>
      <c r="M440" s="11">
        <f>IF(B440="","",MAX(0,K440-L440))</f>
        <v/>
      </c>
      <c r="N440" s="11">
        <f>IF(B440="","",IF(L440&gt;=K440,"Paid",IF(L440&gt;0,"Partial","Unpaid")))</f>
        <v/>
      </c>
      <c r="O440" s="5" t="n"/>
      <c r="P440" s="8" t="n"/>
      <c r="Q440" s="8" t="n"/>
      <c r="R440" s="11">
        <f>IF(B440="","",IFERROR(K440,0)+IFERROR(P440,0)-IFERROR(Q440,0))</f>
        <v/>
      </c>
      <c r="S440" s="5" t="n"/>
      <c r="T440" s="5" t="n"/>
      <c r="U440" s="11">
        <f>IF(B440="","",TRIM(LOWER(C440)&amp;"|"&amp;LOWER(D440)))</f>
        <v/>
      </c>
    </row>
    <row r="441">
      <c r="A441" s="11">
        <f>IF(B441="","",TEXT(ROW()-3,"""DC-""0000"))</f>
        <v/>
      </c>
      <c r="B441" s="5" t="n"/>
      <c r="C441" s="5" t="n"/>
      <c r="D441" s="5" t="n"/>
      <c r="E441" s="5" t="n"/>
      <c r="F441" s="5" t="n"/>
      <c r="G441" s="5" t="n"/>
      <c r="H441" s="8" t="n"/>
      <c r="I441" s="8" t="n"/>
      <c r="J441" s="8" t="n"/>
      <c r="K441" s="11">
        <f>IF(B441="","",MAX(0,IFERROR(I441,0)*IFERROR(H441,0)-IFERROR(J441,0)))</f>
        <v/>
      </c>
      <c r="L441" s="8" t="n"/>
      <c r="M441" s="11">
        <f>IF(B441="","",MAX(0,K441-L441))</f>
        <v/>
      </c>
      <c r="N441" s="11">
        <f>IF(B441="","",IF(L441&gt;=K441,"Paid",IF(L441&gt;0,"Partial","Unpaid")))</f>
        <v/>
      </c>
      <c r="O441" s="5" t="n"/>
      <c r="P441" s="8" t="n"/>
      <c r="Q441" s="8" t="n"/>
      <c r="R441" s="11">
        <f>IF(B441="","",IFERROR(K441,0)+IFERROR(P441,0)-IFERROR(Q441,0))</f>
        <v/>
      </c>
      <c r="S441" s="5" t="n"/>
      <c r="T441" s="5" t="n"/>
      <c r="U441" s="11">
        <f>IF(B441="","",TRIM(LOWER(C441)&amp;"|"&amp;LOWER(D441)))</f>
        <v/>
      </c>
    </row>
    <row r="442">
      <c r="A442" s="11">
        <f>IF(B442="","",TEXT(ROW()-3,"""DC-""0000"))</f>
        <v/>
      </c>
      <c r="B442" s="5" t="n"/>
      <c r="C442" s="5" t="n"/>
      <c r="D442" s="5" t="n"/>
      <c r="E442" s="5" t="n"/>
      <c r="F442" s="5" t="n"/>
      <c r="G442" s="5" t="n"/>
      <c r="H442" s="8" t="n"/>
      <c r="I442" s="8" t="n"/>
      <c r="J442" s="8" t="n"/>
      <c r="K442" s="11">
        <f>IF(B442="","",MAX(0,IFERROR(I442,0)*IFERROR(H442,0)-IFERROR(J442,0)))</f>
        <v/>
      </c>
      <c r="L442" s="8" t="n"/>
      <c r="M442" s="11">
        <f>IF(B442="","",MAX(0,K442-L442))</f>
        <v/>
      </c>
      <c r="N442" s="11">
        <f>IF(B442="","",IF(L442&gt;=K442,"Paid",IF(L442&gt;0,"Partial","Unpaid")))</f>
        <v/>
      </c>
      <c r="O442" s="5" t="n"/>
      <c r="P442" s="8" t="n"/>
      <c r="Q442" s="8" t="n"/>
      <c r="R442" s="11">
        <f>IF(B442="","",IFERROR(K442,0)+IFERROR(P442,0)-IFERROR(Q442,0))</f>
        <v/>
      </c>
      <c r="S442" s="5" t="n"/>
      <c r="T442" s="5" t="n"/>
      <c r="U442" s="11">
        <f>IF(B442="","",TRIM(LOWER(C442)&amp;"|"&amp;LOWER(D442)))</f>
        <v/>
      </c>
    </row>
    <row r="443">
      <c r="A443" s="11">
        <f>IF(B443="","",TEXT(ROW()-3,"""DC-""0000"))</f>
        <v/>
      </c>
      <c r="B443" s="5" t="n"/>
      <c r="C443" s="5" t="n"/>
      <c r="D443" s="5" t="n"/>
      <c r="E443" s="5" t="n"/>
      <c r="F443" s="5" t="n"/>
      <c r="G443" s="5" t="n"/>
      <c r="H443" s="8" t="n"/>
      <c r="I443" s="8" t="n"/>
      <c r="J443" s="8" t="n"/>
      <c r="K443" s="11">
        <f>IF(B443="","",MAX(0,IFERROR(I443,0)*IFERROR(H443,0)-IFERROR(J443,0)))</f>
        <v/>
      </c>
      <c r="L443" s="8" t="n"/>
      <c r="M443" s="11">
        <f>IF(B443="","",MAX(0,K443-L443))</f>
        <v/>
      </c>
      <c r="N443" s="11">
        <f>IF(B443="","",IF(L443&gt;=K443,"Paid",IF(L443&gt;0,"Partial","Unpaid")))</f>
        <v/>
      </c>
      <c r="O443" s="5" t="n"/>
      <c r="P443" s="8" t="n"/>
      <c r="Q443" s="8" t="n"/>
      <c r="R443" s="11">
        <f>IF(B443="","",IFERROR(K443,0)+IFERROR(P443,0)-IFERROR(Q443,0))</f>
        <v/>
      </c>
      <c r="S443" s="5" t="n"/>
      <c r="T443" s="5" t="n"/>
      <c r="U443" s="11">
        <f>IF(B443="","",TRIM(LOWER(C443)&amp;"|"&amp;LOWER(D443)))</f>
        <v/>
      </c>
    </row>
    <row r="444">
      <c r="A444" s="11">
        <f>IF(B444="","",TEXT(ROW()-3,"""DC-""0000"))</f>
        <v/>
      </c>
      <c r="B444" s="5" t="n"/>
      <c r="C444" s="5" t="n"/>
      <c r="D444" s="5" t="n"/>
      <c r="E444" s="5" t="n"/>
      <c r="F444" s="5" t="n"/>
      <c r="G444" s="5" t="n"/>
      <c r="H444" s="8" t="n"/>
      <c r="I444" s="8" t="n"/>
      <c r="J444" s="8" t="n"/>
      <c r="K444" s="11">
        <f>IF(B444="","",MAX(0,IFERROR(I444,0)*IFERROR(H444,0)-IFERROR(J444,0)))</f>
        <v/>
      </c>
      <c r="L444" s="8" t="n"/>
      <c r="M444" s="11">
        <f>IF(B444="","",MAX(0,K444-L444))</f>
        <v/>
      </c>
      <c r="N444" s="11">
        <f>IF(B444="","",IF(L444&gt;=K444,"Paid",IF(L444&gt;0,"Partial","Unpaid")))</f>
        <v/>
      </c>
      <c r="O444" s="5" t="n"/>
      <c r="P444" s="8" t="n"/>
      <c r="Q444" s="8" t="n"/>
      <c r="R444" s="11">
        <f>IF(B444="","",IFERROR(K444,0)+IFERROR(P444,0)-IFERROR(Q444,0))</f>
        <v/>
      </c>
      <c r="S444" s="5" t="n"/>
      <c r="T444" s="5" t="n"/>
      <c r="U444" s="11">
        <f>IF(B444="","",TRIM(LOWER(C444)&amp;"|"&amp;LOWER(D444)))</f>
        <v/>
      </c>
    </row>
    <row r="445">
      <c r="A445" s="11">
        <f>IF(B445="","",TEXT(ROW()-3,"""DC-""0000"))</f>
        <v/>
      </c>
      <c r="B445" s="5" t="n"/>
      <c r="C445" s="5" t="n"/>
      <c r="D445" s="5" t="n"/>
      <c r="E445" s="5" t="n"/>
      <c r="F445" s="5" t="n"/>
      <c r="G445" s="5" t="n"/>
      <c r="H445" s="8" t="n"/>
      <c r="I445" s="8" t="n"/>
      <c r="J445" s="8" t="n"/>
      <c r="K445" s="11">
        <f>IF(B445="","",MAX(0,IFERROR(I445,0)*IFERROR(H445,0)-IFERROR(J445,0)))</f>
        <v/>
      </c>
      <c r="L445" s="8" t="n"/>
      <c r="M445" s="11">
        <f>IF(B445="","",MAX(0,K445-L445))</f>
        <v/>
      </c>
      <c r="N445" s="11">
        <f>IF(B445="","",IF(L445&gt;=K445,"Paid",IF(L445&gt;0,"Partial","Unpaid")))</f>
        <v/>
      </c>
      <c r="O445" s="5" t="n"/>
      <c r="P445" s="8" t="n"/>
      <c r="Q445" s="8" t="n"/>
      <c r="R445" s="11">
        <f>IF(B445="","",IFERROR(K445,0)+IFERROR(P445,0)-IFERROR(Q445,0))</f>
        <v/>
      </c>
      <c r="S445" s="5" t="n"/>
      <c r="T445" s="5" t="n"/>
      <c r="U445" s="11">
        <f>IF(B445="","",TRIM(LOWER(C445)&amp;"|"&amp;LOWER(D445)))</f>
        <v/>
      </c>
    </row>
    <row r="446">
      <c r="A446" s="11">
        <f>IF(B446="","",TEXT(ROW()-3,"""DC-""0000"))</f>
        <v/>
      </c>
      <c r="B446" s="5" t="n"/>
      <c r="C446" s="5" t="n"/>
      <c r="D446" s="5" t="n"/>
      <c r="E446" s="5" t="n"/>
      <c r="F446" s="5" t="n"/>
      <c r="G446" s="5" t="n"/>
      <c r="H446" s="8" t="n"/>
      <c r="I446" s="8" t="n"/>
      <c r="J446" s="8" t="n"/>
      <c r="K446" s="11">
        <f>IF(B446="","",MAX(0,IFERROR(I446,0)*IFERROR(H446,0)-IFERROR(J446,0)))</f>
        <v/>
      </c>
      <c r="L446" s="8" t="n"/>
      <c r="M446" s="11">
        <f>IF(B446="","",MAX(0,K446-L446))</f>
        <v/>
      </c>
      <c r="N446" s="11">
        <f>IF(B446="","",IF(L446&gt;=K446,"Paid",IF(L446&gt;0,"Partial","Unpaid")))</f>
        <v/>
      </c>
      <c r="O446" s="5" t="n"/>
      <c r="P446" s="8" t="n"/>
      <c r="Q446" s="8" t="n"/>
      <c r="R446" s="11">
        <f>IF(B446="","",IFERROR(K446,0)+IFERROR(P446,0)-IFERROR(Q446,0))</f>
        <v/>
      </c>
      <c r="S446" s="5" t="n"/>
      <c r="T446" s="5" t="n"/>
      <c r="U446" s="11">
        <f>IF(B446="","",TRIM(LOWER(C446)&amp;"|"&amp;LOWER(D446)))</f>
        <v/>
      </c>
    </row>
    <row r="447">
      <c r="A447" s="11">
        <f>IF(B447="","",TEXT(ROW()-3,"""DC-""0000"))</f>
        <v/>
      </c>
      <c r="B447" s="5" t="n"/>
      <c r="C447" s="5" t="n"/>
      <c r="D447" s="5" t="n"/>
      <c r="E447" s="5" t="n"/>
      <c r="F447" s="5" t="n"/>
      <c r="G447" s="5" t="n"/>
      <c r="H447" s="8" t="n"/>
      <c r="I447" s="8" t="n"/>
      <c r="J447" s="8" t="n"/>
      <c r="K447" s="11">
        <f>IF(B447="","",MAX(0,IFERROR(I447,0)*IFERROR(H447,0)-IFERROR(J447,0)))</f>
        <v/>
      </c>
      <c r="L447" s="8" t="n"/>
      <c r="M447" s="11">
        <f>IF(B447="","",MAX(0,K447-L447))</f>
        <v/>
      </c>
      <c r="N447" s="11">
        <f>IF(B447="","",IF(L447&gt;=K447,"Paid",IF(L447&gt;0,"Partial","Unpaid")))</f>
        <v/>
      </c>
      <c r="O447" s="5" t="n"/>
      <c r="P447" s="8" t="n"/>
      <c r="Q447" s="8" t="n"/>
      <c r="R447" s="11">
        <f>IF(B447="","",IFERROR(K447,0)+IFERROR(P447,0)-IFERROR(Q447,0))</f>
        <v/>
      </c>
      <c r="S447" s="5" t="n"/>
      <c r="T447" s="5" t="n"/>
      <c r="U447" s="11">
        <f>IF(B447="","",TRIM(LOWER(C447)&amp;"|"&amp;LOWER(D447)))</f>
        <v/>
      </c>
    </row>
    <row r="448">
      <c r="A448" s="11">
        <f>IF(B448="","",TEXT(ROW()-3,"""DC-""0000"))</f>
        <v/>
      </c>
      <c r="B448" s="5" t="n"/>
      <c r="C448" s="5" t="n"/>
      <c r="D448" s="5" t="n"/>
      <c r="E448" s="5" t="n"/>
      <c r="F448" s="5" t="n"/>
      <c r="G448" s="5" t="n"/>
      <c r="H448" s="8" t="n"/>
      <c r="I448" s="8" t="n"/>
      <c r="J448" s="8" t="n"/>
      <c r="K448" s="11">
        <f>IF(B448="","",MAX(0,IFERROR(I448,0)*IFERROR(H448,0)-IFERROR(J448,0)))</f>
        <v/>
      </c>
      <c r="L448" s="8" t="n"/>
      <c r="M448" s="11">
        <f>IF(B448="","",MAX(0,K448-L448))</f>
        <v/>
      </c>
      <c r="N448" s="11">
        <f>IF(B448="","",IF(L448&gt;=K448,"Paid",IF(L448&gt;0,"Partial","Unpaid")))</f>
        <v/>
      </c>
      <c r="O448" s="5" t="n"/>
      <c r="P448" s="8" t="n"/>
      <c r="Q448" s="8" t="n"/>
      <c r="R448" s="11">
        <f>IF(B448="","",IFERROR(K448,0)+IFERROR(P448,0)-IFERROR(Q448,0))</f>
        <v/>
      </c>
      <c r="S448" s="5" t="n"/>
      <c r="T448" s="5" t="n"/>
      <c r="U448" s="11">
        <f>IF(B448="","",TRIM(LOWER(C448)&amp;"|"&amp;LOWER(D448)))</f>
        <v/>
      </c>
    </row>
    <row r="449">
      <c r="A449" s="11">
        <f>IF(B449="","",TEXT(ROW()-3,"""DC-""0000"))</f>
        <v/>
      </c>
      <c r="B449" s="5" t="n"/>
      <c r="C449" s="5" t="n"/>
      <c r="D449" s="5" t="n"/>
      <c r="E449" s="5" t="n"/>
      <c r="F449" s="5" t="n"/>
      <c r="G449" s="5" t="n"/>
      <c r="H449" s="8" t="n"/>
      <c r="I449" s="8" t="n"/>
      <c r="J449" s="8" t="n"/>
      <c r="K449" s="11">
        <f>IF(B449="","",MAX(0,IFERROR(I449,0)*IFERROR(H449,0)-IFERROR(J449,0)))</f>
        <v/>
      </c>
      <c r="L449" s="8" t="n"/>
      <c r="M449" s="11">
        <f>IF(B449="","",MAX(0,K449-L449))</f>
        <v/>
      </c>
      <c r="N449" s="11">
        <f>IF(B449="","",IF(L449&gt;=K449,"Paid",IF(L449&gt;0,"Partial","Unpaid")))</f>
        <v/>
      </c>
      <c r="O449" s="5" t="n"/>
      <c r="P449" s="8" t="n"/>
      <c r="Q449" s="8" t="n"/>
      <c r="R449" s="11">
        <f>IF(B449="","",IFERROR(K449,0)+IFERROR(P449,0)-IFERROR(Q449,0))</f>
        <v/>
      </c>
      <c r="S449" s="5" t="n"/>
      <c r="T449" s="5" t="n"/>
      <c r="U449" s="11">
        <f>IF(B449="","",TRIM(LOWER(C449)&amp;"|"&amp;LOWER(D449)))</f>
        <v/>
      </c>
    </row>
    <row r="450">
      <c r="A450" s="11">
        <f>IF(B450="","",TEXT(ROW()-3,"""DC-""0000"))</f>
        <v/>
      </c>
      <c r="B450" s="5" t="n"/>
      <c r="C450" s="5" t="n"/>
      <c r="D450" s="5" t="n"/>
      <c r="E450" s="5" t="n"/>
      <c r="F450" s="5" t="n"/>
      <c r="G450" s="5" t="n"/>
      <c r="H450" s="8" t="n"/>
      <c r="I450" s="8" t="n"/>
      <c r="J450" s="8" t="n"/>
      <c r="K450" s="11">
        <f>IF(B450="","",MAX(0,IFERROR(I450,0)*IFERROR(H450,0)-IFERROR(J450,0)))</f>
        <v/>
      </c>
      <c r="L450" s="8" t="n"/>
      <c r="M450" s="11">
        <f>IF(B450="","",MAX(0,K450-L450))</f>
        <v/>
      </c>
      <c r="N450" s="11">
        <f>IF(B450="","",IF(L450&gt;=K450,"Paid",IF(L450&gt;0,"Partial","Unpaid")))</f>
        <v/>
      </c>
      <c r="O450" s="5" t="n"/>
      <c r="P450" s="8" t="n"/>
      <c r="Q450" s="8" t="n"/>
      <c r="R450" s="11">
        <f>IF(B450="","",IFERROR(K450,0)+IFERROR(P450,0)-IFERROR(Q450,0))</f>
        <v/>
      </c>
      <c r="S450" s="5" t="n"/>
      <c r="T450" s="5" t="n"/>
      <c r="U450" s="11">
        <f>IF(B450="","",TRIM(LOWER(C450)&amp;"|"&amp;LOWER(D450)))</f>
        <v/>
      </c>
    </row>
    <row r="451">
      <c r="A451" s="11">
        <f>IF(B451="","",TEXT(ROW()-3,"""DC-""0000"))</f>
        <v/>
      </c>
      <c r="B451" s="5" t="n"/>
      <c r="C451" s="5" t="n"/>
      <c r="D451" s="5" t="n"/>
      <c r="E451" s="5" t="n"/>
      <c r="F451" s="5" t="n"/>
      <c r="G451" s="5" t="n"/>
      <c r="H451" s="8" t="n"/>
      <c r="I451" s="8" t="n"/>
      <c r="J451" s="8" t="n"/>
      <c r="K451" s="11">
        <f>IF(B451="","",MAX(0,IFERROR(I451,0)*IFERROR(H451,0)-IFERROR(J451,0)))</f>
        <v/>
      </c>
      <c r="L451" s="8" t="n"/>
      <c r="M451" s="11">
        <f>IF(B451="","",MAX(0,K451-L451))</f>
        <v/>
      </c>
      <c r="N451" s="11">
        <f>IF(B451="","",IF(L451&gt;=K451,"Paid",IF(L451&gt;0,"Partial","Unpaid")))</f>
        <v/>
      </c>
      <c r="O451" s="5" t="n"/>
      <c r="P451" s="8" t="n"/>
      <c r="Q451" s="8" t="n"/>
      <c r="R451" s="11">
        <f>IF(B451="","",IFERROR(K451,0)+IFERROR(P451,0)-IFERROR(Q451,0))</f>
        <v/>
      </c>
      <c r="S451" s="5" t="n"/>
      <c r="T451" s="5" t="n"/>
      <c r="U451" s="11">
        <f>IF(B451="","",TRIM(LOWER(C451)&amp;"|"&amp;LOWER(D451)))</f>
        <v/>
      </c>
    </row>
    <row r="452">
      <c r="A452" s="11">
        <f>IF(B452="","",TEXT(ROW()-3,"""DC-""0000"))</f>
        <v/>
      </c>
      <c r="B452" s="5" t="n"/>
      <c r="C452" s="5" t="n"/>
      <c r="D452" s="5" t="n"/>
      <c r="E452" s="5" t="n"/>
      <c r="F452" s="5" t="n"/>
      <c r="G452" s="5" t="n"/>
      <c r="H452" s="8" t="n"/>
      <c r="I452" s="8" t="n"/>
      <c r="J452" s="8" t="n"/>
      <c r="K452" s="11">
        <f>IF(B452="","",MAX(0,IFERROR(I452,0)*IFERROR(H452,0)-IFERROR(J452,0)))</f>
        <v/>
      </c>
      <c r="L452" s="8" t="n"/>
      <c r="M452" s="11">
        <f>IF(B452="","",MAX(0,K452-L452))</f>
        <v/>
      </c>
      <c r="N452" s="11">
        <f>IF(B452="","",IF(L452&gt;=K452,"Paid",IF(L452&gt;0,"Partial","Unpaid")))</f>
        <v/>
      </c>
      <c r="O452" s="5" t="n"/>
      <c r="P452" s="8" t="n"/>
      <c r="Q452" s="8" t="n"/>
      <c r="R452" s="11">
        <f>IF(B452="","",IFERROR(K452,0)+IFERROR(P452,0)-IFERROR(Q452,0))</f>
        <v/>
      </c>
      <c r="S452" s="5" t="n"/>
      <c r="T452" s="5" t="n"/>
      <c r="U452" s="11">
        <f>IF(B452="","",TRIM(LOWER(C452)&amp;"|"&amp;LOWER(D452)))</f>
        <v/>
      </c>
    </row>
    <row r="453">
      <c r="A453" s="11">
        <f>IF(B453="","",TEXT(ROW()-3,"""DC-""0000"))</f>
        <v/>
      </c>
      <c r="B453" s="5" t="n"/>
      <c r="C453" s="5" t="n"/>
      <c r="D453" s="5" t="n"/>
      <c r="E453" s="5" t="n"/>
      <c r="F453" s="5" t="n"/>
      <c r="G453" s="5" t="n"/>
      <c r="H453" s="8" t="n"/>
      <c r="I453" s="8" t="n"/>
      <c r="J453" s="8" t="n"/>
      <c r="K453" s="11">
        <f>IF(B453="","",MAX(0,IFERROR(I453,0)*IFERROR(H453,0)-IFERROR(J453,0)))</f>
        <v/>
      </c>
      <c r="L453" s="8" t="n"/>
      <c r="M453" s="11">
        <f>IF(B453="","",MAX(0,K453-L453))</f>
        <v/>
      </c>
      <c r="N453" s="11">
        <f>IF(B453="","",IF(L453&gt;=K453,"Paid",IF(L453&gt;0,"Partial","Unpaid")))</f>
        <v/>
      </c>
      <c r="O453" s="5" t="n"/>
      <c r="P453" s="8" t="n"/>
      <c r="Q453" s="8" t="n"/>
      <c r="R453" s="11">
        <f>IF(B453="","",IFERROR(K453,0)+IFERROR(P453,0)-IFERROR(Q453,0))</f>
        <v/>
      </c>
      <c r="S453" s="5" t="n"/>
      <c r="T453" s="5" t="n"/>
      <c r="U453" s="11">
        <f>IF(B453="","",TRIM(LOWER(C453)&amp;"|"&amp;LOWER(D453)))</f>
        <v/>
      </c>
    </row>
    <row r="454">
      <c r="A454" s="11">
        <f>IF(B454="","",TEXT(ROW()-3,"""DC-""0000"))</f>
        <v/>
      </c>
      <c r="B454" s="5" t="n"/>
      <c r="C454" s="5" t="n"/>
      <c r="D454" s="5" t="n"/>
      <c r="E454" s="5" t="n"/>
      <c r="F454" s="5" t="n"/>
      <c r="G454" s="5" t="n"/>
      <c r="H454" s="8" t="n"/>
      <c r="I454" s="8" t="n"/>
      <c r="J454" s="8" t="n"/>
      <c r="K454" s="11">
        <f>IF(B454="","",MAX(0,IFERROR(I454,0)*IFERROR(H454,0)-IFERROR(J454,0)))</f>
        <v/>
      </c>
      <c r="L454" s="8" t="n"/>
      <c r="M454" s="11">
        <f>IF(B454="","",MAX(0,K454-L454))</f>
        <v/>
      </c>
      <c r="N454" s="11">
        <f>IF(B454="","",IF(L454&gt;=K454,"Paid",IF(L454&gt;0,"Partial","Unpaid")))</f>
        <v/>
      </c>
      <c r="O454" s="5" t="n"/>
      <c r="P454" s="8" t="n"/>
      <c r="Q454" s="8" t="n"/>
      <c r="R454" s="11">
        <f>IF(B454="","",IFERROR(K454,0)+IFERROR(P454,0)-IFERROR(Q454,0))</f>
        <v/>
      </c>
      <c r="S454" s="5" t="n"/>
      <c r="T454" s="5" t="n"/>
      <c r="U454" s="11">
        <f>IF(B454="","",TRIM(LOWER(C454)&amp;"|"&amp;LOWER(D454)))</f>
        <v/>
      </c>
    </row>
    <row r="455">
      <c r="A455" s="11">
        <f>IF(B455="","",TEXT(ROW()-3,"""DC-""0000"))</f>
        <v/>
      </c>
      <c r="B455" s="5" t="n"/>
      <c r="C455" s="5" t="n"/>
      <c r="D455" s="5" t="n"/>
      <c r="E455" s="5" t="n"/>
      <c r="F455" s="5" t="n"/>
      <c r="G455" s="5" t="n"/>
      <c r="H455" s="8" t="n"/>
      <c r="I455" s="8" t="n"/>
      <c r="J455" s="8" t="n"/>
      <c r="K455" s="11">
        <f>IF(B455="","",MAX(0,IFERROR(I455,0)*IFERROR(H455,0)-IFERROR(J455,0)))</f>
        <v/>
      </c>
      <c r="L455" s="8" t="n"/>
      <c r="M455" s="11">
        <f>IF(B455="","",MAX(0,K455-L455))</f>
        <v/>
      </c>
      <c r="N455" s="11">
        <f>IF(B455="","",IF(L455&gt;=K455,"Paid",IF(L455&gt;0,"Partial","Unpaid")))</f>
        <v/>
      </c>
      <c r="O455" s="5" t="n"/>
      <c r="P455" s="8" t="n"/>
      <c r="Q455" s="8" t="n"/>
      <c r="R455" s="11">
        <f>IF(B455="","",IFERROR(K455,0)+IFERROR(P455,0)-IFERROR(Q455,0))</f>
        <v/>
      </c>
      <c r="S455" s="5" t="n"/>
      <c r="T455" s="5" t="n"/>
      <c r="U455" s="11">
        <f>IF(B455="","",TRIM(LOWER(C455)&amp;"|"&amp;LOWER(D455)))</f>
        <v/>
      </c>
    </row>
    <row r="456">
      <c r="A456" s="11">
        <f>IF(B456="","",TEXT(ROW()-3,"""DC-""0000"))</f>
        <v/>
      </c>
      <c r="B456" s="5" t="n"/>
      <c r="C456" s="5" t="n"/>
      <c r="D456" s="5" t="n"/>
      <c r="E456" s="5" t="n"/>
      <c r="F456" s="5" t="n"/>
      <c r="G456" s="5" t="n"/>
      <c r="H456" s="8" t="n"/>
      <c r="I456" s="8" t="n"/>
      <c r="J456" s="8" t="n"/>
      <c r="K456" s="11">
        <f>IF(B456="","",MAX(0,IFERROR(I456,0)*IFERROR(H456,0)-IFERROR(J456,0)))</f>
        <v/>
      </c>
      <c r="L456" s="8" t="n"/>
      <c r="M456" s="11">
        <f>IF(B456="","",MAX(0,K456-L456))</f>
        <v/>
      </c>
      <c r="N456" s="11">
        <f>IF(B456="","",IF(L456&gt;=K456,"Paid",IF(L456&gt;0,"Partial","Unpaid")))</f>
        <v/>
      </c>
      <c r="O456" s="5" t="n"/>
      <c r="P456" s="8" t="n"/>
      <c r="Q456" s="8" t="n"/>
      <c r="R456" s="11">
        <f>IF(B456="","",IFERROR(K456,0)+IFERROR(P456,0)-IFERROR(Q456,0))</f>
        <v/>
      </c>
      <c r="S456" s="5" t="n"/>
      <c r="T456" s="5" t="n"/>
      <c r="U456" s="11">
        <f>IF(B456="","",TRIM(LOWER(C456)&amp;"|"&amp;LOWER(D456)))</f>
        <v/>
      </c>
    </row>
    <row r="457">
      <c r="A457" s="11">
        <f>IF(B457="","",TEXT(ROW()-3,"""DC-""0000"))</f>
        <v/>
      </c>
      <c r="B457" s="5" t="n"/>
      <c r="C457" s="5" t="n"/>
      <c r="D457" s="5" t="n"/>
      <c r="E457" s="5" t="n"/>
      <c r="F457" s="5" t="n"/>
      <c r="G457" s="5" t="n"/>
      <c r="H457" s="8" t="n"/>
      <c r="I457" s="8" t="n"/>
      <c r="J457" s="8" t="n"/>
      <c r="K457" s="11">
        <f>IF(B457="","",MAX(0,IFERROR(I457,0)*IFERROR(H457,0)-IFERROR(J457,0)))</f>
        <v/>
      </c>
      <c r="L457" s="8" t="n"/>
      <c r="M457" s="11">
        <f>IF(B457="","",MAX(0,K457-L457))</f>
        <v/>
      </c>
      <c r="N457" s="11">
        <f>IF(B457="","",IF(L457&gt;=K457,"Paid",IF(L457&gt;0,"Partial","Unpaid")))</f>
        <v/>
      </c>
      <c r="O457" s="5" t="n"/>
      <c r="P457" s="8" t="n"/>
      <c r="Q457" s="8" t="n"/>
      <c r="R457" s="11">
        <f>IF(B457="","",IFERROR(K457,0)+IFERROR(P457,0)-IFERROR(Q457,0))</f>
        <v/>
      </c>
      <c r="S457" s="5" t="n"/>
      <c r="T457" s="5" t="n"/>
      <c r="U457" s="11">
        <f>IF(B457="","",TRIM(LOWER(C457)&amp;"|"&amp;LOWER(D457)))</f>
        <v/>
      </c>
    </row>
    <row r="458">
      <c r="A458" s="11">
        <f>IF(B458="","",TEXT(ROW()-3,"""DC-""0000"))</f>
        <v/>
      </c>
      <c r="B458" s="5" t="n"/>
      <c r="C458" s="5" t="n"/>
      <c r="D458" s="5" t="n"/>
      <c r="E458" s="5" t="n"/>
      <c r="F458" s="5" t="n"/>
      <c r="G458" s="5" t="n"/>
      <c r="H458" s="8" t="n"/>
      <c r="I458" s="8" t="n"/>
      <c r="J458" s="8" t="n"/>
      <c r="K458" s="11">
        <f>IF(B458="","",MAX(0,IFERROR(I458,0)*IFERROR(H458,0)-IFERROR(J458,0)))</f>
        <v/>
      </c>
      <c r="L458" s="8" t="n"/>
      <c r="M458" s="11">
        <f>IF(B458="","",MAX(0,K458-L458))</f>
        <v/>
      </c>
      <c r="N458" s="11">
        <f>IF(B458="","",IF(L458&gt;=K458,"Paid",IF(L458&gt;0,"Partial","Unpaid")))</f>
        <v/>
      </c>
      <c r="O458" s="5" t="n"/>
      <c r="P458" s="8" t="n"/>
      <c r="Q458" s="8" t="n"/>
      <c r="R458" s="11">
        <f>IF(B458="","",IFERROR(K458,0)+IFERROR(P458,0)-IFERROR(Q458,0))</f>
        <v/>
      </c>
      <c r="S458" s="5" t="n"/>
      <c r="T458" s="5" t="n"/>
      <c r="U458" s="11">
        <f>IF(B458="","",TRIM(LOWER(C458)&amp;"|"&amp;LOWER(D458)))</f>
        <v/>
      </c>
    </row>
    <row r="459">
      <c r="A459" s="11">
        <f>IF(B459="","",TEXT(ROW()-3,"""DC-""0000"))</f>
        <v/>
      </c>
      <c r="B459" s="5" t="n"/>
      <c r="C459" s="5" t="n"/>
      <c r="D459" s="5" t="n"/>
      <c r="E459" s="5" t="n"/>
      <c r="F459" s="5" t="n"/>
      <c r="G459" s="5" t="n"/>
      <c r="H459" s="8" t="n"/>
      <c r="I459" s="8" t="n"/>
      <c r="J459" s="8" t="n"/>
      <c r="K459" s="11">
        <f>IF(B459="","",MAX(0,IFERROR(I459,0)*IFERROR(H459,0)-IFERROR(J459,0)))</f>
        <v/>
      </c>
      <c r="L459" s="8" t="n"/>
      <c r="M459" s="11">
        <f>IF(B459="","",MAX(0,K459-L459))</f>
        <v/>
      </c>
      <c r="N459" s="11">
        <f>IF(B459="","",IF(L459&gt;=K459,"Paid",IF(L459&gt;0,"Partial","Unpaid")))</f>
        <v/>
      </c>
      <c r="O459" s="5" t="n"/>
      <c r="P459" s="8" t="n"/>
      <c r="Q459" s="8" t="n"/>
      <c r="R459" s="11">
        <f>IF(B459="","",IFERROR(K459,0)+IFERROR(P459,0)-IFERROR(Q459,0))</f>
        <v/>
      </c>
      <c r="S459" s="5" t="n"/>
      <c r="T459" s="5" t="n"/>
      <c r="U459" s="11">
        <f>IF(B459="","",TRIM(LOWER(C459)&amp;"|"&amp;LOWER(D459)))</f>
        <v/>
      </c>
    </row>
    <row r="460">
      <c r="A460" s="11">
        <f>IF(B460="","",TEXT(ROW()-3,"""DC-""0000"))</f>
        <v/>
      </c>
      <c r="B460" s="5" t="n"/>
      <c r="C460" s="5" t="n"/>
      <c r="D460" s="5" t="n"/>
      <c r="E460" s="5" t="n"/>
      <c r="F460" s="5" t="n"/>
      <c r="G460" s="5" t="n"/>
      <c r="H460" s="8" t="n"/>
      <c r="I460" s="8" t="n"/>
      <c r="J460" s="8" t="n"/>
      <c r="K460" s="11">
        <f>IF(B460="","",MAX(0,IFERROR(I460,0)*IFERROR(H460,0)-IFERROR(J460,0)))</f>
        <v/>
      </c>
      <c r="L460" s="8" t="n"/>
      <c r="M460" s="11">
        <f>IF(B460="","",MAX(0,K460-L460))</f>
        <v/>
      </c>
      <c r="N460" s="11">
        <f>IF(B460="","",IF(L460&gt;=K460,"Paid",IF(L460&gt;0,"Partial","Unpaid")))</f>
        <v/>
      </c>
      <c r="O460" s="5" t="n"/>
      <c r="P460" s="8" t="n"/>
      <c r="Q460" s="8" t="n"/>
      <c r="R460" s="11">
        <f>IF(B460="","",IFERROR(K460,0)+IFERROR(P460,0)-IFERROR(Q460,0))</f>
        <v/>
      </c>
      <c r="S460" s="5" t="n"/>
      <c r="T460" s="5" t="n"/>
      <c r="U460" s="11">
        <f>IF(B460="","",TRIM(LOWER(C460)&amp;"|"&amp;LOWER(D460)))</f>
        <v/>
      </c>
    </row>
    <row r="461">
      <c r="A461" s="11">
        <f>IF(B461="","",TEXT(ROW()-3,"""DC-""0000"))</f>
        <v/>
      </c>
      <c r="B461" s="5" t="n"/>
      <c r="C461" s="5" t="n"/>
      <c r="D461" s="5" t="n"/>
      <c r="E461" s="5" t="n"/>
      <c r="F461" s="5" t="n"/>
      <c r="G461" s="5" t="n"/>
      <c r="H461" s="8" t="n"/>
      <c r="I461" s="8" t="n"/>
      <c r="J461" s="8" t="n"/>
      <c r="K461" s="11">
        <f>IF(B461="","",MAX(0,IFERROR(I461,0)*IFERROR(H461,0)-IFERROR(J461,0)))</f>
        <v/>
      </c>
      <c r="L461" s="8" t="n"/>
      <c r="M461" s="11">
        <f>IF(B461="","",MAX(0,K461-L461))</f>
        <v/>
      </c>
      <c r="N461" s="11">
        <f>IF(B461="","",IF(L461&gt;=K461,"Paid",IF(L461&gt;0,"Partial","Unpaid")))</f>
        <v/>
      </c>
      <c r="O461" s="5" t="n"/>
      <c r="P461" s="8" t="n"/>
      <c r="Q461" s="8" t="n"/>
      <c r="R461" s="11">
        <f>IF(B461="","",IFERROR(K461,0)+IFERROR(P461,0)-IFERROR(Q461,0))</f>
        <v/>
      </c>
      <c r="S461" s="5" t="n"/>
      <c r="T461" s="5" t="n"/>
      <c r="U461" s="11">
        <f>IF(B461="","",TRIM(LOWER(C461)&amp;"|"&amp;LOWER(D461)))</f>
        <v/>
      </c>
    </row>
    <row r="462">
      <c r="A462" s="11">
        <f>IF(B462="","",TEXT(ROW()-3,"""DC-""0000"))</f>
        <v/>
      </c>
      <c r="B462" s="5" t="n"/>
      <c r="C462" s="5" t="n"/>
      <c r="D462" s="5" t="n"/>
      <c r="E462" s="5" t="n"/>
      <c r="F462" s="5" t="n"/>
      <c r="G462" s="5" t="n"/>
      <c r="H462" s="8" t="n"/>
      <c r="I462" s="8" t="n"/>
      <c r="J462" s="8" t="n"/>
      <c r="K462" s="11">
        <f>IF(B462="","",MAX(0,IFERROR(I462,0)*IFERROR(H462,0)-IFERROR(J462,0)))</f>
        <v/>
      </c>
      <c r="L462" s="8" t="n"/>
      <c r="M462" s="11">
        <f>IF(B462="","",MAX(0,K462-L462))</f>
        <v/>
      </c>
      <c r="N462" s="11">
        <f>IF(B462="","",IF(L462&gt;=K462,"Paid",IF(L462&gt;0,"Partial","Unpaid")))</f>
        <v/>
      </c>
      <c r="O462" s="5" t="n"/>
      <c r="P462" s="8" t="n"/>
      <c r="Q462" s="8" t="n"/>
      <c r="R462" s="11">
        <f>IF(B462="","",IFERROR(K462,0)+IFERROR(P462,0)-IFERROR(Q462,0))</f>
        <v/>
      </c>
      <c r="S462" s="5" t="n"/>
      <c r="T462" s="5" t="n"/>
      <c r="U462" s="11">
        <f>IF(B462="","",TRIM(LOWER(C462)&amp;"|"&amp;LOWER(D462)))</f>
        <v/>
      </c>
    </row>
    <row r="463">
      <c r="A463" s="11">
        <f>IF(B463="","",TEXT(ROW()-3,"""DC-""0000"))</f>
        <v/>
      </c>
      <c r="B463" s="5" t="n"/>
      <c r="C463" s="5" t="n"/>
      <c r="D463" s="5" t="n"/>
      <c r="E463" s="5" t="n"/>
      <c r="F463" s="5" t="n"/>
      <c r="G463" s="5" t="n"/>
      <c r="H463" s="8" t="n"/>
      <c r="I463" s="8" t="n"/>
      <c r="J463" s="8" t="n"/>
      <c r="K463" s="11">
        <f>IF(B463="","",MAX(0,IFERROR(I463,0)*IFERROR(H463,0)-IFERROR(J463,0)))</f>
        <v/>
      </c>
      <c r="L463" s="8" t="n"/>
      <c r="M463" s="11">
        <f>IF(B463="","",MAX(0,K463-L463))</f>
        <v/>
      </c>
      <c r="N463" s="11">
        <f>IF(B463="","",IF(L463&gt;=K463,"Paid",IF(L463&gt;0,"Partial","Unpaid")))</f>
        <v/>
      </c>
      <c r="O463" s="5" t="n"/>
      <c r="P463" s="8" t="n"/>
      <c r="Q463" s="8" t="n"/>
      <c r="R463" s="11">
        <f>IF(B463="","",IFERROR(K463,0)+IFERROR(P463,0)-IFERROR(Q463,0))</f>
        <v/>
      </c>
      <c r="S463" s="5" t="n"/>
      <c r="T463" s="5" t="n"/>
      <c r="U463" s="11">
        <f>IF(B463="","",TRIM(LOWER(C463)&amp;"|"&amp;LOWER(D463)))</f>
        <v/>
      </c>
    </row>
    <row r="464">
      <c r="A464" s="11">
        <f>IF(B464="","",TEXT(ROW()-3,"""DC-""0000"))</f>
        <v/>
      </c>
      <c r="B464" s="5" t="n"/>
      <c r="C464" s="5" t="n"/>
      <c r="D464" s="5" t="n"/>
      <c r="E464" s="5" t="n"/>
      <c r="F464" s="5" t="n"/>
      <c r="G464" s="5" t="n"/>
      <c r="H464" s="8" t="n"/>
      <c r="I464" s="8" t="n"/>
      <c r="J464" s="8" t="n"/>
      <c r="K464" s="11">
        <f>IF(B464="","",MAX(0,IFERROR(I464,0)*IFERROR(H464,0)-IFERROR(J464,0)))</f>
        <v/>
      </c>
      <c r="L464" s="8" t="n"/>
      <c r="M464" s="11">
        <f>IF(B464="","",MAX(0,K464-L464))</f>
        <v/>
      </c>
      <c r="N464" s="11">
        <f>IF(B464="","",IF(L464&gt;=K464,"Paid",IF(L464&gt;0,"Partial","Unpaid")))</f>
        <v/>
      </c>
      <c r="O464" s="5" t="n"/>
      <c r="P464" s="8" t="n"/>
      <c r="Q464" s="8" t="n"/>
      <c r="R464" s="11">
        <f>IF(B464="","",IFERROR(K464,0)+IFERROR(P464,0)-IFERROR(Q464,0))</f>
        <v/>
      </c>
      <c r="S464" s="5" t="n"/>
      <c r="T464" s="5" t="n"/>
      <c r="U464" s="11">
        <f>IF(B464="","",TRIM(LOWER(C464)&amp;"|"&amp;LOWER(D464)))</f>
        <v/>
      </c>
    </row>
    <row r="465">
      <c r="A465" s="11">
        <f>IF(B465="","",TEXT(ROW()-3,"""DC-""0000"))</f>
        <v/>
      </c>
      <c r="B465" s="5" t="n"/>
      <c r="C465" s="5" t="n"/>
      <c r="D465" s="5" t="n"/>
      <c r="E465" s="5" t="n"/>
      <c r="F465" s="5" t="n"/>
      <c r="G465" s="5" t="n"/>
      <c r="H465" s="8" t="n"/>
      <c r="I465" s="8" t="n"/>
      <c r="J465" s="8" t="n"/>
      <c r="K465" s="11">
        <f>IF(B465="","",MAX(0,IFERROR(I465,0)*IFERROR(H465,0)-IFERROR(J465,0)))</f>
        <v/>
      </c>
      <c r="L465" s="8" t="n"/>
      <c r="M465" s="11">
        <f>IF(B465="","",MAX(0,K465-L465))</f>
        <v/>
      </c>
      <c r="N465" s="11">
        <f>IF(B465="","",IF(L465&gt;=K465,"Paid",IF(L465&gt;0,"Partial","Unpaid")))</f>
        <v/>
      </c>
      <c r="O465" s="5" t="n"/>
      <c r="P465" s="8" t="n"/>
      <c r="Q465" s="8" t="n"/>
      <c r="R465" s="11">
        <f>IF(B465="","",IFERROR(K465,0)+IFERROR(P465,0)-IFERROR(Q465,0))</f>
        <v/>
      </c>
      <c r="S465" s="5" t="n"/>
      <c r="T465" s="5" t="n"/>
      <c r="U465" s="11">
        <f>IF(B465="","",TRIM(LOWER(C465)&amp;"|"&amp;LOWER(D465)))</f>
        <v/>
      </c>
    </row>
    <row r="466">
      <c r="A466" s="11">
        <f>IF(B466="","",TEXT(ROW()-3,"""DC-""0000"))</f>
        <v/>
      </c>
      <c r="B466" s="5" t="n"/>
      <c r="C466" s="5" t="n"/>
      <c r="D466" s="5" t="n"/>
      <c r="E466" s="5" t="n"/>
      <c r="F466" s="5" t="n"/>
      <c r="G466" s="5" t="n"/>
      <c r="H466" s="8" t="n"/>
      <c r="I466" s="8" t="n"/>
      <c r="J466" s="8" t="n"/>
      <c r="K466" s="11">
        <f>IF(B466="","",MAX(0,IFERROR(I466,0)*IFERROR(H466,0)-IFERROR(J466,0)))</f>
        <v/>
      </c>
      <c r="L466" s="8" t="n"/>
      <c r="M466" s="11">
        <f>IF(B466="","",MAX(0,K466-L466))</f>
        <v/>
      </c>
      <c r="N466" s="11">
        <f>IF(B466="","",IF(L466&gt;=K466,"Paid",IF(L466&gt;0,"Partial","Unpaid")))</f>
        <v/>
      </c>
      <c r="O466" s="5" t="n"/>
      <c r="P466" s="8" t="n"/>
      <c r="Q466" s="8" t="n"/>
      <c r="R466" s="11">
        <f>IF(B466="","",IFERROR(K466,0)+IFERROR(P466,0)-IFERROR(Q466,0))</f>
        <v/>
      </c>
      <c r="S466" s="5" t="n"/>
      <c r="T466" s="5" t="n"/>
      <c r="U466" s="11">
        <f>IF(B466="","",TRIM(LOWER(C466)&amp;"|"&amp;LOWER(D466)))</f>
        <v/>
      </c>
    </row>
    <row r="467">
      <c r="A467" s="11">
        <f>IF(B467="","",TEXT(ROW()-3,"""DC-""0000"))</f>
        <v/>
      </c>
      <c r="B467" s="5" t="n"/>
      <c r="C467" s="5" t="n"/>
      <c r="D467" s="5" t="n"/>
      <c r="E467" s="5" t="n"/>
      <c r="F467" s="5" t="n"/>
      <c r="G467" s="5" t="n"/>
      <c r="H467" s="8" t="n"/>
      <c r="I467" s="8" t="n"/>
      <c r="J467" s="8" t="n"/>
      <c r="K467" s="11">
        <f>IF(B467="","",MAX(0,IFERROR(I467,0)*IFERROR(H467,0)-IFERROR(J467,0)))</f>
        <v/>
      </c>
      <c r="L467" s="8" t="n"/>
      <c r="M467" s="11">
        <f>IF(B467="","",MAX(0,K467-L467))</f>
        <v/>
      </c>
      <c r="N467" s="11">
        <f>IF(B467="","",IF(L467&gt;=K467,"Paid",IF(L467&gt;0,"Partial","Unpaid")))</f>
        <v/>
      </c>
      <c r="O467" s="5" t="n"/>
      <c r="P467" s="8" t="n"/>
      <c r="Q467" s="8" t="n"/>
      <c r="R467" s="11">
        <f>IF(B467="","",IFERROR(K467,0)+IFERROR(P467,0)-IFERROR(Q467,0))</f>
        <v/>
      </c>
      <c r="S467" s="5" t="n"/>
      <c r="T467" s="5" t="n"/>
      <c r="U467" s="11">
        <f>IF(B467="","",TRIM(LOWER(C467)&amp;"|"&amp;LOWER(D467)))</f>
        <v/>
      </c>
    </row>
    <row r="468">
      <c r="A468" s="11">
        <f>IF(B468="","",TEXT(ROW()-3,"""DC-""0000"))</f>
        <v/>
      </c>
      <c r="B468" s="5" t="n"/>
      <c r="C468" s="5" t="n"/>
      <c r="D468" s="5" t="n"/>
      <c r="E468" s="5" t="n"/>
      <c r="F468" s="5" t="n"/>
      <c r="G468" s="5" t="n"/>
      <c r="H468" s="8" t="n"/>
      <c r="I468" s="8" t="n"/>
      <c r="J468" s="8" t="n"/>
      <c r="K468" s="11">
        <f>IF(B468="","",MAX(0,IFERROR(I468,0)*IFERROR(H468,0)-IFERROR(J468,0)))</f>
        <v/>
      </c>
      <c r="L468" s="8" t="n"/>
      <c r="M468" s="11">
        <f>IF(B468="","",MAX(0,K468-L468))</f>
        <v/>
      </c>
      <c r="N468" s="11">
        <f>IF(B468="","",IF(L468&gt;=K468,"Paid",IF(L468&gt;0,"Partial","Unpaid")))</f>
        <v/>
      </c>
      <c r="O468" s="5" t="n"/>
      <c r="P468" s="8" t="n"/>
      <c r="Q468" s="8" t="n"/>
      <c r="R468" s="11">
        <f>IF(B468="","",IFERROR(K468,0)+IFERROR(P468,0)-IFERROR(Q468,0))</f>
        <v/>
      </c>
      <c r="S468" s="5" t="n"/>
      <c r="T468" s="5" t="n"/>
      <c r="U468" s="11">
        <f>IF(B468="","",TRIM(LOWER(C468)&amp;"|"&amp;LOWER(D468)))</f>
        <v/>
      </c>
    </row>
    <row r="469">
      <c r="A469" s="11">
        <f>IF(B469="","",TEXT(ROW()-3,"""DC-""0000"))</f>
        <v/>
      </c>
      <c r="B469" s="5" t="n"/>
      <c r="C469" s="5" t="n"/>
      <c r="D469" s="5" t="n"/>
      <c r="E469" s="5" t="n"/>
      <c r="F469" s="5" t="n"/>
      <c r="G469" s="5" t="n"/>
      <c r="H469" s="8" t="n"/>
      <c r="I469" s="8" t="n"/>
      <c r="J469" s="8" t="n"/>
      <c r="K469" s="11">
        <f>IF(B469="","",MAX(0,IFERROR(I469,0)*IFERROR(H469,0)-IFERROR(J469,0)))</f>
        <v/>
      </c>
      <c r="L469" s="8" t="n"/>
      <c r="M469" s="11">
        <f>IF(B469="","",MAX(0,K469-L469))</f>
        <v/>
      </c>
      <c r="N469" s="11">
        <f>IF(B469="","",IF(L469&gt;=K469,"Paid",IF(L469&gt;0,"Partial","Unpaid")))</f>
        <v/>
      </c>
      <c r="O469" s="5" t="n"/>
      <c r="P469" s="8" t="n"/>
      <c r="Q469" s="8" t="n"/>
      <c r="R469" s="11">
        <f>IF(B469="","",IFERROR(K469,0)+IFERROR(P469,0)-IFERROR(Q469,0))</f>
        <v/>
      </c>
      <c r="S469" s="5" t="n"/>
      <c r="T469" s="5" t="n"/>
      <c r="U469" s="11">
        <f>IF(B469="","",TRIM(LOWER(C469)&amp;"|"&amp;LOWER(D469)))</f>
        <v/>
      </c>
    </row>
    <row r="470">
      <c r="A470" s="11">
        <f>IF(B470="","",TEXT(ROW()-3,"""DC-""0000"))</f>
        <v/>
      </c>
      <c r="B470" s="5" t="n"/>
      <c r="C470" s="5" t="n"/>
      <c r="D470" s="5" t="n"/>
      <c r="E470" s="5" t="n"/>
      <c r="F470" s="5" t="n"/>
      <c r="G470" s="5" t="n"/>
      <c r="H470" s="8" t="n"/>
      <c r="I470" s="8" t="n"/>
      <c r="J470" s="8" t="n"/>
      <c r="K470" s="11">
        <f>IF(B470="","",MAX(0,IFERROR(I470,0)*IFERROR(H470,0)-IFERROR(J470,0)))</f>
        <v/>
      </c>
      <c r="L470" s="8" t="n"/>
      <c r="M470" s="11">
        <f>IF(B470="","",MAX(0,K470-L470))</f>
        <v/>
      </c>
      <c r="N470" s="11">
        <f>IF(B470="","",IF(L470&gt;=K470,"Paid",IF(L470&gt;0,"Partial","Unpaid")))</f>
        <v/>
      </c>
      <c r="O470" s="5" t="n"/>
      <c r="P470" s="8" t="n"/>
      <c r="Q470" s="8" t="n"/>
      <c r="R470" s="11">
        <f>IF(B470="","",IFERROR(K470,0)+IFERROR(P470,0)-IFERROR(Q470,0))</f>
        <v/>
      </c>
      <c r="S470" s="5" t="n"/>
      <c r="T470" s="5" t="n"/>
      <c r="U470" s="11">
        <f>IF(B470="","",TRIM(LOWER(C470)&amp;"|"&amp;LOWER(D470)))</f>
        <v/>
      </c>
    </row>
    <row r="471">
      <c r="A471" s="11">
        <f>IF(B471="","",TEXT(ROW()-3,"""DC-""0000"))</f>
        <v/>
      </c>
      <c r="B471" s="5" t="n"/>
      <c r="C471" s="5" t="n"/>
      <c r="D471" s="5" t="n"/>
      <c r="E471" s="5" t="n"/>
      <c r="F471" s="5" t="n"/>
      <c r="G471" s="5" t="n"/>
      <c r="H471" s="8" t="n"/>
      <c r="I471" s="8" t="n"/>
      <c r="J471" s="8" t="n"/>
      <c r="K471" s="11">
        <f>IF(B471="","",MAX(0,IFERROR(I471,0)*IFERROR(H471,0)-IFERROR(J471,0)))</f>
        <v/>
      </c>
      <c r="L471" s="8" t="n"/>
      <c r="M471" s="11">
        <f>IF(B471="","",MAX(0,K471-L471))</f>
        <v/>
      </c>
      <c r="N471" s="11">
        <f>IF(B471="","",IF(L471&gt;=K471,"Paid",IF(L471&gt;0,"Partial","Unpaid")))</f>
        <v/>
      </c>
      <c r="O471" s="5" t="n"/>
      <c r="P471" s="8" t="n"/>
      <c r="Q471" s="8" t="n"/>
      <c r="R471" s="11">
        <f>IF(B471="","",IFERROR(K471,0)+IFERROR(P471,0)-IFERROR(Q471,0))</f>
        <v/>
      </c>
      <c r="S471" s="5" t="n"/>
      <c r="T471" s="5" t="n"/>
      <c r="U471" s="11">
        <f>IF(B471="","",TRIM(LOWER(C471)&amp;"|"&amp;LOWER(D471)))</f>
        <v/>
      </c>
    </row>
    <row r="472">
      <c r="A472" s="11">
        <f>IF(B472="","",TEXT(ROW()-3,"""DC-""0000"))</f>
        <v/>
      </c>
      <c r="B472" s="5" t="n"/>
      <c r="C472" s="5" t="n"/>
      <c r="D472" s="5" t="n"/>
      <c r="E472" s="5" t="n"/>
      <c r="F472" s="5" t="n"/>
      <c r="G472" s="5" t="n"/>
      <c r="H472" s="8" t="n"/>
      <c r="I472" s="8" t="n"/>
      <c r="J472" s="8" t="n"/>
      <c r="K472" s="11">
        <f>IF(B472="","",MAX(0,IFERROR(I472,0)*IFERROR(H472,0)-IFERROR(J472,0)))</f>
        <v/>
      </c>
      <c r="L472" s="8" t="n"/>
      <c r="M472" s="11">
        <f>IF(B472="","",MAX(0,K472-L472))</f>
        <v/>
      </c>
      <c r="N472" s="11">
        <f>IF(B472="","",IF(L472&gt;=K472,"Paid",IF(L472&gt;0,"Partial","Unpaid")))</f>
        <v/>
      </c>
      <c r="O472" s="5" t="n"/>
      <c r="P472" s="8" t="n"/>
      <c r="Q472" s="8" t="n"/>
      <c r="R472" s="11">
        <f>IF(B472="","",IFERROR(K472,0)+IFERROR(P472,0)-IFERROR(Q472,0))</f>
        <v/>
      </c>
      <c r="S472" s="5" t="n"/>
      <c r="T472" s="5" t="n"/>
      <c r="U472" s="11">
        <f>IF(B472="","",TRIM(LOWER(C472)&amp;"|"&amp;LOWER(D472)))</f>
        <v/>
      </c>
    </row>
    <row r="473">
      <c r="A473" s="11">
        <f>IF(B473="","",TEXT(ROW()-3,"""DC-""0000"))</f>
        <v/>
      </c>
      <c r="B473" s="5" t="n"/>
      <c r="C473" s="5" t="n"/>
      <c r="D473" s="5" t="n"/>
      <c r="E473" s="5" t="n"/>
      <c r="F473" s="5" t="n"/>
      <c r="G473" s="5" t="n"/>
      <c r="H473" s="8" t="n"/>
      <c r="I473" s="8" t="n"/>
      <c r="J473" s="8" t="n"/>
      <c r="K473" s="11">
        <f>IF(B473="","",MAX(0,IFERROR(I473,0)*IFERROR(H473,0)-IFERROR(J473,0)))</f>
        <v/>
      </c>
      <c r="L473" s="8" t="n"/>
      <c r="M473" s="11">
        <f>IF(B473="","",MAX(0,K473-L473))</f>
        <v/>
      </c>
      <c r="N473" s="11">
        <f>IF(B473="","",IF(L473&gt;=K473,"Paid",IF(L473&gt;0,"Partial","Unpaid")))</f>
        <v/>
      </c>
      <c r="O473" s="5" t="n"/>
      <c r="P473" s="8" t="n"/>
      <c r="Q473" s="8" t="n"/>
      <c r="R473" s="11">
        <f>IF(B473="","",IFERROR(K473,0)+IFERROR(P473,0)-IFERROR(Q473,0))</f>
        <v/>
      </c>
      <c r="S473" s="5" t="n"/>
      <c r="T473" s="5" t="n"/>
      <c r="U473" s="11">
        <f>IF(B473="","",TRIM(LOWER(C473)&amp;"|"&amp;LOWER(D473)))</f>
        <v/>
      </c>
    </row>
    <row r="474">
      <c r="A474" s="11">
        <f>IF(B474="","",TEXT(ROW()-3,"""DC-""0000"))</f>
        <v/>
      </c>
      <c r="B474" s="5" t="n"/>
      <c r="C474" s="5" t="n"/>
      <c r="D474" s="5" t="n"/>
      <c r="E474" s="5" t="n"/>
      <c r="F474" s="5" t="n"/>
      <c r="G474" s="5" t="n"/>
      <c r="H474" s="8" t="n"/>
      <c r="I474" s="8" t="n"/>
      <c r="J474" s="8" t="n"/>
      <c r="K474" s="11">
        <f>IF(B474="","",MAX(0,IFERROR(I474,0)*IFERROR(H474,0)-IFERROR(J474,0)))</f>
        <v/>
      </c>
      <c r="L474" s="8" t="n"/>
      <c r="M474" s="11">
        <f>IF(B474="","",MAX(0,K474-L474))</f>
        <v/>
      </c>
      <c r="N474" s="11">
        <f>IF(B474="","",IF(L474&gt;=K474,"Paid",IF(L474&gt;0,"Partial","Unpaid")))</f>
        <v/>
      </c>
      <c r="O474" s="5" t="n"/>
      <c r="P474" s="8" t="n"/>
      <c r="Q474" s="8" t="n"/>
      <c r="R474" s="11">
        <f>IF(B474="","",IFERROR(K474,0)+IFERROR(P474,0)-IFERROR(Q474,0))</f>
        <v/>
      </c>
      <c r="S474" s="5" t="n"/>
      <c r="T474" s="5" t="n"/>
      <c r="U474" s="11">
        <f>IF(B474="","",TRIM(LOWER(C474)&amp;"|"&amp;LOWER(D474)))</f>
        <v/>
      </c>
    </row>
    <row r="475">
      <c r="A475" s="11">
        <f>IF(B475="","",TEXT(ROW()-3,"""DC-""0000"))</f>
        <v/>
      </c>
      <c r="B475" s="5" t="n"/>
      <c r="C475" s="5" t="n"/>
      <c r="D475" s="5" t="n"/>
      <c r="E475" s="5" t="n"/>
      <c r="F475" s="5" t="n"/>
      <c r="G475" s="5" t="n"/>
      <c r="H475" s="8" t="n"/>
      <c r="I475" s="8" t="n"/>
      <c r="J475" s="8" t="n"/>
      <c r="K475" s="11">
        <f>IF(B475="","",MAX(0,IFERROR(I475,0)*IFERROR(H475,0)-IFERROR(J475,0)))</f>
        <v/>
      </c>
      <c r="L475" s="8" t="n"/>
      <c r="M475" s="11">
        <f>IF(B475="","",MAX(0,K475-L475))</f>
        <v/>
      </c>
      <c r="N475" s="11">
        <f>IF(B475="","",IF(L475&gt;=K475,"Paid",IF(L475&gt;0,"Partial","Unpaid")))</f>
        <v/>
      </c>
      <c r="O475" s="5" t="n"/>
      <c r="P475" s="8" t="n"/>
      <c r="Q475" s="8" t="n"/>
      <c r="R475" s="11">
        <f>IF(B475="","",IFERROR(K475,0)+IFERROR(P475,0)-IFERROR(Q475,0))</f>
        <v/>
      </c>
      <c r="S475" s="5" t="n"/>
      <c r="T475" s="5" t="n"/>
      <c r="U475" s="11">
        <f>IF(B475="","",TRIM(LOWER(C475)&amp;"|"&amp;LOWER(D475)))</f>
        <v/>
      </c>
    </row>
    <row r="476">
      <c r="A476" s="11">
        <f>IF(B476="","",TEXT(ROW()-3,"""DC-""0000"))</f>
        <v/>
      </c>
      <c r="B476" s="5" t="n"/>
      <c r="C476" s="5" t="n"/>
      <c r="D476" s="5" t="n"/>
      <c r="E476" s="5" t="n"/>
      <c r="F476" s="5" t="n"/>
      <c r="G476" s="5" t="n"/>
      <c r="H476" s="8" t="n"/>
      <c r="I476" s="8" t="n"/>
      <c r="J476" s="8" t="n"/>
      <c r="K476" s="11">
        <f>IF(B476="","",MAX(0,IFERROR(I476,0)*IFERROR(H476,0)-IFERROR(J476,0)))</f>
        <v/>
      </c>
      <c r="L476" s="8" t="n"/>
      <c r="M476" s="11">
        <f>IF(B476="","",MAX(0,K476-L476))</f>
        <v/>
      </c>
      <c r="N476" s="11">
        <f>IF(B476="","",IF(L476&gt;=K476,"Paid",IF(L476&gt;0,"Partial","Unpaid")))</f>
        <v/>
      </c>
      <c r="O476" s="5" t="n"/>
      <c r="P476" s="8" t="n"/>
      <c r="Q476" s="8" t="n"/>
      <c r="R476" s="11">
        <f>IF(B476="","",IFERROR(K476,0)+IFERROR(P476,0)-IFERROR(Q476,0))</f>
        <v/>
      </c>
      <c r="S476" s="5" t="n"/>
      <c r="T476" s="5" t="n"/>
      <c r="U476" s="11">
        <f>IF(B476="","",TRIM(LOWER(C476)&amp;"|"&amp;LOWER(D476)))</f>
        <v/>
      </c>
    </row>
    <row r="477">
      <c r="A477" s="11">
        <f>IF(B477="","",TEXT(ROW()-3,"""DC-""0000"))</f>
        <v/>
      </c>
      <c r="B477" s="5" t="n"/>
      <c r="C477" s="5" t="n"/>
      <c r="D477" s="5" t="n"/>
      <c r="E477" s="5" t="n"/>
      <c r="F477" s="5" t="n"/>
      <c r="G477" s="5" t="n"/>
      <c r="H477" s="8" t="n"/>
      <c r="I477" s="8" t="n"/>
      <c r="J477" s="8" t="n"/>
      <c r="K477" s="11">
        <f>IF(B477="","",MAX(0,IFERROR(I477,0)*IFERROR(H477,0)-IFERROR(J477,0)))</f>
        <v/>
      </c>
      <c r="L477" s="8" t="n"/>
      <c r="M477" s="11">
        <f>IF(B477="","",MAX(0,K477-L477))</f>
        <v/>
      </c>
      <c r="N477" s="11">
        <f>IF(B477="","",IF(L477&gt;=K477,"Paid",IF(L477&gt;0,"Partial","Unpaid")))</f>
        <v/>
      </c>
      <c r="O477" s="5" t="n"/>
      <c r="P477" s="8" t="n"/>
      <c r="Q477" s="8" t="n"/>
      <c r="R477" s="11">
        <f>IF(B477="","",IFERROR(K477,0)+IFERROR(P477,0)-IFERROR(Q477,0))</f>
        <v/>
      </c>
      <c r="S477" s="5" t="n"/>
      <c r="T477" s="5" t="n"/>
      <c r="U477" s="11">
        <f>IF(B477="","",TRIM(LOWER(C477)&amp;"|"&amp;LOWER(D477)))</f>
        <v/>
      </c>
    </row>
    <row r="478">
      <c r="A478" s="11">
        <f>IF(B478="","",TEXT(ROW()-3,"""DC-""0000"))</f>
        <v/>
      </c>
      <c r="B478" s="5" t="n"/>
      <c r="C478" s="5" t="n"/>
      <c r="D478" s="5" t="n"/>
      <c r="E478" s="5" t="n"/>
      <c r="F478" s="5" t="n"/>
      <c r="G478" s="5" t="n"/>
      <c r="H478" s="8" t="n"/>
      <c r="I478" s="8" t="n"/>
      <c r="J478" s="8" t="n"/>
      <c r="K478" s="11">
        <f>IF(B478="","",MAX(0,IFERROR(I478,0)*IFERROR(H478,0)-IFERROR(J478,0)))</f>
        <v/>
      </c>
      <c r="L478" s="8" t="n"/>
      <c r="M478" s="11">
        <f>IF(B478="","",MAX(0,K478-L478))</f>
        <v/>
      </c>
      <c r="N478" s="11">
        <f>IF(B478="","",IF(L478&gt;=K478,"Paid",IF(L478&gt;0,"Partial","Unpaid")))</f>
        <v/>
      </c>
      <c r="O478" s="5" t="n"/>
      <c r="P478" s="8" t="n"/>
      <c r="Q478" s="8" t="n"/>
      <c r="R478" s="11">
        <f>IF(B478="","",IFERROR(K478,0)+IFERROR(P478,0)-IFERROR(Q478,0))</f>
        <v/>
      </c>
      <c r="S478" s="5" t="n"/>
      <c r="T478" s="5" t="n"/>
      <c r="U478" s="11">
        <f>IF(B478="","",TRIM(LOWER(C478)&amp;"|"&amp;LOWER(D478)))</f>
        <v/>
      </c>
    </row>
    <row r="479">
      <c r="A479" s="11">
        <f>IF(B479="","",TEXT(ROW()-3,"""DC-""0000"))</f>
        <v/>
      </c>
      <c r="B479" s="5" t="n"/>
      <c r="C479" s="5" t="n"/>
      <c r="D479" s="5" t="n"/>
      <c r="E479" s="5" t="n"/>
      <c r="F479" s="5" t="n"/>
      <c r="G479" s="5" t="n"/>
      <c r="H479" s="8" t="n"/>
      <c r="I479" s="8" t="n"/>
      <c r="J479" s="8" t="n"/>
      <c r="K479" s="11">
        <f>IF(B479="","",MAX(0,IFERROR(I479,0)*IFERROR(H479,0)-IFERROR(J479,0)))</f>
        <v/>
      </c>
      <c r="L479" s="8" t="n"/>
      <c r="M479" s="11">
        <f>IF(B479="","",MAX(0,K479-L479))</f>
        <v/>
      </c>
      <c r="N479" s="11">
        <f>IF(B479="","",IF(L479&gt;=K479,"Paid",IF(L479&gt;0,"Partial","Unpaid")))</f>
        <v/>
      </c>
      <c r="O479" s="5" t="n"/>
      <c r="P479" s="8" t="n"/>
      <c r="Q479" s="8" t="n"/>
      <c r="R479" s="11">
        <f>IF(B479="","",IFERROR(K479,0)+IFERROR(P479,0)-IFERROR(Q479,0))</f>
        <v/>
      </c>
      <c r="S479" s="5" t="n"/>
      <c r="T479" s="5" t="n"/>
      <c r="U479" s="11">
        <f>IF(B479="","",TRIM(LOWER(C479)&amp;"|"&amp;LOWER(D479)))</f>
        <v/>
      </c>
    </row>
    <row r="480">
      <c r="A480" s="11">
        <f>IF(B480="","",TEXT(ROW()-3,"""DC-""0000"))</f>
        <v/>
      </c>
      <c r="B480" s="5" t="n"/>
      <c r="C480" s="5" t="n"/>
      <c r="D480" s="5" t="n"/>
      <c r="E480" s="5" t="n"/>
      <c r="F480" s="5" t="n"/>
      <c r="G480" s="5" t="n"/>
      <c r="H480" s="8" t="n"/>
      <c r="I480" s="8" t="n"/>
      <c r="J480" s="8" t="n"/>
      <c r="K480" s="11">
        <f>IF(B480="","",MAX(0,IFERROR(I480,0)*IFERROR(H480,0)-IFERROR(J480,0)))</f>
        <v/>
      </c>
      <c r="L480" s="8" t="n"/>
      <c r="M480" s="11">
        <f>IF(B480="","",MAX(0,K480-L480))</f>
        <v/>
      </c>
      <c r="N480" s="11">
        <f>IF(B480="","",IF(L480&gt;=K480,"Paid",IF(L480&gt;0,"Partial","Unpaid")))</f>
        <v/>
      </c>
      <c r="O480" s="5" t="n"/>
      <c r="P480" s="8" t="n"/>
      <c r="Q480" s="8" t="n"/>
      <c r="R480" s="11">
        <f>IF(B480="","",IFERROR(K480,0)+IFERROR(P480,0)-IFERROR(Q480,0))</f>
        <v/>
      </c>
      <c r="S480" s="5" t="n"/>
      <c r="T480" s="5" t="n"/>
      <c r="U480" s="11">
        <f>IF(B480="","",TRIM(LOWER(C480)&amp;"|"&amp;LOWER(D480)))</f>
        <v/>
      </c>
    </row>
    <row r="481">
      <c r="A481" s="11">
        <f>IF(B481="","",TEXT(ROW()-3,"""DC-""0000"))</f>
        <v/>
      </c>
      <c r="B481" s="5" t="n"/>
      <c r="C481" s="5" t="n"/>
      <c r="D481" s="5" t="n"/>
      <c r="E481" s="5" t="n"/>
      <c r="F481" s="5" t="n"/>
      <c r="G481" s="5" t="n"/>
      <c r="H481" s="8" t="n"/>
      <c r="I481" s="8" t="n"/>
      <c r="J481" s="8" t="n"/>
      <c r="K481" s="11">
        <f>IF(B481="","",MAX(0,IFERROR(I481,0)*IFERROR(H481,0)-IFERROR(J481,0)))</f>
        <v/>
      </c>
      <c r="L481" s="8" t="n"/>
      <c r="M481" s="11">
        <f>IF(B481="","",MAX(0,K481-L481))</f>
        <v/>
      </c>
      <c r="N481" s="11">
        <f>IF(B481="","",IF(L481&gt;=K481,"Paid",IF(L481&gt;0,"Partial","Unpaid")))</f>
        <v/>
      </c>
      <c r="O481" s="5" t="n"/>
      <c r="P481" s="8" t="n"/>
      <c r="Q481" s="8" t="n"/>
      <c r="R481" s="11">
        <f>IF(B481="","",IFERROR(K481,0)+IFERROR(P481,0)-IFERROR(Q481,0))</f>
        <v/>
      </c>
      <c r="S481" s="5" t="n"/>
      <c r="T481" s="5" t="n"/>
      <c r="U481" s="11">
        <f>IF(B481="","",TRIM(LOWER(C481)&amp;"|"&amp;LOWER(D481)))</f>
        <v/>
      </c>
    </row>
    <row r="482">
      <c r="A482" s="11">
        <f>IF(B482="","",TEXT(ROW()-3,"""DC-""0000"))</f>
        <v/>
      </c>
      <c r="B482" s="5" t="n"/>
      <c r="C482" s="5" t="n"/>
      <c r="D482" s="5" t="n"/>
      <c r="E482" s="5" t="n"/>
      <c r="F482" s="5" t="n"/>
      <c r="G482" s="5" t="n"/>
      <c r="H482" s="8" t="n"/>
      <c r="I482" s="8" t="n"/>
      <c r="J482" s="8" t="n"/>
      <c r="K482" s="11">
        <f>IF(B482="","",MAX(0,IFERROR(I482,0)*IFERROR(H482,0)-IFERROR(J482,0)))</f>
        <v/>
      </c>
      <c r="L482" s="8" t="n"/>
      <c r="M482" s="11">
        <f>IF(B482="","",MAX(0,K482-L482))</f>
        <v/>
      </c>
      <c r="N482" s="11">
        <f>IF(B482="","",IF(L482&gt;=K482,"Paid",IF(L482&gt;0,"Partial","Unpaid")))</f>
        <v/>
      </c>
      <c r="O482" s="5" t="n"/>
      <c r="P482" s="8" t="n"/>
      <c r="Q482" s="8" t="n"/>
      <c r="R482" s="11">
        <f>IF(B482="","",IFERROR(K482,0)+IFERROR(P482,0)-IFERROR(Q482,0))</f>
        <v/>
      </c>
      <c r="S482" s="5" t="n"/>
      <c r="T482" s="5" t="n"/>
      <c r="U482" s="11">
        <f>IF(B482="","",TRIM(LOWER(C482)&amp;"|"&amp;LOWER(D482)))</f>
        <v/>
      </c>
    </row>
    <row r="483">
      <c r="A483" s="11">
        <f>IF(B483="","",TEXT(ROW()-3,"""DC-""0000"))</f>
        <v/>
      </c>
      <c r="B483" s="5" t="n"/>
      <c r="C483" s="5" t="n"/>
      <c r="D483" s="5" t="n"/>
      <c r="E483" s="5" t="n"/>
      <c r="F483" s="5" t="n"/>
      <c r="G483" s="5" t="n"/>
      <c r="H483" s="8" t="n"/>
      <c r="I483" s="8" t="n"/>
      <c r="J483" s="8" t="n"/>
      <c r="K483" s="11">
        <f>IF(B483="","",MAX(0,IFERROR(I483,0)*IFERROR(H483,0)-IFERROR(J483,0)))</f>
        <v/>
      </c>
      <c r="L483" s="8" t="n"/>
      <c r="M483" s="11">
        <f>IF(B483="","",MAX(0,K483-L483))</f>
        <v/>
      </c>
      <c r="N483" s="11">
        <f>IF(B483="","",IF(L483&gt;=K483,"Paid",IF(L483&gt;0,"Partial","Unpaid")))</f>
        <v/>
      </c>
      <c r="O483" s="5" t="n"/>
      <c r="P483" s="8" t="n"/>
      <c r="Q483" s="8" t="n"/>
      <c r="R483" s="11">
        <f>IF(B483="","",IFERROR(K483,0)+IFERROR(P483,0)-IFERROR(Q483,0))</f>
        <v/>
      </c>
      <c r="S483" s="5" t="n"/>
      <c r="T483" s="5" t="n"/>
      <c r="U483" s="11">
        <f>IF(B483="","",TRIM(LOWER(C483)&amp;"|"&amp;LOWER(D483)))</f>
        <v/>
      </c>
    </row>
    <row r="484">
      <c r="A484" s="11">
        <f>IF(B484="","",TEXT(ROW()-3,"""DC-""0000"))</f>
        <v/>
      </c>
      <c r="B484" s="5" t="n"/>
      <c r="C484" s="5" t="n"/>
      <c r="D484" s="5" t="n"/>
      <c r="E484" s="5" t="n"/>
      <c r="F484" s="5" t="n"/>
      <c r="G484" s="5" t="n"/>
      <c r="H484" s="8" t="n"/>
      <c r="I484" s="8" t="n"/>
      <c r="J484" s="8" t="n"/>
      <c r="K484" s="11">
        <f>IF(B484="","",MAX(0,IFERROR(I484,0)*IFERROR(H484,0)-IFERROR(J484,0)))</f>
        <v/>
      </c>
      <c r="L484" s="8" t="n"/>
      <c r="M484" s="11">
        <f>IF(B484="","",MAX(0,K484-L484))</f>
        <v/>
      </c>
      <c r="N484" s="11">
        <f>IF(B484="","",IF(L484&gt;=K484,"Paid",IF(L484&gt;0,"Partial","Unpaid")))</f>
        <v/>
      </c>
      <c r="O484" s="5" t="n"/>
      <c r="P484" s="8" t="n"/>
      <c r="Q484" s="8" t="n"/>
      <c r="R484" s="11">
        <f>IF(B484="","",IFERROR(K484,0)+IFERROR(P484,0)-IFERROR(Q484,0))</f>
        <v/>
      </c>
      <c r="S484" s="5" t="n"/>
      <c r="T484" s="5" t="n"/>
      <c r="U484" s="11">
        <f>IF(B484="","",TRIM(LOWER(C484)&amp;"|"&amp;LOWER(D484)))</f>
        <v/>
      </c>
    </row>
    <row r="485">
      <c r="A485" s="11">
        <f>IF(B485="","",TEXT(ROW()-3,"""DC-""0000"))</f>
        <v/>
      </c>
      <c r="B485" s="5" t="n"/>
      <c r="C485" s="5" t="n"/>
      <c r="D485" s="5" t="n"/>
      <c r="E485" s="5" t="n"/>
      <c r="F485" s="5" t="n"/>
      <c r="G485" s="5" t="n"/>
      <c r="H485" s="8" t="n"/>
      <c r="I485" s="8" t="n"/>
      <c r="J485" s="8" t="n"/>
      <c r="K485" s="11">
        <f>IF(B485="","",MAX(0,IFERROR(I485,0)*IFERROR(H485,0)-IFERROR(J485,0)))</f>
        <v/>
      </c>
      <c r="L485" s="8" t="n"/>
      <c r="M485" s="11">
        <f>IF(B485="","",MAX(0,K485-L485))</f>
        <v/>
      </c>
      <c r="N485" s="11">
        <f>IF(B485="","",IF(L485&gt;=K485,"Paid",IF(L485&gt;0,"Partial","Unpaid")))</f>
        <v/>
      </c>
      <c r="O485" s="5" t="n"/>
      <c r="P485" s="8" t="n"/>
      <c r="Q485" s="8" t="n"/>
      <c r="R485" s="11">
        <f>IF(B485="","",IFERROR(K485,0)+IFERROR(P485,0)-IFERROR(Q485,0))</f>
        <v/>
      </c>
      <c r="S485" s="5" t="n"/>
      <c r="T485" s="5" t="n"/>
      <c r="U485" s="11">
        <f>IF(B485="","",TRIM(LOWER(C485)&amp;"|"&amp;LOWER(D485)))</f>
        <v/>
      </c>
    </row>
    <row r="486">
      <c r="A486" s="11">
        <f>IF(B486="","",TEXT(ROW()-3,"""DC-""0000"))</f>
        <v/>
      </c>
      <c r="B486" s="5" t="n"/>
      <c r="C486" s="5" t="n"/>
      <c r="D486" s="5" t="n"/>
      <c r="E486" s="5" t="n"/>
      <c r="F486" s="5" t="n"/>
      <c r="G486" s="5" t="n"/>
      <c r="H486" s="8" t="n"/>
      <c r="I486" s="8" t="n"/>
      <c r="J486" s="8" t="n"/>
      <c r="K486" s="11">
        <f>IF(B486="","",MAX(0,IFERROR(I486,0)*IFERROR(H486,0)-IFERROR(J486,0)))</f>
        <v/>
      </c>
      <c r="L486" s="8" t="n"/>
      <c r="M486" s="11">
        <f>IF(B486="","",MAX(0,K486-L486))</f>
        <v/>
      </c>
      <c r="N486" s="11">
        <f>IF(B486="","",IF(L486&gt;=K486,"Paid",IF(L486&gt;0,"Partial","Unpaid")))</f>
        <v/>
      </c>
      <c r="O486" s="5" t="n"/>
      <c r="P486" s="8" t="n"/>
      <c r="Q486" s="8" t="n"/>
      <c r="R486" s="11">
        <f>IF(B486="","",IFERROR(K486,0)+IFERROR(P486,0)-IFERROR(Q486,0))</f>
        <v/>
      </c>
      <c r="S486" s="5" t="n"/>
      <c r="T486" s="5" t="n"/>
      <c r="U486" s="11">
        <f>IF(B486="","",TRIM(LOWER(C486)&amp;"|"&amp;LOWER(D486)))</f>
        <v/>
      </c>
    </row>
    <row r="487">
      <c r="A487" s="11">
        <f>IF(B487="","",TEXT(ROW()-3,"""DC-""0000"))</f>
        <v/>
      </c>
      <c r="B487" s="5" t="n"/>
      <c r="C487" s="5" t="n"/>
      <c r="D487" s="5" t="n"/>
      <c r="E487" s="5" t="n"/>
      <c r="F487" s="5" t="n"/>
      <c r="G487" s="5" t="n"/>
      <c r="H487" s="8" t="n"/>
      <c r="I487" s="8" t="n"/>
      <c r="J487" s="8" t="n"/>
      <c r="K487" s="11">
        <f>IF(B487="","",MAX(0,IFERROR(I487,0)*IFERROR(H487,0)-IFERROR(J487,0)))</f>
        <v/>
      </c>
      <c r="L487" s="8" t="n"/>
      <c r="M487" s="11">
        <f>IF(B487="","",MAX(0,K487-L487))</f>
        <v/>
      </c>
      <c r="N487" s="11">
        <f>IF(B487="","",IF(L487&gt;=K487,"Paid",IF(L487&gt;0,"Partial","Unpaid")))</f>
        <v/>
      </c>
      <c r="O487" s="5" t="n"/>
      <c r="P487" s="8" t="n"/>
      <c r="Q487" s="8" t="n"/>
      <c r="R487" s="11">
        <f>IF(B487="","",IFERROR(K487,0)+IFERROR(P487,0)-IFERROR(Q487,0))</f>
        <v/>
      </c>
      <c r="S487" s="5" t="n"/>
      <c r="T487" s="5" t="n"/>
      <c r="U487" s="11">
        <f>IF(B487="","",TRIM(LOWER(C487)&amp;"|"&amp;LOWER(D487)))</f>
        <v/>
      </c>
    </row>
    <row r="488">
      <c r="A488" s="11">
        <f>IF(B488="","",TEXT(ROW()-3,"""DC-""0000"))</f>
        <v/>
      </c>
      <c r="B488" s="5" t="n"/>
      <c r="C488" s="5" t="n"/>
      <c r="D488" s="5" t="n"/>
      <c r="E488" s="5" t="n"/>
      <c r="F488" s="5" t="n"/>
      <c r="G488" s="5" t="n"/>
      <c r="H488" s="8" t="n"/>
      <c r="I488" s="8" t="n"/>
      <c r="J488" s="8" t="n"/>
      <c r="K488" s="11">
        <f>IF(B488="","",MAX(0,IFERROR(I488,0)*IFERROR(H488,0)-IFERROR(J488,0)))</f>
        <v/>
      </c>
      <c r="L488" s="8" t="n"/>
      <c r="M488" s="11">
        <f>IF(B488="","",MAX(0,K488-L488))</f>
        <v/>
      </c>
      <c r="N488" s="11">
        <f>IF(B488="","",IF(L488&gt;=K488,"Paid",IF(L488&gt;0,"Partial","Unpaid")))</f>
        <v/>
      </c>
      <c r="O488" s="5" t="n"/>
      <c r="P488" s="8" t="n"/>
      <c r="Q488" s="8" t="n"/>
      <c r="R488" s="11">
        <f>IF(B488="","",IFERROR(K488,0)+IFERROR(P488,0)-IFERROR(Q488,0))</f>
        <v/>
      </c>
      <c r="S488" s="5" t="n"/>
      <c r="T488" s="5" t="n"/>
      <c r="U488" s="11">
        <f>IF(B488="","",TRIM(LOWER(C488)&amp;"|"&amp;LOWER(D488)))</f>
        <v/>
      </c>
    </row>
    <row r="489">
      <c r="A489" s="11">
        <f>IF(B489="","",TEXT(ROW()-3,"""DC-""0000"))</f>
        <v/>
      </c>
      <c r="B489" s="5" t="n"/>
      <c r="C489" s="5" t="n"/>
      <c r="D489" s="5" t="n"/>
      <c r="E489" s="5" t="n"/>
      <c r="F489" s="5" t="n"/>
      <c r="G489" s="5" t="n"/>
      <c r="H489" s="8" t="n"/>
      <c r="I489" s="8" t="n"/>
      <c r="J489" s="8" t="n"/>
      <c r="K489" s="11">
        <f>IF(B489="","",MAX(0,IFERROR(I489,0)*IFERROR(H489,0)-IFERROR(J489,0)))</f>
        <v/>
      </c>
      <c r="L489" s="8" t="n"/>
      <c r="M489" s="11">
        <f>IF(B489="","",MAX(0,K489-L489))</f>
        <v/>
      </c>
      <c r="N489" s="11">
        <f>IF(B489="","",IF(L489&gt;=K489,"Paid",IF(L489&gt;0,"Partial","Unpaid")))</f>
        <v/>
      </c>
      <c r="O489" s="5" t="n"/>
      <c r="P489" s="8" t="n"/>
      <c r="Q489" s="8" t="n"/>
      <c r="R489" s="11">
        <f>IF(B489="","",IFERROR(K489,0)+IFERROR(P489,0)-IFERROR(Q489,0))</f>
        <v/>
      </c>
      <c r="S489" s="5" t="n"/>
      <c r="T489" s="5" t="n"/>
      <c r="U489" s="11">
        <f>IF(B489="","",TRIM(LOWER(C489)&amp;"|"&amp;LOWER(D489)))</f>
        <v/>
      </c>
    </row>
    <row r="490">
      <c r="A490" s="11">
        <f>IF(B490="","",TEXT(ROW()-3,"""DC-""0000"))</f>
        <v/>
      </c>
      <c r="B490" s="5" t="n"/>
      <c r="C490" s="5" t="n"/>
      <c r="D490" s="5" t="n"/>
      <c r="E490" s="5" t="n"/>
      <c r="F490" s="5" t="n"/>
      <c r="G490" s="5" t="n"/>
      <c r="H490" s="8" t="n"/>
      <c r="I490" s="8" t="n"/>
      <c r="J490" s="8" t="n"/>
      <c r="K490" s="11">
        <f>IF(B490="","",MAX(0,IFERROR(I490,0)*IFERROR(H490,0)-IFERROR(J490,0)))</f>
        <v/>
      </c>
      <c r="L490" s="8" t="n"/>
      <c r="M490" s="11">
        <f>IF(B490="","",MAX(0,K490-L490))</f>
        <v/>
      </c>
      <c r="N490" s="11">
        <f>IF(B490="","",IF(L490&gt;=K490,"Paid",IF(L490&gt;0,"Partial","Unpaid")))</f>
        <v/>
      </c>
      <c r="O490" s="5" t="n"/>
      <c r="P490" s="8" t="n"/>
      <c r="Q490" s="8" t="n"/>
      <c r="R490" s="11">
        <f>IF(B490="","",IFERROR(K490,0)+IFERROR(P490,0)-IFERROR(Q490,0))</f>
        <v/>
      </c>
      <c r="S490" s="5" t="n"/>
      <c r="T490" s="5" t="n"/>
      <c r="U490" s="11">
        <f>IF(B490="","",TRIM(LOWER(C490)&amp;"|"&amp;LOWER(D490)))</f>
        <v/>
      </c>
    </row>
    <row r="491">
      <c r="A491" s="11">
        <f>IF(B491="","",TEXT(ROW()-3,"""DC-""0000"))</f>
        <v/>
      </c>
      <c r="B491" s="5" t="n"/>
      <c r="C491" s="5" t="n"/>
      <c r="D491" s="5" t="n"/>
      <c r="E491" s="5" t="n"/>
      <c r="F491" s="5" t="n"/>
      <c r="G491" s="5" t="n"/>
      <c r="H491" s="8" t="n"/>
      <c r="I491" s="8" t="n"/>
      <c r="J491" s="8" t="n"/>
      <c r="K491" s="11">
        <f>IF(B491="","",MAX(0,IFERROR(I491,0)*IFERROR(H491,0)-IFERROR(J491,0)))</f>
        <v/>
      </c>
      <c r="L491" s="8" t="n"/>
      <c r="M491" s="11">
        <f>IF(B491="","",MAX(0,K491-L491))</f>
        <v/>
      </c>
      <c r="N491" s="11">
        <f>IF(B491="","",IF(L491&gt;=K491,"Paid",IF(L491&gt;0,"Partial","Unpaid")))</f>
        <v/>
      </c>
      <c r="O491" s="5" t="n"/>
      <c r="P491" s="8" t="n"/>
      <c r="Q491" s="8" t="n"/>
      <c r="R491" s="11">
        <f>IF(B491="","",IFERROR(K491,0)+IFERROR(P491,0)-IFERROR(Q491,0))</f>
        <v/>
      </c>
      <c r="S491" s="5" t="n"/>
      <c r="T491" s="5" t="n"/>
      <c r="U491" s="11">
        <f>IF(B491="","",TRIM(LOWER(C491)&amp;"|"&amp;LOWER(D491)))</f>
        <v/>
      </c>
    </row>
    <row r="492">
      <c r="A492" s="11">
        <f>IF(B492="","",TEXT(ROW()-3,"""DC-""0000"))</f>
        <v/>
      </c>
      <c r="B492" s="5" t="n"/>
      <c r="C492" s="5" t="n"/>
      <c r="D492" s="5" t="n"/>
      <c r="E492" s="5" t="n"/>
      <c r="F492" s="5" t="n"/>
      <c r="G492" s="5" t="n"/>
      <c r="H492" s="8" t="n"/>
      <c r="I492" s="8" t="n"/>
      <c r="J492" s="8" t="n"/>
      <c r="K492" s="11">
        <f>IF(B492="","",MAX(0,IFERROR(I492,0)*IFERROR(H492,0)-IFERROR(J492,0)))</f>
        <v/>
      </c>
      <c r="L492" s="8" t="n"/>
      <c r="M492" s="11">
        <f>IF(B492="","",MAX(0,K492-L492))</f>
        <v/>
      </c>
      <c r="N492" s="11">
        <f>IF(B492="","",IF(L492&gt;=K492,"Paid",IF(L492&gt;0,"Partial","Unpaid")))</f>
        <v/>
      </c>
      <c r="O492" s="5" t="n"/>
      <c r="P492" s="8" t="n"/>
      <c r="Q492" s="8" t="n"/>
      <c r="R492" s="11">
        <f>IF(B492="","",IFERROR(K492,0)+IFERROR(P492,0)-IFERROR(Q492,0))</f>
        <v/>
      </c>
      <c r="S492" s="5" t="n"/>
      <c r="T492" s="5" t="n"/>
      <c r="U492" s="11">
        <f>IF(B492="","",TRIM(LOWER(C492)&amp;"|"&amp;LOWER(D492)))</f>
        <v/>
      </c>
    </row>
    <row r="493">
      <c r="A493" s="11">
        <f>IF(B493="","",TEXT(ROW()-3,"""DC-""0000"))</f>
        <v/>
      </c>
      <c r="B493" s="5" t="n"/>
      <c r="C493" s="5" t="n"/>
      <c r="D493" s="5" t="n"/>
      <c r="E493" s="5" t="n"/>
      <c r="F493" s="5" t="n"/>
      <c r="G493" s="5" t="n"/>
      <c r="H493" s="8" t="n"/>
      <c r="I493" s="8" t="n"/>
      <c r="J493" s="8" t="n"/>
      <c r="K493" s="11">
        <f>IF(B493="","",MAX(0,IFERROR(I493,0)*IFERROR(H493,0)-IFERROR(J493,0)))</f>
        <v/>
      </c>
      <c r="L493" s="8" t="n"/>
      <c r="M493" s="11">
        <f>IF(B493="","",MAX(0,K493-L493))</f>
        <v/>
      </c>
      <c r="N493" s="11">
        <f>IF(B493="","",IF(L493&gt;=K493,"Paid",IF(L493&gt;0,"Partial","Unpaid")))</f>
        <v/>
      </c>
      <c r="O493" s="5" t="n"/>
      <c r="P493" s="8" t="n"/>
      <c r="Q493" s="8" t="n"/>
      <c r="R493" s="11">
        <f>IF(B493="","",IFERROR(K493,0)+IFERROR(P493,0)-IFERROR(Q493,0))</f>
        <v/>
      </c>
      <c r="S493" s="5" t="n"/>
      <c r="T493" s="5" t="n"/>
      <c r="U493" s="11">
        <f>IF(B493="","",TRIM(LOWER(C493)&amp;"|"&amp;LOWER(D493)))</f>
        <v/>
      </c>
    </row>
    <row r="494">
      <c r="A494" s="11">
        <f>IF(B494="","",TEXT(ROW()-3,"""DC-""0000"))</f>
        <v/>
      </c>
      <c r="B494" s="5" t="n"/>
      <c r="C494" s="5" t="n"/>
      <c r="D494" s="5" t="n"/>
      <c r="E494" s="5" t="n"/>
      <c r="F494" s="5" t="n"/>
      <c r="G494" s="5" t="n"/>
      <c r="H494" s="8" t="n"/>
      <c r="I494" s="8" t="n"/>
      <c r="J494" s="8" t="n"/>
      <c r="K494" s="11">
        <f>IF(B494="","",MAX(0,IFERROR(I494,0)*IFERROR(H494,0)-IFERROR(J494,0)))</f>
        <v/>
      </c>
      <c r="L494" s="8" t="n"/>
      <c r="M494" s="11">
        <f>IF(B494="","",MAX(0,K494-L494))</f>
        <v/>
      </c>
      <c r="N494" s="11">
        <f>IF(B494="","",IF(L494&gt;=K494,"Paid",IF(L494&gt;0,"Partial","Unpaid")))</f>
        <v/>
      </c>
      <c r="O494" s="5" t="n"/>
      <c r="P494" s="8" t="n"/>
      <c r="Q494" s="8" t="n"/>
      <c r="R494" s="11">
        <f>IF(B494="","",IFERROR(K494,0)+IFERROR(P494,0)-IFERROR(Q494,0))</f>
        <v/>
      </c>
      <c r="S494" s="5" t="n"/>
      <c r="T494" s="5" t="n"/>
      <c r="U494" s="11">
        <f>IF(B494="","",TRIM(LOWER(C494)&amp;"|"&amp;LOWER(D494)))</f>
        <v/>
      </c>
    </row>
    <row r="495">
      <c r="A495" s="11">
        <f>IF(B495="","",TEXT(ROW()-3,"""DC-""0000"))</f>
        <v/>
      </c>
      <c r="B495" s="5" t="n"/>
      <c r="C495" s="5" t="n"/>
      <c r="D495" s="5" t="n"/>
      <c r="E495" s="5" t="n"/>
      <c r="F495" s="5" t="n"/>
      <c r="G495" s="5" t="n"/>
      <c r="H495" s="8" t="n"/>
      <c r="I495" s="8" t="n"/>
      <c r="J495" s="8" t="n"/>
      <c r="K495" s="11">
        <f>IF(B495="","",MAX(0,IFERROR(I495,0)*IFERROR(H495,0)-IFERROR(J495,0)))</f>
        <v/>
      </c>
      <c r="L495" s="8" t="n"/>
      <c r="M495" s="11">
        <f>IF(B495="","",MAX(0,K495-L495))</f>
        <v/>
      </c>
      <c r="N495" s="11">
        <f>IF(B495="","",IF(L495&gt;=K495,"Paid",IF(L495&gt;0,"Partial","Unpaid")))</f>
        <v/>
      </c>
      <c r="O495" s="5" t="n"/>
      <c r="P495" s="8" t="n"/>
      <c r="Q495" s="8" t="n"/>
      <c r="R495" s="11">
        <f>IF(B495="","",IFERROR(K495,0)+IFERROR(P495,0)-IFERROR(Q495,0))</f>
        <v/>
      </c>
      <c r="S495" s="5" t="n"/>
      <c r="T495" s="5" t="n"/>
      <c r="U495" s="11">
        <f>IF(B495="","",TRIM(LOWER(C495)&amp;"|"&amp;LOWER(D495)))</f>
        <v/>
      </c>
    </row>
    <row r="496">
      <c r="A496" s="11">
        <f>IF(B496="","",TEXT(ROW()-3,"""DC-""0000"))</f>
        <v/>
      </c>
      <c r="B496" s="5" t="n"/>
      <c r="C496" s="5" t="n"/>
      <c r="D496" s="5" t="n"/>
      <c r="E496" s="5" t="n"/>
      <c r="F496" s="5" t="n"/>
      <c r="G496" s="5" t="n"/>
      <c r="H496" s="8" t="n"/>
      <c r="I496" s="8" t="n"/>
      <c r="J496" s="8" t="n"/>
      <c r="K496" s="11">
        <f>IF(B496="","",MAX(0,IFERROR(I496,0)*IFERROR(H496,0)-IFERROR(J496,0)))</f>
        <v/>
      </c>
      <c r="L496" s="8" t="n"/>
      <c r="M496" s="11">
        <f>IF(B496="","",MAX(0,K496-L496))</f>
        <v/>
      </c>
      <c r="N496" s="11">
        <f>IF(B496="","",IF(L496&gt;=K496,"Paid",IF(L496&gt;0,"Partial","Unpaid")))</f>
        <v/>
      </c>
      <c r="O496" s="5" t="n"/>
      <c r="P496" s="8" t="n"/>
      <c r="Q496" s="8" t="n"/>
      <c r="R496" s="11">
        <f>IF(B496="","",IFERROR(K496,0)+IFERROR(P496,0)-IFERROR(Q496,0))</f>
        <v/>
      </c>
      <c r="S496" s="5" t="n"/>
      <c r="T496" s="5" t="n"/>
      <c r="U496" s="11">
        <f>IF(B496="","",TRIM(LOWER(C496)&amp;"|"&amp;LOWER(D496)))</f>
        <v/>
      </c>
    </row>
    <row r="497">
      <c r="A497" s="11">
        <f>IF(B497="","",TEXT(ROW()-3,"""DC-""0000"))</f>
        <v/>
      </c>
      <c r="B497" s="5" t="n"/>
      <c r="C497" s="5" t="n"/>
      <c r="D497" s="5" t="n"/>
      <c r="E497" s="5" t="n"/>
      <c r="F497" s="5" t="n"/>
      <c r="G497" s="5" t="n"/>
      <c r="H497" s="8" t="n"/>
      <c r="I497" s="8" t="n"/>
      <c r="J497" s="8" t="n"/>
      <c r="K497" s="11">
        <f>IF(B497="","",MAX(0,IFERROR(I497,0)*IFERROR(H497,0)-IFERROR(J497,0)))</f>
        <v/>
      </c>
      <c r="L497" s="8" t="n"/>
      <c r="M497" s="11">
        <f>IF(B497="","",MAX(0,K497-L497))</f>
        <v/>
      </c>
      <c r="N497" s="11">
        <f>IF(B497="","",IF(L497&gt;=K497,"Paid",IF(L497&gt;0,"Partial","Unpaid")))</f>
        <v/>
      </c>
      <c r="O497" s="5" t="n"/>
      <c r="P497" s="8" t="n"/>
      <c r="Q497" s="8" t="n"/>
      <c r="R497" s="11">
        <f>IF(B497="","",IFERROR(K497,0)+IFERROR(P497,0)-IFERROR(Q497,0))</f>
        <v/>
      </c>
      <c r="S497" s="5" t="n"/>
      <c r="T497" s="5" t="n"/>
      <c r="U497" s="11">
        <f>IF(B497="","",TRIM(LOWER(C497)&amp;"|"&amp;LOWER(D497)))</f>
        <v/>
      </c>
    </row>
    <row r="498">
      <c r="A498" s="11">
        <f>IF(B498="","",TEXT(ROW()-3,"""DC-""0000"))</f>
        <v/>
      </c>
      <c r="B498" s="5" t="n"/>
      <c r="C498" s="5" t="n"/>
      <c r="D498" s="5" t="n"/>
      <c r="E498" s="5" t="n"/>
      <c r="F498" s="5" t="n"/>
      <c r="G498" s="5" t="n"/>
      <c r="H498" s="8" t="n"/>
      <c r="I498" s="8" t="n"/>
      <c r="J498" s="8" t="n"/>
      <c r="K498" s="11">
        <f>IF(B498="","",MAX(0,IFERROR(I498,0)*IFERROR(H498,0)-IFERROR(J498,0)))</f>
        <v/>
      </c>
      <c r="L498" s="8" t="n"/>
      <c r="M498" s="11">
        <f>IF(B498="","",MAX(0,K498-L498))</f>
        <v/>
      </c>
      <c r="N498" s="11">
        <f>IF(B498="","",IF(L498&gt;=K498,"Paid",IF(L498&gt;0,"Partial","Unpaid")))</f>
        <v/>
      </c>
      <c r="O498" s="5" t="n"/>
      <c r="P498" s="8" t="n"/>
      <c r="Q498" s="8" t="n"/>
      <c r="R498" s="11">
        <f>IF(B498="","",IFERROR(K498,0)+IFERROR(P498,0)-IFERROR(Q498,0))</f>
        <v/>
      </c>
      <c r="S498" s="5" t="n"/>
      <c r="T498" s="5" t="n"/>
      <c r="U498" s="11">
        <f>IF(B498="","",TRIM(LOWER(C498)&amp;"|"&amp;LOWER(D498)))</f>
        <v/>
      </c>
    </row>
    <row r="499">
      <c r="A499" s="11">
        <f>IF(B499="","",TEXT(ROW()-3,"""DC-""0000"))</f>
        <v/>
      </c>
      <c r="B499" s="5" t="n"/>
      <c r="C499" s="5" t="n"/>
      <c r="D499" s="5" t="n"/>
      <c r="E499" s="5" t="n"/>
      <c r="F499" s="5" t="n"/>
      <c r="G499" s="5" t="n"/>
      <c r="H499" s="8" t="n"/>
      <c r="I499" s="8" t="n"/>
      <c r="J499" s="8" t="n"/>
      <c r="K499" s="11">
        <f>IF(B499="","",MAX(0,IFERROR(I499,0)*IFERROR(H499,0)-IFERROR(J499,0)))</f>
        <v/>
      </c>
      <c r="L499" s="8" t="n"/>
      <c r="M499" s="11">
        <f>IF(B499="","",MAX(0,K499-L499))</f>
        <v/>
      </c>
      <c r="N499" s="11">
        <f>IF(B499="","",IF(L499&gt;=K499,"Paid",IF(L499&gt;0,"Partial","Unpaid")))</f>
        <v/>
      </c>
      <c r="O499" s="5" t="n"/>
      <c r="P499" s="8" t="n"/>
      <c r="Q499" s="8" t="n"/>
      <c r="R499" s="11">
        <f>IF(B499="","",IFERROR(K499,0)+IFERROR(P499,0)-IFERROR(Q499,0))</f>
        <v/>
      </c>
      <c r="S499" s="5" t="n"/>
      <c r="T499" s="5" t="n"/>
      <c r="U499" s="11">
        <f>IF(B499="","",TRIM(LOWER(C499)&amp;"|"&amp;LOWER(D499)))</f>
        <v/>
      </c>
    </row>
    <row r="500">
      <c r="A500" s="11">
        <f>IF(B500="","",TEXT(ROW()-3,"""DC-""0000"))</f>
        <v/>
      </c>
      <c r="B500" s="5" t="n"/>
      <c r="C500" s="5" t="n"/>
      <c r="D500" s="5" t="n"/>
      <c r="E500" s="5" t="n"/>
      <c r="F500" s="5" t="n"/>
      <c r="G500" s="5" t="n"/>
      <c r="H500" s="8" t="n"/>
      <c r="I500" s="8" t="n"/>
      <c r="J500" s="8" t="n"/>
      <c r="K500" s="11">
        <f>IF(B500="","",MAX(0,IFERROR(I500,0)*IFERROR(H500,0)-IFERROR(J500,0)))</f>
        <v/>
      </c>
      <c r="L500" s="8" t="n"/>
      <c r="M500" s="11">
        <f>IF(B500="","",MAX(0,K500-L500))</f>
        <v/>
      </c>
      <c r="N500" s="11">
        <f>IF(B500="","",IF(L500&gt;=K500,"Paid",IF(L500&gt;0,"Partial","Unpaid")))</f>
        <v/>
      </c>
      <c r="O500" s="5" t="n"/>
      <c r="P500" s="8" t="n"/>
      <c r="Q500" s="8" t="n"/>
      <c r="R500" s="11">
        <f>IF(B500="","",IFERROR(K500,0)+IFERROR(P500,0)-IFERROR(Q500,0))</f>
        <v/>
      </c>
      <c r="S500" s="5" t="n"/>
      <c r="T500" s="5" t="n"/>
      <c r="U500" s="11">
        <f>IF(B500="","",TRIM(LOWER(C500)&amp;"|"&amp;LOWER(D500)))</f>
        <v/>
      </c>
    </row>
    <row r="501">
      <c r="A501" s="11">
        <f>IF(B501="","",TEXT(ROW()-3,"""DC-""0000"))</f>
        <v/>
      </c>
      <c r="B501" s="5" t="n"/>
      <c r="C501" s="5" t="n"/>
      <c r="D501" s="5" t="n"/>
      <c r="E501" s="5" t="n"/>
      <c r="F501" s="5" t="n"/>
      <c r="G501" s="5" t="n"/>
      <c r="H501" s="8" t="n"/>
      <c r="I501" s="8" t="n"/>
      <c r="J501" s="8" t="n"/>
      <c r="K501" s="11">
        <f>IF(B501="","",MAX(0,IFERROR(I501,0)*IFERROR(H501,0)-IFERROR(J501,0)))</f>
        <v/>
      </c>
      <c r="L501" s="8" t="n"/>
      <c r="M501" s="11">
        <f>IF(B501="","",MAX(0,K501-L501))</f>
        <v/>
      </c>
      <c r="N501" s="11">
        <f>IF(B501="","",IF(L501&gt;=K501,"Paid",IF(L501&gt;0,"Partial","Unpaid")))</f>
        <v/>
      </c>
      <c r="O501" s="5" t="n"/>
      <c r="P501" s="8" t="n"/>
      <c r="Q501" s="8" t="n"/>
      <c r="R501" s="11">
        <f>IF(B501="","",IFERROR(K501,0)+IFERROR(P501,0)-IFERROR(Q501,0))</f>
        <v/>
      </c>
      <c r="S501" s="5" t="n"/>
      <c r="T501" s="5" t="n"/>
      <c r="U501" s="11">
        <f>IF(B501="","",TRIM(LOWER(C501)&amp;"|"&amp;LOWER(D501)))</f>
        <v/>
      </c>
    </row>
    <row r="502">
      <c r="A502" s="11">
        <f>IF(B502="","",TEXT(ROW()-3,"""DC-""0000"))</f>
        <v/>
      </c>
      <c r="B502" s="5" t="n"/>
      <c r="C502" s="5" t="n"/>
      <c r="D502" s="5" t="n"/>
      <c r="E502" s="5" t="n"/>
      <c r="F502" s="5" t="n"/>
      <c r="G502" s="5" t="n"/>
      <c r="H502" s="8" t="n"/>
      <c r="I502" s="8" t="n"/>
      <c r="J502" s="8" t="n"/>
      <c r="K502" s="11">
        <f>IF(B502="","",MAX(0,IFERROR(I502,0)*IFERROR(H502,0)-IFERROR(J502,0)))</f>
        <v/>
      </c>
      <c r="L502" s="8" t="n"/>
      <c r="M502" s="11">
        <f>IF(B502="","",MAX(0,K502-L502))</f>
        <v/>
      </c>
      <c r="N502" s="11">
        <f>IF(B502="","",IF(L502&gt;=K502,"Paid",IF(L502&gt;0,"Partial","Unpaid")))</f>
        <v/>
      </c>
      <c r="O502" s="5" t="n"/>
      <c r="P502" s="8" t="n"/>
      <c r="Q502" s="8" t="n"/>
      <c r="R502" s="11">
        <f>IF(B502="","",IFERROR(K502,0)+IFERROR(P502,0)-IFERROR(Q502,0))</f>
        <v/>
      </c>
      <c r="S502" s="5" t="n"/>
      <c r="T502" s="5" t="n"/>
      <c r="U502" s="11">
        <f>IF(B502="","",TRIM(LOWER(C502)&amp;"|"&amp;LOWER(D502)))</f>
        <v/>
      </c>
    </row>
    <row r="503">
      <c r="A503" s="11">
        <f>IF(B503="","",TEXT(ROW()-3,"""DC-""0000"))</f>
        <v/>
      </c>
      <c r="B503" s="5" t="n"/>
      <c r="C503" s="5" t="n"/>
      <c r="D503" s="5" t="n"/>
      <c r="E503" s="5" t="n"/>
      <c r="F503" s="5" t="n"/>
      <c r="G503" s="5" t="n"/>
      <c r="H503" s="8" t="n"/>
      <c r="I503" s="8" t="n"/>
      <c r="J503" s="8" t="n"/>
      <c r="K503" s="11">
        <f>IF(B503="","",MAX(0,IFERROR(I503,0)*IFERROR(H503,0)-IFERROR(J503,0)))</f>
        <v/>
      </c>
      <c r="L503" s="8" t="n"/>
      <c r="M503" s="11">
        <f>IF(B503="","",MAX(0,K503-L503))</f>
        <v/>
      </c>
      <c r="N503" s="11">
        <f>IF(B503="","",IF(L503&gt;=K503,"Paid",IF(L503&gt;0,"Partial","Unpaid")))</f>
        <v/>
      </c>
      <c r="O503" s="5" t="n"/>
      <c r="P503" s="8" t="n"/>
      <c r="Q503" s="8" t="n"/>
      <c r="R503" s="11">
        <f>IF(B503="","",IFERROR(K503,0)+IFERROR(P503,0)-IFERROR(Q503,0))</f>
        <v/>
      </c>
      <c r="S503" s="5" t="n"/>
      <c r="T503" s="5" t="n"/>
      <c r="U503" s="11">
        <f>IF(B503="","",TRIM(LOWER(C503)&amp;"|"&amp;LOWER(D503)))</f>
        <v/>
      </c>
    </row>
    <row r="504">
      <c r="A504" s="11">
        <f>IF(B504="","",TEXT(ROW()-3,"""DC-""0000"))</f>
        <v/>
      </c>
      <c r="B504" s="5" t="n"/>
      <c r="C504" s="5" t="n"/>
      <c r="D504" s="5" t="n"/>
      <c r="E504" s="5" t="n"/>
      <c r="F504" s="5" t="n"/>
      <c r="G504" s="5" t="n"/>
      <c r="H504" s="8" t="n"/>
      <c r="I504" s="8" t="n"/>
      <c r="J504" s="8" t="n"/>
      <c r="K504" s="11">
        <f>IF(B504="","",MAX(0,IFERROR(I504,0)*IFERROR(H504,0)-IFERROR(J504,0)))</f>
        <v/>
      </c>
      <c r="L504" s="8" t="n"/>
      <c r="M504" s="11">
        <f>IF(B504="","",MAX(0,K504-L504))</f>
        <v/>
      </c>
      <c r="N504" s="11">
        <f>IF(B504="","",IF(L504&gt;=K504,"Paid",IF(L504&gt;0,"Partial","Unpaid")))</f>
        <v/>
      </c>
      <c r="O504" s="5" t="n"/>
      <c r="P504" s="8" t="n"/>
      <c r="Q504" s="8" t="n"/>
      <c r="R504" s="11">
        <f>IF(B504="","",IFERROR(K504,0)+IFERROR(P504,0)-IFERROR(Q504,0))</f>
        <v/>
      </c>
      <c r="S504" s="5" t="n"/>
      <c r="T504" s="5" t="n"/>
      <c r="U504" s="11">
        <f>IF(B504="","",TRIM(LOWER(C504)&amp;"|"&amp;LOWER(D504)))</f>
        <v/>
      </c>
    </row>
    <row r="505">
      <c r="A505" s="11">
        <f>IF(B505="","",TEXT(ROW()-3,"""DC-""0000"))</f>
        <v/>
      </c>
      <c r="B505" s="5" t="n"/>
      <c r="C505" s="5" t="n"/>
      <c r="D505" s="5" t="n"/>
      <c r="E505" s="5" t="n"/>
      <c r="F505" s="5" t="n"/>
      <c r="G505" s="5" t="n"/>
      <c r="H505" s="8" t="n"/>
      <c r="I505" s="8" t="n"/>
      <c r="J505" s="8" t="n"/>
      <c r="K505" s="11">
        <f>IF(B505="","",MAX(0,IFERROR(I505,0)*IFERROR(H505,0)-IFERROR(J505,0)))</f>
        <v/>
      </c>
      <c r="L505" s="8" t="n"/>
      <c r="M505" s="11">
        <f>IF(B505="","",MAX(0,K505-L505))</f>
        <v/>
      </c>
      <c r="N505" s="11">
        <f>IF(B505="","",IF(L505&gt;=K505,"Paid",IF(L505&gt;0,"Partial","Unpaid")))</f>
        <v/>
      </c>
      <c r="O505" s="5" t="n"/>
      <c r="P505" s="8" t="n"/>
      <c r="Q505" s="8" t="n"/>
      <c r="R505" s="11">
        <f>IF(B505="","",IFERROR(K505,0)+IFERROR(P505,0)-IFERROR(Q505,0))</f>
        <v/>
      </c>
      <c r="S505" s="5" t="n"/>
      <c r="T505" s="5" t="n"/>
      <c r="U505" s="11">
        <f>IF(B505="","",TRIM(LOWER(C505)&amp;"|"&amp;LOWER(D505)))</f>
        <v/>
      </c>
    </row>
    <row r="506">
      <c r="A506" s="11">
        <f>IF(B506="","",TEXT(ROW()-3,"""DC-""0000"))</f>
        <v/>
      </c>
      <c r="B506" s="5" t="n"/>
      <c r="C506" s="5" t="n"/>
      <c r="D506" s="5" t="n"/>
      <c r="E506" s="5" t="n"/>
      <c r="F506" s="5" t="n"/>
      <c r="G506" s="5" t="n"/>
      <c r="H506" s="8" t="n"/>
      <c r="I506" s="8" t="n"/>
      <c r="J506" s="8" t="n"/>
      <c r="K506" s="11">
        <f>IF(B506="","",MAX(0,IFERROR(I506,0)*IFERROR(H506,0)-IFERROR(J506,0)))</f>
        <v/>
      </c>
      <c r="L506" s="8" t="n"/>
      <c r="M506" s="11">
        <f>IF(B506="","",MAX(0,K506-L506))</f>
        <v/>
      </c>
      <c r="N506" s="11">
        <f>IF(B506="","",IF(L506&gt;=K506,"Paid",IF(L506&gt;0,"Partial","Unpaid")))</f>
        <v/>
      </c>
      <c r="O506" s="5" t="n"/>
      <c r="P506" s="8" t="n"/>
      <c r="Q506" s="8" t="n"/>
      <c r="R506" s="11">
        <f>IF(B506="","",IFERROR(K506,0)+IFERROR(P506,0)-IFERROR(Q506,0))</f>
        <v/>
      </c>
      <c r="S506" s="5" t="n"/>
      <c r="T506" s="5" t="n"/>
      <c r="U506" s="11">
        <f>IF(B506="","",TRIM(LOWER(C506)&amp;"|"&amp;LOWER(D506)))</f>
        <v/>
      </c>
    </row>
    <row r="507">
      <c r="A507" s="11">
        <f>IF(B507="","",TEXT(ROW()-3,"""DC-""0000"))</f>
        <v/>
      </c>
      <c r="B507" s="5" t="n"/>
      <c r="C507" s="5" t="n"/>
      <c r="D507" s="5" t="n"/>
      <c r="E507" s="5" t="n"/>
      <c r="F507" s="5" t="n"/>
      <c r="G507" s="5" t="n"/>
      <c r="H507" s="8" t="n"/>
      <c r="I507" s="8" t="n"/>
      <c r="J507" s="8" t="n"/>
      <c r="K507" s="11">
        <f>IF(B507="","",MAX(0,IFERROR(I507,0)*IFERROR(H507,0)-IFERROR(J507,0)))</f>
        <v/>
      </c>
      <c r="L507" s="8" t="n"/>
      <c r="M507" s="11">
        <f>IF(B507="","",MAX(0,K507-L507))</f>
        <v/>
      </c>
      <c r="N507" s="11">
        <f>IF(B507="","",IF(L507&gt;=K507,"Paid",IF(L507&gt;0,"Partial","Unpaid")))</f>
        <v/>
      </c>
      <c r="O507" s="5" t="n"/>
      <c r="P507" s="8" t="n"/>
      <c r="Q507" s="8" t="n"/>
      <c r="R507" s="11">
        <f>IF(B507="","",IFERROR(K507,0)+IFERROR(P507,0)-IFERROR(Q507,0))</f>
        <v/>
      </c>
      <c r="S507" s="5" t="n"/>
      <c r="T507" s="5" t="n"/>
      <c r="U507" s="11">
        <f>IF(B507="","",TRIM(LOWER(C507)&amp;"|"&amp;LOWER(D507)))</f>
        <v/>
      </c>
    </row>
    <row r="508">
      <c r="A508" s="11">
        <f>IF(B508="","",TEXT(ROW()-3,"""DC-""0000"))</f>
        <v/>
      </c>
      <c r="B508" s="5" t="n"/>
      <c r="C508" s="5" t="n"/>
      <c r="D508" s="5" t="n"/>
      <c r="E508" s="5" t="n"/>
      <c r="F508" s="5" t="n"/>
      <c r="G508" s="5" t="n"/>
      <c r="H508" s="8" t="n"/>
      <c r="I508" s="8" t="n"/>
      <c r="J508" s="8" t="n"/>
      <c r="K508" s="11">
        <f>IF(B508="","",MAX(0,IFERROR(I508,0)*IFERROR(H508,0)-IFERROR(J508,0)))</f>
        <v/>
      </c>
      <c r="L508" s="8" t="n"/>
      <c r="M508" s="11">
        <f>IF(B508="","",MAX(0,K508-L508))</f>
        <v/>
      </c>
      <c r="N508" s="11">
        <f>IF(B508="","",IF(L508&gt;=K508,"Paid",IF(L508&gt;0,"Partial","Unpaid")))</f>
        <v/>
      </c>
      <c r="O508" s="5" t="n"/>
      <c r="P508" s="8" t="n"/>
      <c r="Q508" s="8" t="n"/>
      <c r="R508" s="11">
        <f>IF(B508="","",IFERROR(K508,0)+IFERROR(P508,0)-IFERROR(Q508,0))</f>
        <v/>
      </c>
      <c r="S508" s="5" t="n"/>
      <c r="T508" s="5" t="n"/>
      <c r="U508" s="11">
        <f>IF(B508="","",TRIM(LOWER(C508)&amp;"|"&amp;LOWER(D508)))</f>
        <v/>
      </c>
    </row>
    <row r="509">
      <c r="A509" s="11">
        <f>IF(B509="","",TEXT(ROW()-3,"""DC-""0000"))</f>
        <v/>
      </c>
      <c r="B509" s="5" t="n"/>
      <c r="C509" s="5" t="n"/>
      <c r="D509" s="5" t="n"/>
      <c r="E509" s="5" t="n"/>
      <c r="F509" s="5" t="n"/>
      <c r="G509" s="5" t="n"/>
      <c r="H509" s="8" t="n"/>
      <c r="I509" s="8" t="n"/>
      <c r="J509" s="8" t="n"/>
      <c r="K509" s="11">
        <f>IF(B509="","",MAX(0,IFERROR(I509,0)*IFERROR(H509,0)-IFERROR(J509,0)))</f>
        <v/>
      </c>
      <c r="L509" s="8" t="n"/>
      <c r="M509" s="11">
        <f>IF(B509="","",MAX(0,K509-L509))</f>
        <v/>
      </c>
      <c r="N509" s="11">
        <f>IF(B509="","",IF(L509&gt;=K509,"Paid",IF(L509&gt;0,"Partial","Unpaid")))</f>
        <v/>
      </c>
      <c r="O509" s="5" t="n"/>
      <c r="P509" s="8" t="n"/>
      <c r="Q509" s="8" t="n"/>
      <c r="R509" s="11">
        <f>IF(B509="","",IFERROR(K509,0)+IFERROR(P509,0)-IFERROR(Q509,0))</f>
        <v/>
      </c>
      <c r="S509" s="5" t="n"/>
      <c r="T509" s="5" t="n"/>
      <c r="U509" s="11">
        <f>IF(B509="","",TRIM(LOWER(C509)&amp;"|"&amp;LOWER(D509)))</f>
        <v/>
      </c>
    </row>
    <row r="510">
      <c r="A510" s="11">
        <f>IF(B510="","",TEXT(ROW()-3,"""DC-""0000"))</f>
        <v/>
      </c>
      <c r="B510" s="5" t="n"/>
      <c r="C510" s="5" t="n"/>
      <c r="D510" s="5" t="n"/>
      <c r="E510" s="5" t="n"/>
      <c r="F510" s="5" t="n"/>
      <c r="G510" s="5" t="n"/>
      <c r="H510" s="8" t="n"/>
      <c r="I510" s="8" t="n"/>
      <c r="J510" s="8" t="n"/>
      <c r="K510" s="11">
        <f>IF(B510="","",MAX(0,IFERROR(I510,0)*IFERROR(H510,0)-IFERROR(J510,0)))</f>
        <v/>
      </c>
      <c r="L510" s="8" t="n"/>
      <c r="M510" s="11">
        <f>IF(B510="","",MAX(0,K510-L510))</f>
        <v/>
      </c>
      <c r="N510" s="11">
        <f>IF(B510="","",IF(L510&gt;=K510,"Paid",IF(L510&gt;0,"Partial","Unpaid")))</f>
        <v/>
      </c>
      <c r="O510" s="5" t="n"/>
      <c r="P510" s="8" t="n"/>
      <c r="Q510" s="8" t="n"/>
      <c r="R510" s="11">
        <f>IF(B510="","",IFERROR(K510,0)+IFERROR(P510,0)-IFERROR(Q510,0))</f>
        <v/>
      </c>
      <c r="S510" s="5" t="n"/>
      <c r="T510" s="5" t="n"/>
      <c r="U510" s="11">
        <f>IF(B510="","",TRIM(LOWER(C510)&amp;"|"&amp;LOWER(D510)))</f>
        <v/>
      </c>
    </row>
    <row r="511">
      <c r="A511" s="11">
        <f>IF(B511="","",TEXT(ROW()-3,"""DC-""0000"))</f>
        <v/>
      </c>
      <c r="B511" s="5" t="n"/>
      <c r="C511" s="5" t="n"/>
      <c r="D511" s="5" t="n"/>
      <c r="E511" s="5" t="n"/>
      <c r="F511" s="5" t="n"/>
      <c r="G511" s="5" t="n"/>
      <c r="H511" s="8" t="n"/>
      <c r="I511" s="8" t="n"/>
      <c r="J511" s="8" t="n"/>
      <c r="K511" s="11">
        <f>IF(B511="","",MAX(0,IFERROR(I511,0)*IFERROR(H511,0)-IFERROR(J511,0)))</f>
        <v/>
      </c>
      <c r="L511" s="8" t="n"/>
      <c r="M511" s="11">
        <f>IF(B511="","",MAX(0,K511-L511))</f>
        <v/>
      </c>
      <c r="N511" s="11">
        <f>IF(B511="","",IF(L511&gt;=K511,"Paid",IF(L511&gt;0,"Partial","Unpaid")))</f>
        <v/>
      </c>
      <c r="O511" s="5" t="n"/>
      <c r="P511" s="8" t="n"/>
      <c r="Q511" s="8" t="n"/>
      <c r="R511" s="11">
        <f>IF(B511="","",IFERROR(K511,0)+IFERROR(P511,0)-IFERROR(Q511,0))</f>
        <v/>
      </c>
      <c r="S511" s="5" t="n"/>
      <c r="T511" s="5" t="n"/>
      <c r="U511" s="11">
        <f>IF(B511="","",TRIM(LOWER(C511)&amp;"|"&amp;LOWER(D511)))</f>
        <v/>
      </c>
    </row>
    <row r="512">
      <c r="A512" s="11">
        <f>IF(B512="","",TEXT(ROW()-3,"""DC-""0000"))</f>
        <v/>
      </c>
      <c r="B512" s="5" t="n"/>
      <c r="C512" s="5" t="n"/>
      <c r="D512" s="5" t="n"/>
      <c r="E512" s="5" t="n"/>
      <c r="F512" s="5" t="n"/>
      <c r="G512" s="5" t="n"/>
      <c r="H512" s="8" t="n"/>
      <c r="I512" s="8" t="n"/>
      <c r="J512" s="8" t="n"/>
      <c r="K512" s="11">
        <f>IF(B512="","",MAX(0,IFERROR(I512,0)*IFERROR(H512,0)-IFERROR(J512,0)))</f>
        <v/>
      </c>
      <c r="L512" s="8" t="n"/>
      <c r="M512" s="11">
        <f>IF(B512="","",MAX(0,K512-L512))</f>
        <v/>
      </c>
      <c r="N512" s="11">
        <f>IF(B512="","",IF(L512&gt;=K512,"Paid",IF(L512&gt;0,"Partial","Unpaid")))</f>
        <v/>
      </c>
      <c r="O512" s="5" t="n"/>
      <c r="P512" s="8" t="n"/>
      <c r="Q512" s="8" t="n"/>
      <c r="R512" s="11">
        <f>IF(B512="","",IFERROR(K512,0)+IFERROR(P512,0)-IFERROR(Q512,0))</f>
        <v/>
      </c>
      <c r="S512" s="5" t="n"/>
      <c r="T512" s="5" t="n"/>
      <c r="U512" s="11">
        <f>IF(B512="","",TRIM(LOWER(C512)&amp;"|"&amp;LOWER(D512)))</f>
        <v/>
      </c>
    </row>
    <row r="513">
      <c r="A513" s="11">
        <f>IF(B513="","",TEXT(ROW()-3,"""DC-""0000"))</f>
        <v/>
      </c>
      <c r="B513" s="5" t="n"/>
      <c r="C513" s="5" t="n"/>
      <c r="D513" s="5" t="n"/>
      <c r="E513" s="5" t="n"/>
      <c r="F513" s="5" t="n"/>
      <c r="G513" s="5" t="n"/>
      <c r="H513" s="8" t="n"/>
      <c r="I513" s="8" t="n"/>
      <c r="J513" s="8" t="n"/>
      <c r="K513" s="11">
        <f>IF(B513="","",MAX(0,IFERROR(I513,0)*IFERROR(H513,0)-IFERROR(J513,0)))</f>
        <v/>
      </c>
      <c r="L513" s="8" t="n"/>
      <c r="M513" s="11">
        <f>IF(B513="","",MAX(0,K513-L513))</f>
        <v/>
      </c>
      <c r="N513" s="11">
        <f>IF(B513="","",IF(L513&gt;=K513,"Paid",IF(L513&gt;0,"Partial","Unpaid")))</f>
        <v/>
      </c>
      <c r="O513" s="5" t="n"/>
      <c r="P513" s="8" t="n"/>
      <c r="Q513" s="8" t="n"/>
      <c r="R513" s="11">
        <f>IF(B513="","",IFERROR(K513,0)+IFERROR(P513,0)-IFERROR(Q513,0))</f>
        <v/>
      </c>
      <c r="S513" s="5" t="n"/>
      <c r="T513" s="5" t="n"/>
      <c r="U513" s="11">
        <f>IF(B513="","",TRIM(LOWER(C513)&amp;"|"&amp;LOWER(D513)))</f>
        <v/>
      </c>
    </row>
    <row r="514">
      <c r="A514" s="11">
        <f>IF(B514="","",TEXT(ROW()-3,"""DC-""0000"))</f>
        <v/>
      </c>
      <c r="B514" s="5" t="n"/>
      <c r="C514" s="5" t="n"/>
      <c r="D514" s="5" t="n"/>
      <c r="E514" s="5" t="n"/>
      <c r="F514" s="5" t="n"/>
      <c r="G514" s="5" t="n"/>
      <c r="H514" s="8" t="n"/>
      <c r="I514" s="8" t="n"/>
      <c r="J514" s="8" t="n"/>
      <c r="K514" s="11">
        <f>IF(B514="","",MAX(0,IFERROR(I514,0)*IFERROR(H514,0)-IFERROR(J514,0)))</f>
        <v/>
      </c>
      <c r="L514" s="8" t="n"/>
      <c r="M514" s="11">
        <f>IF(B514="","",MAX(0,K514-L514))</f>
        <v/>
      </c>
      <c r="N514" s="11">
        <f>IF(B514="","",IF(L514&gt;=K514,"Paid",IF(L514&gt;0,"Partial","Unpaid")))</f>
        <v/>
      </c>
      <c r="O514" s="5" t="n"/>
      <c r="P514" s="8" t="n"/>
      <c r="Q514" s="8" t="n"/>
      <c r="R514" s="11">
        <f>IF(B514="","",IFERROR(K514,0)+IFERROR(P514,0)-IFERROR(Q514,0))</f>
        <v/>
      </c>
      <c r="S514" s="5" t="n"/>
      <c r="T514" s="5" t="n"/>
      <c r="U514" s="11">
        <f>IF(B514="","",TRIM(LOWER(C514)&amp;"|"&amp;LOWER(D514)))</f>
        <v/>
      </c>
    </row>
    <row r="515">
      <c r="A515" s="11">
        <f>IF(B515="","",TEXT(ROW()-3,"""DC-""0000"))</f>
        <v/>
      </c>
      <c r="B515" s="5" t="n"/>
      <c r="C515" s="5" t="n"/>
      <c r="D515" s="5" t="n"/>
      <c r="E515" s="5" t="n"/>
      <c r="F515" s="5" t="n"/>
      <c r="G515" s="5" t="n"/>
      <c r="H515" s="8" t="n"/>
      <c r="I515" s="8" t="n"/>
      <c r="J515" s="8" t="n"/>
      <c r="K515" s="11">
        <f>IF(B515="","",MAX(0,IFERROR(I515,0)*IFERROR(H515,0)-IFERROR(J515,0)))</f>
        <v/>
      </c>
      <c r="L515" s="8" t="n"/>
      <c r="M515" s="11">
        <f>IF(B515="","",MAX(0,K515-L515))</f>
        <v/>
      </c>
      <c r="N515" s="11">
        <f>IF(B515="","",IF(L515&gt;=K515,"Paid",IF(L515&gt;0,"Partial","Unpaid")))</f>
        <v/>
      </c>
      <c r="O515" s="5" t="n"/>
      <c r="P515" s="8" t="n"/>
      <c r="Q515" s="8" t="n"/>
      <c r="R515" s="11">
        <f>IF(B515="","",IFERROR(K515,0)+IFERROR(P515,0)-IFERROR(Q515,0))</f>
        <v/>
      </c>
      <c r="S515" s="5" t="n"/>
      <c r="T515" s="5" t="n"/>
      <c r="U515" s="11">
        <f>IF(B515="","",TRIM(LOWER(C515)&amp;"|"&amp;LOWER(D515)))</f>
        <v/>
      </c>
    </row>
    <row r="516">
      <c r="A516" s="11">
        <f>IF(B516="","",TEXT(ROW()-3,"""DC-""0000"))</f>
        <v/>
      </c>
      <c r="B516" s="5" t="n"/>
      <c r="C516" s="5" t="n"/>
      <c r="D516" s="5" t="n"/>
      <c r="E516" s="5" t="n"/>
      <c r="F516" s="5" t="n"/>
      <c r="G516" s="5" t="n"/>
      <c r="H516" s="8" t="n"/>
      <c r="I516" s="8" t="n"/>
      <c r="J516" s="8" t="n"/>
      <c r="K516" s="11">
        <f>IF(B516="","",MAX(0,IFERROR(I516,0)*IFERROR(H516,0)-IFERROR(J516,0)))</f>
        <v/>
      </c>
      <c r="L516" s="8" t="n"/>
      <c r="M516" s="11">
        <f>IF(B516="","",MAX(0,K516-L516))</f>
        <v/>
      </c>
      <c r="N516" s="11">
        <f>IF(B516="","",IF(L516&gt;=K516,"Paid",IF(L516&gt;0,"Partial","Unpaid")))</f>
        <v/>
      </c>
      <c r="O516" s="5" t="n"/>
      <c r="P516" s="8" t="n"/>
      <c r="Q516" s="8" t="n"/>
      <c r="R516" s="11">
        <f>IF(B516="","",IFERROR(K516,0)+IFERROR(P516,0)-IFERROR(Q516,0))</f>
        <v/>
      </c>
      <c r="S516" s="5" t="n"/>
      <c r="T516" s="5" t="n"/>
      <c r="U516" s="11">
        <f>IF(B516="","",TRIM(LOWER(C516)&amp;"|"&amp;LOWER(D516)))</f>
        <v/>
      </c>
    </row>
    <row r="517">
      <c r="A517" s="11">
        <f>IF(B517="","",TEXT(ROW()-3,"""DC-""0000"))</f>
        <v/>
      </c>
      <c r="B517" s="5" t="n"/>
      <c r="C517" s="5" t="n"/>
      <c r="D517" s="5" t="n"/>
      <c r="E517" s="5" t="n"/>
      <c r="F517" s="5" t="n"/>
      <c r="G517" s="5" t="n"/>
      <c r="H517" s="8" t="n"/>
      <c r="I517" s="8" t="n"/>
      <c r="J517" s="8" t="n"/>
      <c r="K517" s="11">
        <f>IF(B517="","",MAX(0,IFERROR(I517,0)*IFERROR(H517,0)-IFERROR(J517,0)))</f>
        <v/>
      </c>
      <c r="L517" s="8" t="n"/>
      <c r="M517" s="11">
        <f>IF(B517="","",MAX(0,K517-L517))</f>
        <v/>
      </c>
      <c r="N517" s="11">
        <f>IF(B517="","",IF(L517&gt;=K517,"Paid",IF(L517&gt;0,"Partial","Unpaid")))</f>
        <v/>
      </c>
      <c r="O517" s="5" t="n"/>
      <c r="P517" s="8" t="n"/>
      <c r="Q517" s="8" t="n"/>
      <c r="R517" s="11">
        <f>IF(B517="","",IFERROR(K517,0)+IFERROR(P517,0)-IFERROR(Q517,0))</f>
        <v/>
      </c>
      <c r="S517" s="5" t="n"/>
      <c r="T517" s="5" t="n"/>
      <c r="U517" s="11">
        <f>IF(B517="","",TRIM(LOWER(C517)&amp;"|"&amp;LOWER(D517)))</f>
        <v/>
      </c>
    </row>
    <row r="518">
      <c r="A518" s="11">
        <f>IF(B518="","",TEXT(ROW()-3,"""DC-""0000"))</f>
        <v/>
      </c>
      <c r="B518" s="5" t="n"/>
      <c r="C518" s="5" t="n"/>
      <c r="D518" s="5" t="n"/>
      <c r="E518" s="5" t="n"/>
      <c r="F518" s="5" t="n"/>
      <c r="G518" s="5" t="n"/>
      <c r="H518" s="8" t="n"/>
      <c r="I518" s="8" t="n"/>
      <c r="J518" s="8" t="n"/>
      <c r="K518" s="11">
        <f>IF(B518="","",MAX(0,IFERROR(I518,0)*IFERROR(H518,0)-IFERROR(J518,0)))</f>
        <v/>
      </c>
      <c r="L518" s="8" t="n"/>
      <c r="M518" s="11">
        <f>IF(B518="","",MAX(0,K518-L518))</f>
        <v/>
      </c>
      <c r="N518" s="11">
        <f>IF(B518="","",IF(L518&gt;=K518,"Paid",IF(L518&gt;0,"Partial","Unpaid")))</f>
        <v/>
      </c>
      <c r="O518" s="5" t="n"/>
      <c r="P518" s="8" t="n"/>
      <c r="Q518" s="8" t="n"/>
      <c r="R518" s="11">
        <f>IF(B518="","",IFERROR(K518,0)+IFERROR(P518,0)-IFERROR(Q518,0))</f>
        <v/>
      </c>
      <c r="S518" s="5" t="n"/>
      <c r="T518" s="5" t="n"/>
      <c r="U518" s="11">
        <f>IF(B518="","",TRIM(LOWER(C518)&amp;"|"&amp;LOWER(D518)))</f>
        <v/>
      </c>
    </row>
    <row r="519">
      <c r="A519" s="11">
        <f>IF(B519="","",TEXT(ROW()-3,"""DC-""0000"))</f>
        <v/>
      </c>
      <c r="B519" s="5" t="n"/>
      <c r="C519" s="5" t="n"/>
      <c r="D519" s="5" t="n"/>
      <c r="E519" s="5" t="n"/>
      <c r="F519" s="5" t="n"/>
      <c r="G519" s="5" t="n"/>
      <c r="H519" s="8" t="n"/>
      <c r="I519" s="8" t="n"/>
      <c r="J519" s="8" t="n"/>
      <c r="K519" s="11">
        <f>IF(B519="","",MAX(0,IFERROR(I519,0)*IFERROR(H519,0)-IFERROR(J519,0)))</f>
        <v/>
      </c>
      <c r="L519" s="8" t="n"/>
      <c r="M519" s="11">
        <f>IF(B519="","",MAX(0,K519-L519))</f>
        <v/>
      </c>
      <c r="N519" s="11">
        <f>IF(B519="","",IF(L519&gt;=K519,"Paid",IF(L519&gt;0,"Partial","Unpaid")))</f>
        <v/>
      </c>
      <c r="O519" s="5" t="n"/>
      <c r="P519" s="8" t="n"/>
      <c r="Q519" s="8" t="n"/>
      <c r="R519" s="11">
        <f>IF(B519="","",IFERROR(K519,0)+IFERROR(P519,0)-IFERROR(Q519,0))</f>
        <v/>
      </c>
      <c r="S519" s="5" t="n"/>
      <c r="T519" s="5" t="n"/>
      <c r="U519" s="11">
        <f>IF(B519="","",TRIM(LOWER(C519)&amp;"|"&amp;LOWER(D519)))</f>
        <v/>
      </c>
    </row>
    <row r="520">
      <c r="A520" s="11">
        <f>IF(B520="","",TEXT(ROW()-3,"""DC-""0000"))</f>
        <v/>
      </c>
      <c r="B520" s="5" t="n"/>
      <c r="C520" s="5" t="n"/>
      <c r="D520" s="5" t="n"/>
      <c r="E520" s="5" t="n"/>
      <c r="F520" s="5" t="n"/>
      <c r="G520" s="5" t="n"/>
      <c r="H520" s="8" t="n"/>
      <c r="I520" s="8" t="n"/>
      <c r="J520" s="8" t="n"/>
      <c r="K520" s="11">
        <f>IF(B520="","",MAX(0,IFERROR(I520,0)*IFERROR(H520,0)-IFERROR(J520,0)))</f>
        <v/>
      </c>
      <c r="L520" s="8" t="n"/>
      <c r="M520" s="11">
        <f>IF(B520="","",MAX(0,K520-L520))</f>
        <v/>
      </c>
      <c r="N520" s="11">
        <f>IF(B520="","",IF(L520&gt;=K520,"Paid",IF(L520&gt;0,"Partial","Unpaid")))</f>
        <v/>
      </c>
      <c r="O520" s="5" t="n"/>
      <c r="P520" s="8" t="n"/>
      <c r="Q520" s="8" t="n"/>
      <c r="R520" s="11">
        <f>IF(B520="","",IFERROR(K520,0)+IFERROR(P520,0)-IFERROR(Q520,0))</f>
        <v/>
      </c>
      <c r="S520" s="5" t="n"/>
      <c r="T520" s="5" t="n"/>
      <c r="U520" s="11">
        <f>IF(B520="","",TRIM(LOWER(C520)&amp;"|"&amp;LOWER(D520)))</f>
        <v/>
      </c>
    </row>
    <row r="521">
      <c r="A521" s="11">
        <f>IF(B521="","",TEXT(ROW()-3,"""DC-""0000"))</f>
        <v/>
      </c>
      <c r="B521" s="5" t="n"/>
      <c r="C521" s="5" t="n"/>
      <c r="D521" s="5" t="n"/>
      <c r="E521" s="5" t="n"/>
      <c r="F521" s="5" t="n"/>
      <c r="G521" s="5" t="n"/>
      <c r="H521" s="8" t="n"/>
      <c r="I521" s="8" t="n"/>
      <c r="J521" s="8" t="n"/>
      <c r="K521" s="11">
        <f>IF(B521="","",MAX(0,IFERROR(I521,0)*IFERROR(H521,0)-IFERROR(J521,0)))</f>
        <v/>
      </c>
      <c r="L521" s="8" t="n"/>
      <c r="M521" s="11">
        <f>IF(B521="","",MAX(0,K521-L521))</f>
        <v/>
      </c>
      <c r="N521" s="11">
        <f>IF(B521="","",IF(L521&gt;=K521,"Paid",IF(L521&gt;0,"Partial","Unpaid")))</f>
        <v/>
      </c>
      <c r="O521" s="5" t="n"/>
      <c r="P521" s="8" t="n"/>
      <c r="Q521" s="8" t="n"/>
      <c r="R521" s="11">
        <f>IF(B521="","",IFERROR(K521,0)+IFERROR(P521,0)-IFERROR(Q521,0))</f>
        <v/>
      </c>
      <c r="S521" s="5" t="n"/>
      <c r="T521" s="5" t="n"/>
      <c r="U521" s="11">
        <f>IF(B521="","",TRIM(LOWER(C521)&amp;"|"&amp;LOWER(D521)))</f>
        <v/>
      </c>
    </row>
    <row r="522">
      <c r="A522" s="11">
        <f>IF(B522="","",TEXT(ROW()-3,"""DC-""0000"))</f>
        <v/>
      </c>
      <c r="B522" s="5" t="n"/>
      <c r="C522" s="5" t="n"/>
      <c r="D522" s="5" t="n"/>
      <c r="E522" s="5" t="n"/>
      <c r="F522" s="5" t="n"/>
      <c r="G522" s="5" t="n"/>
      <c r="H522" s="8" t="n"/>
      <c r="I522" s="8" t="n"/>
      <c r="J522" s="8" t="n"/>
      <c r="K522" s="11">
        <f>IF(B522="","",MAX(0,IFERROR(I522,0)*IFERROR(H522,0)-IFERROR(J522,0)))</f>
        <v/>
      </c>
      <c r="L522" s="8" t="n"/>
      <c r="M522" s="11">
        <f>IF(B522="","",MAX(0,K522-L522))</f>
        <v/>
      </c>
      <c r="N522" s="11">
        <f>IF(B522="","",IF(L522&gt;=K522,"Paid",IF(L522&gt;0,"Partial","Unpaid")))</f>
        <v/>
      </c>
      <c r="O522" s="5" t="n"/>
      <c r="P522" s="8" t="n"/>
      <c r="Q522" s="8" t="n"/>
      <c r="R522" s="11">
        <f>IF(B522="","",IFERROR(K522,0)+IFERROR(P522,0)-IFERROR(Q522,0))</f>
        <v/>
      </c>
      <c r="S522" s="5" t="n"/>
      <c r="T522" s="5" t="n"/>
      <c r="U522" s="11">
        <f>IF(B522="","",TRIM(LOWER(C522)&amp;"|"&amp;LOWER(D522)))</f>
        <v/>
      </c>
    </row>
    <row r="523">
      <c r="A523" s="11">
        <f>IF(B523="","",TEXT(ROW()-3,"""DC-""0000"))</f>
        <v/>
      </c>
      <c r="B523" s="5" t="n"/>
      <c r="C523" s="5" t="n"/>
      <c r="D523" s="5" t="n"/>
      <c r="E523" s="5" t="n"/>
      <c r="F523" s="5" t="n"/>
      <c r="G523" s="5" t="n"/>
      <c r="H523" s="8" t="n"/>
      <c r="I523" s="8" t="n"/>
      <c r="J523" s="8" t="n"/>
      <c r="K523" s="11">
        <f>IF(B523="","",MAX(0,IFERROR(I523,0)*IFERROR(H523,0)-IFERROR(J523,0)))</f>
        <v/>
      </c>
      <c r="L523" s="8" t="n"/>
      <c r="M523" s="11">
        <f>IF(B523="","",MAX(0,K523-L523))</f>
        <v/>
      </c>
      <c r="N523" s="11">
        <f>IF(B523="","",IF(L523&gt;=K523,"Paid",IF(L523&gt;0,"Partial","Unpaid")))</f>
        <v/>
      </c>
      <c r="O523" s="5" t="n"/>
      <c r="P523" s="8" t="n"/>
      <c r="Q523" s="8" t="n"/>
      <c r="R523" s="11">
        <f>IF(B523="","",IFERROR(K523,0)+IFERROR(P523,0)-IFERROR(Q523,0))</f>
        <v/>
      </c>
      <c r="S523" s="5" t="n"/>
      <c r="T523" s="5" t="n"/>
      <c r="U523" s="11">
        <f>IF(B523="","",TRIM(LOWER(C523)&amp;"|"&amp;LOWER(D523)))</f>
        <v/>
      </c>
    </row>
    <row r="524">
      <c r="A524" s="11">
        <f>IF(B524="","",TEXT(ROW()-3,"""DC-""0000"))</f>
        <v/>
      </c>
      <c r="B524" s="5" t="n"/>
      <c r="C524" s="5" t="n"/>
      <c r="D524" s="5" t="n"/>
      <c r="E524" s="5" t="n"/>
      <c r="F524" s="5" t="n"/>
      <c r="G524" s="5" t="n"/>
      <c r="H524" s="8" t="n"/>
      <c r="I524" s="8" t="n"/>
      <c r="J524" s="8" t="n"/>
      <c r="K524" s="11">
        <f>IF(B524="","",MAX(0,IFERROR(I524,0)*IFERROR(H524,0)-IFERROR(J524,0)))</f>
        <v/>
      </c>
      <c r="L524" s="8" t="n"/>
      <c r="M524" s="11">
        <f>IF(B524="","",MAX(0,K524-L524))</f>
        <v/>
      </c>
      <c r="N524" s="11">
        <f>IF(B524="","",IF(L524&gt;=K524,"Paid",IF(L524&gt;0,"Partial","Unpaid")))</f>
        <v/>
      </c>
      <c r="O524" s="5" t="n"/>
      <c r="P524" s="8" t="n"/>
      <c r="Q524" s="8" t="n"/>
      <c r="R524" s="11">
        <f>IF(B524="","",IFERROR(K524,0)+IFERROR(P524,0)-IFERROR(Q524,0))</f>
        <v/>
      </c>
      <c r="S524" s="5" t="n"/>
      <c r="T524" s="5" t="n"/>
      <c r="U524" s="11">
        <f>IF(B524="","",TRIM(LOWER(C524)&amp;"|"&amp;LOWER(D524)))</f>
        <v/>
      </c>
    </row>
    <row r="525">
      <c r="A525" s="11">
        <f>IF(B525="","",TEXT(ROW()-3,"""DC-""0000"))</f>
        <v/>
      </c>
      <c r="B525" s="5" t="n"/>
      <c r="C525" s="5" t="n"/>
      <c r="D525" s="5" t="n"/>
      <c r="E525" s="5" t="n"/>
      <c r="F525" s="5" t="n"/>
      <c r="G525" s="5" t="n"/>
      <c r="H525" s="8" t="n"/>
      <c r="I525" s="8" t="n"/>
      <c r="J525" s="8" t="n"/>
      <c r="K525" s="11">
        <f>IF(B525="","",MAX(0,IFERROR(I525,0)*IFERROR(H525,0)-IFERROR(J525,0)))</f>
        <v/>
      </c>
      <c r="L525" s="8" t="n"/>
      <c r="M525" s="11">
        <f>IF(B525="","",MAX(0,K525-L525))</f>
        <v/>
      </c>
      <c r="N525" s="11">
        <f>IF(B525="","",IF(L525&gt;=K525,"Paid",IF(L525&gt;0,"Partial","Unpaid")))</f>
        <v/>
      </c>
      <c r="O525" s="5" t="n"/>
      <c r="P525" s="8" t="n"/>
      <c r="Q525" s="8" t="n"/>
      <c r="R525" s="11">
        <f>IF(B525="","",IFERROR(K525,0)+IFERROR(P525,0)-IFERROR(Q525,0))</f>
        <v/>
      </c>
      <c r="S525" s="5" t="n"/>
      <c r="T525" s="5" t="n"/>
      <c r="U525" s="11">
        <f>IF(B525="","",TRIM(LOWER(C525)&amp;"|"&amp;LOWER(D525)))</f>
        <v/>
      </c>
    </row>
    <row r="526">
      <c r="A526" s="11">
        <f>IF(B526="","",TEXT(ROW()-3,"""DC-""0000"))</f>
        <v/>
      </c>
      <c r="B526" s="5" t="n"/>
      <c r="C526" s="5" t="n"/>
      <c r="D526" s="5" t="n"/>
      <c r="E526" s="5" t="n"/>
      <c r="F526" s="5" t="n"/>
      <c r="G526" s="5" t="n"/>
      <c r="H526" s="8" t="n"/>
      <c r="I526" s="8" t="n"/>
      <c r="J526" s="8" t="n"/>
      <c r="K526" s="11">
        <f>IF(B526="","",MAX(0,IFERROR(I526,0)*IFERROR(H526,0)-IFERROR(J526,0)))</f>
        <v/>
      </c>
      <c r="L526" s="8" t="n"/>
      <c r="M526" s="11">
        <f>IF(B526="","",MAX(0,K526-L526))</f>
        <v/>
      </c>
      <c r="N526" s="11">
        <f>IF(B526="","",IF(L526&gt;=K526,"Paid",IF(L526&gt;0,"Partial","Unpaid")))</f>
        <v/>
      </c>
      <c r="O526" s="5" t="n"/>
      <c r="P526" s="8" t="n"/>
      <c r="Q526" s="8" t="n"/>
      <c r="R526" s="11">
        <f>IF(B526="","",IFERROR(K526,0)+IFERROR(P526,0)-IFERROR(Q526,0))</f>
        <v/>
      </c>
      <c r="S526" s="5" t="n"/>
      <c r="T526" s="5" t="n"/>
      <c r="U526" s="11">
        <f>IF(B526="","",TRIM(LOWER(C526)&amp;"|"&amp;LOWER(D526)))</f>
        <v/>
      </c>
    </row>
    <row r="527">
      <c r="A527" s="11">
        <f>IF(B527="","",TEXT(ROW()-3,"""DC-""0000"))</f>
        <v/>
      </c>
      <c r="B527" s="5" t="n"/>
      <c r="C527" s="5" t="n"/>
      <c r="D527" s="5" t="n"/>
      <c r="E527" s="5" t="n"/>
      <c r="F527" s="5" t="n"/>
      <c r="G527" s="5" t="n"/>
      <c r="H527" s="8" t="n"/>
      <c r="I527" s="8" t="n"/>
      <c r="J527" s="8" t="n"/>
      <c r="K527" s="11">
        <f>IF(B527="","",MAX(0,IFERROR(I527,0)*IFERROR(H527,0)-IFERROR(J527,0)))</f>
        <v/>
      </c>
      <c r="L527" s="8" t="n"/>
      <c r="M527" s="11">
        <f>IF(B527="","",MAX(0,K527-L527))</f>
        <v/>
      </c>
      <c r="N527" s="11">
        <f>IF(B527="","",IF(L527&gt;=K527,"Paid",IF(L527&gt;0,"Partial","Unpaid")))</f>
        <v/>
      </c>
      <c r="O527" s="5" t="n"/>
      <c r="P527" s="8" t="n"/>
      <c r="Q527" s="8" t="n"/>
      <c r="R527" s="11">
        <f>IF(B527="","",IFERROR(K527,0)+IFERROR(P527,0)-IFERROR(Q527,0))</f>
        <v/>
      </c>
      <c r="S527" s="5" t="n"/>
      <c r="T527" s="5" t="n"/>
      <c r="U527" s="11">
        <f>IF(B527="","",TRIM(LOWER(C527)&amp;"|"&amp;LOWER(D527)))</f>
        <v/>
      </c>
    </row>
    <row r="528">
      <c r="A528" s="11">
        <f>IF(B528="","",TEXT(ROW()-3,"""DC-""0000"))</f>
        <v/>
      </c>
      <c r="B528" s="5" t="n"/>
      <c r="C528" s="5" t="n"/>
      <c r="D528" s="5" t="n"/>
      <c r="E528" s="5" t="n"/>
      <c r="F528" s="5" t="n"/>
      <c r="G528" s="5" t="n"/>
      <c r="H528" s="8" t="n"/>
      <c r="I528" s="8" t="n"/>
      <c r="J528" s="8" t="n"/>
      <c r="K528" s="11">
        <f>IF(B528="","",MAX(0,IFERROR(I528,0)*IFERROR(H528,0)-IFERROR(J528,0)))</f>
        <v/>
      </c>
      <c r="L528" s="8" t="n"/>
      <c r="M528" s="11">
        <f>IF(B528="","",MAX(0,K528-L528))</f>
        <v/>
      </c>
      <c r="N528" s="11">
        <f>IF(B528="","",IF(L528&gt;=K528,"Paid",IF(L528&gt;0,"Partial","Unpaid")))</f>
        <v/>
      </c>
      <c r="O528" s="5" t="n"/>
      <c r="P528" s="8" t="n"/>
      <c r="Q528" s="8" t="n"/>
      <c r="R528" s="11">
        <f>IF(B528="","",IFERROR(K528,0)+IFERROR(P528,0)-IFERROR(Q528,0))</f>
        <v/>
      </c>
      <c r="S528" s="5" t="n"/>
      <c r="T528" s="5" t="n"/>
      <c r="U528" s="11">
        <f>IF(B528="","",TRIM(LOWER(C528)&amp;"|"&amp;LOWER(D528)))</f>
        <v/>
      </c>
    </row>
    <row r="529">
      <c r="A529" s="11">
        <f>IF(B529="","",TEXT(ROW()-3,"""DC-""0000"))</f>
        <v/>
      </c>
      <c r="B529" s="5" t="n"/>
      <c r="C529" s="5" t="n"/>
      <c r="D529" s="5" t="n"/>
      <c r="E529" s="5" t="n"/>
      <c r="F529" s="5" t="n"/>
      <c r="G529" s="5" t="n"/>
      <c r="H529" s="8" t="n"/>
      <c r="I529" s="8" t="n"/>
      <c r="J529" s="8" t="n"/>
      <c r="K529" s="11">
        <f>IF(B529="","",MAX(0,IFERROR(I529,0)*IFERROR(H529,0)-IFERROR(J529,0)))</f>
        <v/>
      </c>
      <c r="L529" s="8" t="n"/>
      <c r="M529" s="11">
        <f>IF(B529="","",MAX(0,K529-L529))</f>
        <v/>
      </c>
      <c r="N529" s="11">
        <f>IF(B529="","",IF(L529&gt;=K529,"Paid",IF(L529&gt;0,"Partial","Unpaid")))</f>
        <v/>
      </c>
      <c r="O529" s="5" t="n"/>
      <c r="P529" s="8" t="n"/>
      <c r="Q529" s="8" t="n"/>
      <c r="R529" s="11">
        <f>IF(B529="","",IFERROR(K529,0)+IFERROR(P529,0)-IFERROR(Q529,0))</f>
        <v/>
      </c>
      <c r="S529" s="5" t="n"/>
      <c r="T529" s="5" t="n"/>
      <c r="U529" s="11">
        <f>IF(B529="","",TRIM(LOWER(C529)&amp;"|"&amp;LOWER(D529)))</f>
        <v/>
      </c>
    </row>
    <row r="530">
      <c r="A530" s="11">
        <f>IF(B530="","",TEXT(ROW()-3,"""DC-""0000"))</f>
        <v/>
      </c>
      <c r="B530" s="5" t="n"/>
      <c r="C530" s="5" t="n"/>
      <c r="D530" s="5" t="n"/>
      <c r="E530" s="5" t="n"/>
      <c r="F530" s="5" t="n"/>
      <c r="G530" s="5" t="n"/>
      <c r="H530" s="8" t="n"/>
      <c r="I530" s="8" t="n"/>
      <c r="J530" s="8" t="n"/>
      <c r="K530" s="11">
        <f>IF(B530="","",MAX(0,IFERROR(I530,0)*IFERROR(H530,0)-IFERROR(J530,0)))</f>
        <v/>
      </c>
      <c r="L530" s="8" t="n"/>
      <c r="M530" s="11">
        <f>IF(B530="","",MAX(0,K530-L530))</f>
        <v/>
      </c>
      <c r="N530" s="11">
        <f>IF(B530="","",IF(L530&gt;=K530,"Paid",IF(L530&gt;0,"Partial","Unpaid")))</f>
        <v/>
      </c>
      <c r="O530" s="5" t="n"/>
      <c r="P530" s="8" t="n"/>
      <c r="Q530" s="8" t="n"/>
      <c r="R530" s="11">
        <f>IF(B530="","",IFERROR(K530,0)+IFERROR(P530,0)-IFERROR(Q530,0))</f>
        <v/>
      </c>
      <c r="S530" s="5" t="n"/>
      <c r="T530" s="5" t="n"/>
      <c r="U530" s="11">
        <f>IF(B530="","",TRIM(LOWER(C530)&amp;"|"&amp;LOWER(D530)))</f>
        <v/>
      </c>
    </row>
    <row r="531">
      <c r="A531" s="11">
        <f>IF(B531="","",TEXT(ROW()-3,"""DC-""0000"))</f>
        <v/>
      </c>
      <c r="B531" s="5" t="n"/>
      <c r="C531" s="5" t="n"/>
      <c r="D531" s="5" t="n"/>
      <c r="E531" s="5" t="n"/>
      <c r="F531" s="5" t="n"/>
      <c r="G531" s="5" t="n"/>
      <c r="H531" s="8" t="n"/>
      <c r="I531" s="8" t="n"/>
      <c r="J531" s="8" t="n"/>
      <c r="K531" s="11">
        <f>IF(B531="","",MAX(0,IFERROR(I531,0)*IFERROR(H531,0)-IFERROR(J531,0)))</f>
        <v/>
      </c>
      <c r="L531" s="8" t="n"/>
      <c r="M531" s="11">
        <f>IF(B531="","",MAX(0,K531-L531))</f>
        <v/>
      </c>
      <c r="N531" s="11">
        <f>IF(B531="","",IF(L531&gt;=K531,"Paid",IF(L531&gt;0,"Partial","Unpaid")))</f>
        <v/>
      </c>
      <c r="O531" s="5" t="n"/>
      <c r="P531" s="8" t="n"/>
      <c r="Q531" s="8" t="n"/>
      <c r="R531" s="11">
        <f>IF(B531="","",IFERROR(K531,0)+IFERROR(P531,0)-IFERROR(Q531,0))</f>
        <v/>
      </c>
      <c r="S531" s="5" t="n"/>
      <c r="T531" s="5" t="n"/>
      <c r="U531" s="11">
        <f>IF(B531="","",TRIM(LOWER(C531)&amp;"|"&amp;LOWER(D531)))</f>
        <v/>
      </c>
    </row>
    <row r="532">
      <c r="A532" s="11">
        <f>IF(B532="","",TEXT(ROW()-3,"""DC-""0000"))</f>
        <v/>
      </c>
      <c r="B532" s="5" t="n"/>
      <c r="C532" s="5" t="n"/>
      <c r="D532" s="5" t="n"/>
      <c r="E532" s="5" t="n"/>
      <c r="F532" s="5" t="n"/>
      <c r="G532" s="5" t="n"/>
      <c r="H532" s="8" t="n"/>
      <c r="I532" s="8" t="n"/>
      <c r="J532" s="8" t="n"/>
      <c r="K532" s="11">
        <f>IF(B532="","",MAX(0,IFERROR(I532,0)*IFERROR(H532,0)-IFERROR(J532,0)))</f>
        <v/>
      </c>
      <c r="L532" s="8" t="n"/>
      <c r="M532" s="11">
        <f>IF(B532="","",MAX(0,K532-L532))</f>
        <v/>
      </c>
      <c r="N532" s="11">
        <f>IF(B532="","",IF(L532&gt;=K532,"Paid",IF(L532&gt;0,"Partial","Unpaid")))</f>
        <v/>
      </c>
      <c r="O532" s="5" t="n"/>
      <c r="P532" s="8" t="n"/>
      <c r="Q532" s="8" t="n"/>
      <c r="R532" s="11">
        <f>IF(B532="","",IFERROR(K532,0)+IFERROR(P532,0)-IFERROR(Q532,0))</f>
        <v/>
      </c>
      <c r="S532" s="5" t="n"/>
      <c r="T532" s="5" t="n"/>
      <c r="U532" s="11">
        <f>IF(B532="","",TRIM(LOWER(C532)&amp;"|"&amp;LOWER(D532)))</f>
        <v/>
      </c>
    </row>
    <row r="533">
      <c r="A533" s="11">
        <f>IF(B533="","",TEXT(ROW()-3,"""DC-""0000"))</f>
        <v/>
      </c>
      <c r="B533" s="5" t="n"/>
      <c r="C533" s="5" t="n"/>
      <c r="D533" s="5" t="n"/>
      <c r="E533" s="5" t="n"/>
      <c r="F533" s="5" t="n"/>
      <c r="G533" s="5" t="n"/>
      <c r="H533" s="8" t="n"/>
      <c r="I533" s="8" t="n"/>
      <c r="J533" s="8" t="n"/>
      <c r="K533" s="11">
        <f>IF(B533="","",MAX(0,IFERROR(I533,0)*IFERROR(H533,0)-IFERROR(J533,0)))</f>
        <v/>
      </c>
      <c r="L533" s="8" t="n"/>
      <c r="M533" s="11">
        <f>IF(B533="","",MAX(0,K533-L533))</f>
        <v/>
      </c>
      <c r="N533" s="11">
        <f>IF(B533="","",IF(L533&gt;=K533,"Paid",IF(L533&gt;0,"Partial","Unpaid")))</f>
        <v/>
      </c>
      <c r="O533" s="5" t="n"/>
      <c r="P533" s="8" t="n"/>
      <c r="Q533" s="8" t="n"/>
      <c r="R533" s="11">
        <f>IF(B533="","",IFERROR(K533,0)+IFERROR(P533,0)-IFERROR(Q533,0))</f>
        <v/>
      </c>
      <c r="S533" s="5" t="n"/>
      <c r="T533" s="5" t="n"/>
      <c r="U533" s="11">
        <f>IF(B533="","",TRIM(LOWER(C533)&amp;"|"&amp;LOWER(D533)))</f>
        <v/>
      </c>
    </row>
    <row r="534">
      <c r="A534" s="11">
        <f>IF(B534="","",TEXT(ROW()-3,"""DC-""0000"))</f>
        <v/>
      </c>
      <c r="B534" s="5" t="n"/>
      <c r="C534" s="5" t="n"/>
      <c r="D534" s="5" t="n"/>
      <c r="E534" s="5" t="n"/>
      <c r="F534" s="5" t="n"/>
      <c r="G534" s="5" t="n"/>
      <c r="H534" s="8" t="n"/>
      <c r="I534" s="8" t="n"/>
      <c r="J534" s="8" t="n"/>
      <c r="K534" s="11">
        <f>IF(B534="","",MAX(0,IFERROR(I534,0)*IFERROR(H534,0)-IFERROR(J534,0)))</f>
        <v/>
      </c>
      <c r="L534" s="8" t="n"/>
      <c r="M534" s="11">
        <f>IF(B534="","",MAX(0,K534-L534))</f>
        <v/>
      </c>
      <c r="N534" s="11">
        <f>IF(B534="","",IF(L534&gt;=K534,"Paid",IF(L534&gt;0,"Partial","Unpaid")))</f>
        <v/>
      </c>
      <c r="O534" s="5" t="n"/>
      <c r="P534" s="8" t="n"/>
      <c r="Q534" s="8" t="n"/>
      <c r="R534" s="11">
        <f>IF(B534="","",IFERROR(K534,0)+IFERROR(P534,0)-IFERROR(Q534,0))</f>
        <v/>
      </c>
      <c r="S534" s="5" t="n"/>
      <c r="T534" s="5" t="n"/>
      <c r="U534" s="11">
        <f>IF(B534="","",TRIM(LOWER(C534)&amp;"|"&amp;LOWER(D534)))</f>
        <v/>
      </c>
    </row>
    <row r="535">
      <c r="A535" s="11">
        <f>IF(B535="","",TEXT(ROW()-3,"""DC-""0000"))</f>
        <v/>
      </c>
      <c r="B535" s="5" t="n"/>
      <c r="C535" s="5" t="n"/>
      <c r="D535" s="5" t="n"/>
      <c r="E535" s="5" t="n"/>
      <c r="F535" s="5" t="n"/>
      <c r="G535" s="5" t="n"/>
      <c r="H535" s="8" t="n"/>
      <c r="I535" s="8" t="n"/>
      <c r="J535" s="8" t="n"/>
      <c r="K535" s="11">
        <f>IF(B535="","",MAX(0,IFERROR(I535,0)*IFERROR(H535,0)-IFERROR(J535,0)))</f>
        <v/>
      </c>
      <c r="L535" s="8" t="n"/>
      <c r="M535" s="11">
        <f>IF(B535="","",MAX(0,K535-L535))</f>
        <v/>
      </c>
      <c r="N535" s="11">
        <f>IF(B535="","",IF(L535&gt;=K535,"Paid",IF(L535&gt;0,"Partial","Unpaid")))</f>
        <v/>
      </c>
      <c r="O535" s="5" t="n"/>
      <c r="P535" s="8" t="n"/>
      <c r="Q535" s="8" t="n"/>
      <c r="R535" s="11">
        <f>IF(B535="","",IFERROR(K535,0)+IFERROR(P535,0)-IFERROR(Q535,0))</f>
        <v/>
      </c>
      <c r="S535" s="5" t="n"/>
      <c r="T535" s="5" t="n"/>
      <c r="U535" s="11">
        <f>IF(B535="","",TRIM(LOWER(C535)&amp;"|"&amp;LOWER(D535)))</f>
        <v/>
      </c>
    </row>
    <row r="536">
      <c r="A536" s="11">
        <f>IF(B536="","",TEXT(ROW()-3,"""DC-""0000"))</f>
        <v/>
      </c>
      <c r="B536" s="5" t="n"/>
      <c r="C536" s="5" t="n"/>
      <c r="D536" s="5" t="n"/>
      <c r="E536" s="5" t="n"/>
      <c r="F536" s="5" t="n"/>
      <c r="G536" s="5" t="n"/>
      <c r="H536" s="8" t="n"/>
      <c r="I536" s="8" t="n"/>
      <c r="J536" s="8" t="n"/>
      <c r="K536" s="11">
        <f>IF(B536="","",MAX(0,IFERROR(I536,0)*IFERROR(H536,0)-IFERROR(J536,0)))</f>
        <v/>
      </c>
      <c r="L536" s="8" t="n"/>
      <c r="M536" s="11">
        <f>IF(B536="","",MAX(0,K536-L536))</f>
        <v/>
      </c>
      <c r="N536" s="11">
        <f>IF(B536="","",IF(L536&gt;=K536,"Paid",IF(L536&gt;0,"Partial","Unpaid")))</f>
        <v/>
      </c>
      <c r="O536" s="5" t="n"/>
      <c r="P536" s="8" t="n"/>
      <c r="Q536" s="8" t="n"/>
      <c r="R536" s="11">
        <f>IF(B536="","",IFERROR(K536,0)+IFERROR(P536,0)-IFERROR(Q536,0))</f>
        <v/>
      </c>
      <c r="S536" s="5" t="n"/>
      <c r="T536" s="5" t="n"/>
      <c r="U536" s="11">
        <f>IF(B536="","",TRIM(LOWER(C536)&amp;"|"&amp;LOWER(D536)))</f>
        <v/>
      </c>
    </row>
    <row r="537">
      <c r="A537" s="11">
        <f>IF(B537="","",TEXT(ROW()-3,"""DC-""0000"))</f>
        <v/>
      </c>
      <c r="B537" s="5" t="n"/>
      <c r="C537" s="5" t="n"/>
      <c r="D537" s="5" t="n"/>
      <c r="E537" s="5" t="n"/>
      <c r="F537" s="5" t="n"/>
      <c r="G537" s="5" t="n"/>
      <c r="H537" s="8" t="n"/>
      <c r="I537" s="8" t="n"/>
      <c r="J537" s="8" t="n"/>
      <c r="K537" s="11">
        <f>IF(B537="","",MAX(0,IFERROR(I537,0)*IFERROR(H537,0)-IFERROR(J537,0)))</f>
        <v/>
      </c>
      <c r="L537" s="8" t="n"/>
      <c r="M537" s="11">
        <f>IF(B537="","",MAX(0,K537-L537))</f>
        <v/>
      </c>
      <c r="N537" s="11">
        <f>IF(B537="","",IF(L537&gt;=K537,"Paid",IF(L537&gt;0,"Partial","Unpaid")))</f>
        <v/>
      </c>
      <c r="O537" s="5" t="n"/>
      <c r="P537" s="8" t="n"/>
      <c r="Q537" s="8" t="n"/>
      <c r="R537" s="11">
        <f>IF(B537="","",IFERROR(K537,0)+IFERROR(P537,0)-IFERROR(Q537,0))</f>
        <v/>
      </c>
      <c r="S537" s="5" t="n"/>
      <c r="T537" s="5" t="n"/>
      <c r="U537" s="11">
        <f>IF(B537="","",TRIM(LOWER(C537)&amp;"|"&amp;LOWER(D537)))</f>
        <v/>
      </c>
    </row>
    <row r="538">
      <c r="A538" s="11">
        <f>IF(B538="","",TEXT(ROW()-3,"""DC-""0000"))</f>
        <v/>
      </c>
      <c r="B538" s="5" t="n"/>
      <c r="C538" s="5" t="n"/>
      <c r="D538" s="5" t="n"/>
      <c r="E538" s="5" t="n"/>
      <c r="F538" s="5" t="n"/>
      <c r="G538" s="5" t="n"/>
      <c r="H538" s="8" t="n"/>
      <c r="I538" s="8" t="n"/>
      <c r="J538" s="8" t="n"/>
      <c r="K538" s="11">
        <f>IF(B538="","",MAX(0,IFERROR(I538,0)*IFERROR(H538,0)-IFERROR(J538,0)))</f>
        <v/>
      </c>
      <c r="L538" s="8" t="n"/>
      <c r="M538" s="11">
        <f>IF(B538="","",MAX(0,K538-L538))</f>
        <v/>
      </c>
      <c r="N538" s="11">
        <f>IF(B538="","",IF(L538&gt;=K538,"Paid",IF(L538&gt;0,"Partial","Unpaid")))</f>
        <v/>
      </c>
      <c r="O538" s="5" t="n"/>
      <c r="P538" s="8" t="n"/>
      <c r="Q538" s="8" t="n"/>
      <c r="R538" s="11">
        <f>IF(B538="","",IFERROR(K538,0)+IFERROR(P538,0)-IFERROR(Q538,0))</f>
        <v/>
      </c>
      <c r="S538" s="5" t="n"/>
      <c r="T538" s="5" t="n"/>
      <c r="U538" s="11">
        <f>IF(B538="","",TRIM(LOWER(C538)&amp;"|"&amp;LOWER(D538)))</f>
        <v/>
      </c>
    </row>
    <row r="539">
      <c r="A539" s="11">
        <f>IF(B539="","",TEXT(ROW()-3,"""DC-""0000"))</f>
        <v/>
      </c>
      <c r="B539" s="5" t="n"/>
      <c r="C539" s="5" t="n"/>
      <c r="D539" s="5" t="n"/>
      <c r="E539" s="5" t="n"/>
      <c r="F539" s="5" t="n"/>
      <c r="G539" s="5" t="n"/>
      <c r="H539" s="8" t="n"/>
      <c r="I539" s="8" t="n"/>
      <c r="J539" s="8" t="n"/>
      <c r="K539" s="11">
        <f>IF(B539="","",MAX(0,IFERROR(I539,0)*IFERROR(H539,0)-IFERROR(J539,0)))</f>
        <v/>
      </c>
      <c r="L539" s="8" t="n"/>
      <c r="M539" s="11">
        <f>IF(B539="","",MAX(0,K539-L539))</f>
        <v/>
      </c>
      <c r="N539" s="11">
        <f>IF(B539="","",IF(L539&gt;=K539,"Paid",IF(L539&gt;0,"Partial","Unpaid")))</f>
        <v/>
      </c>
      <c r="O539" s="5" t="n"/>
      <c r="P539" s="8" t="n"/>
      <c r="Q539" s="8" t="n"/>
      <c r="R539" s="11">
        <f>IF(B539="","",IFERROR(K539,0)+IFERROR(P539,0)-IFERROR(Q539,0))</f>
        <v/>
      </c>
      <c r="S539" s="5" t="n"/>
      <c r="T539" s="5" t="n"/>
      <c r="U539" s="11">
        <f>IF(B539="","",TRIM(LOWER(C539)&amp;"|"&amp;LOWER(D539)))</f>
        <v/>
      </c>
    </row>
    <row r="540">
      <c r="A540" s="11">
        <f>IF(B540="","",TEXT(ROW()-3,"""DC-""0000"))</f>
        <v/>
      </c>
      <c r="B540" s="5" t="n"/>
      <c r="C540" s="5" t="n"/>
      <c r="D540" s="5" t="n"/>
      <c r="E540" s="5" t="n"/>
      <c r="F540" s="5" t="n"/>
      <c r="G540" s="5" t="n"/>
      <c r="H540" s="8" t="n"/>
      <c r="I540" s="8" t="n"/>
      <c r="J540" s="8" t="n"/>
      <c r="K540" s="11">
        <f>IF(B540="","",MAX(0,IFERROR(I540,0)*IFERROR(H540,0)-IFERROR(J540,0)))</f>
        <v/>
      </c>
      <c r="L540" s="8" t="n"/>
      <c r="M540" s="11">
        <f>IF(B540="","",MAX(0,K540-L540))</f>
        <v/>
      </c>
      <c r="N540" s="11">
        <f>IF(B540="","",IF(L540&gt;=K540,"Paid",IF(L540&gt;0,"Partial","Unpaid")))</f>
        <v/>
      </c>
      <c r="O540" s="5" t="n"/>
      <c r="P540" s="8" t="n"/>
      <c r="Q540" s="8" t="n"/>
      <c r="R540" s="11">
        <f>IF(B540="","",IFERROR(K540,0)+IFERROR(P540,0)-IFERROR(Q540,0))</f>
        <v/>
      </c>
      <c r="S540" s="5" t="n"/>
      <c r="T540" s="5" t="n"/>
      <c r="U540" s="11">
        <f>IF(B540="","",TRIM(LOWER(C540)&amp;"|"&amp;LOWER(D540)))</f>
        <v/>
      </c>
    </row>
    <row r="541">
      <c r="A541" s="11">
        <f>IF(B541="","",TEXT(ROW()-3,"""DC-""0000"))</f>
        <v/>
      </c>
      <c r="B541" s="5" t="n"/>
      <c r="C541" s="5" t="n"/>
      <c r="D541" s="5" t="n"/>
      <c r="E541" s="5" t="n"/>
      <c r="F541" s="5" t="n"/>
      <c r="G541" s="5" t="n"/>
      <c r="H541" s="8" t="n"/>
      <c r="I541" s="8" t="n"/>
      <c r="J541" s="8" t="n"/>
      <c r="K541" s="11">
        <f>IF(B541="","",MAX(0,IFERROR(I541,0)*IFERROR(H541,0)-IFERROR(J541,0)))</f>
        <v/>
      </c>
      <c r="L541" s="8" t="n"/>
      <c r="M541" s="11">
        <f>IF(B541="","",MAX(0,K541-L541))</f>
        <v/>
      </c>
      <c r="N541" s="11">
        <f>IF(B541="","",IF(L541&gt;=K541,"Paid",IF(L541&gt;0,"Partial","Unpaid")))</f>
        <v/>
      </c>
      <c r="O541" s="5" t="n"/>
      <c r="P541" s="8" t="n"/>
      <c r="Q541" s="8" t="n"/>
      <c r="R541" s="11">
        <f>IF(B541="","",IFERROR(K541,0)+IFERROR(P541,0)-IFERROR(Q541,0))</f>
        <v/>
      </c>
      <c r="S541" s="5" t="n"/>
      <c r="T541" s="5" t="n"/>
      <c r="U541" s="11">
        <f>IF(B541="","",TRIM(LOWER(C541)&amp;"|"&amp;LOWER(D541)))</f>
        <v/>
      </c>
    </row>
    <row r="542">
      <c r="A542" s="11">
        <f>IF(B542="","",TEXT(ROW()-3,"""DC-""0000"))</f>
        <v/>
      </c>
      <c r="B542" s="5" t="n"/>
      <c r="C542" s="5" t="n"/>
      <c r="D542" s="5" t="n"/>
      <c r="E542" s="5" t="n"/>
      <c r="F542" s="5" t="n"/>
      <c r="G542" s="5" t="n"/>
      <c r="H542" s="8" t="n"/>
      <c r="I542" s="8" t="n"/>
      <c r="J542" s="8" t="n"/>
      <c r="K542" s="11">
        <f>IF(B542="","",MAX(0,IFERROR(I542,0)*IFERROR(H542,0)-IFERROR(J542,0)))</f>
        <v/>
      </c>
      <c r="L542" s="8" t="n"/>
      <c r="M542" s="11">
        <f>IF(B542="","",MAX(0,K542-L542))</f>
        <v/>
      </c>
      <c r="N542" s="11">
        <f>IF(B542="","",IF(L542&gt;=K542,"Paid",IF(L542&gt;0,"Partial","Unpaid")))</f>
        <v/>
      </c>
      <c r="O542" s="5" t="n"/>
      <c r="P542" s="8" t="n"/>
      <c r="Q542" s="8" t="n"/>
      <c r="R542" s="11">
        <f>IF(B542="","",IFERROR(K542,0)+IFERROR(P542,0)-IFERROR(Q542,0))</f>
        <v/>
      </c>
      <c r="S542" s="5" t="n"/>
      <c r="T542" s="5" t="n"/>
      <c r="U542" s="11">
        <f>IF(B542="","",TRIM(LOWER(C542)&amp;"|"&amp;LOWER(D542)))</f>
        <v/>
      </c>
    </row>
    <row r="543">
      <c r="A543" s="11">
        <f>IF(B543="","",TEXT(ROW()-3,"""DC-""0000"))</f>
        <v/>
      </c>
      <c r="B543" s="5" t="n"/>
      <c r="C543" s="5" t="n"/>
      <c r="D543" s="5" t="n"/>
      <c r="E543" s="5" t="n"/>
      <c r="F543" s="5" t="n"/>
      <c r="G543" s="5" t="n"/>
      <c r="H543" s="8" t="n"/>
      <c r="I543" s="8" t="n"/>
      <c r="J543" s="8" t="n"/>
      <c r="K543" s="11">
        <f>IF(B543="","",MAX(0,IFERROR(I543,0)*IFERROR(H543,0)-IFERROR(J543,0)))</f>
        <v/>
      </c>
      <c r="L543" s="8" t="n"/>
      <c r="M543" s="11">
        <f>IF(B543="","",MAX(0,K543-L543))</f>
        <v/>
      </c>
      <c r="N543" s="11">
        <f>IF(B543="","",IF(L543&gt;=K543,"Paid",IF(L543&gt;0,"Partial","Unpaid")))</f>
        <v/>
      </c>
      <c r="O543" s="5" t="n"/>
      <c r="P543" s="8" t="n"/>
      <c r="Q543" s="8" t="n"/>
      <c r="R543" s="11">
        <f>IF(B543="","",IFERROR(K543,0)+IFERROR(P543,0)-IFERROR(Q543,0))</f>
        <v/>
      </c>
      <c r="S543" s="5" t="n"/>
      <c r="T543" s="5" t="n"/>
      <c r="U543" s="11">
        <f>IF(B543="","",TRIM(LOWER(C543)&amp;"|"&amp;LOWER(D543)))</f>
        <v/>
      </c>
    </row>
    <row r="544">
      <c r="A544" s="11">
        <f>IF(B544="","",TEXT(ROW()-3,"""DC-""0000"))</f>
        <v/>
      </c>
      <c r="B544" s="5" t="n"/>
      <c r="C544" s="5" t="n"/>
      <c r="D544" s="5" t="n"/>
      <c r="E544" s="5" t="n"/>
      <c r="F544" s="5" t="n"/>
      <c r="G544" s="5" t="n"/>
      <c r="H544" s="8" t="n"/>
      <c r="I544" s="8" t="n"/>
      <c r="J544" s="8" t="n"/>
      <c r="K544" s="11">
        <f>IF(B544="","",MAX(0,IFERROR(I544,0)*IFERROR(H544,0)-IFERROR(J544,0)))</f>
        <v/>
      </c>
      <c r="L544" s="8" t="n"/>
      <c r="M544" s="11">
        <f>IF(B544="","",MAX(0,K544-L544))</f>
        <v/>
      </c>
      <c r="N544" s="11">
        <f>IF(B544="","",IF(L544&gt;=K544,"Paid",IF(L544&gt;0,"Partial","Unpaid")))</f>
        <v/>
      </c>
      <c r="O544" s="5" t="n"/>
      <c r="P544" s="8" t="n"/>
      <c r="Q544" s="8" t="n"/>
      <c r="R544" s="11">
        <f>IF(B544="","",IFERROR(K544,0)+IFERROR(P544,0)-IFERROR(Q544,0))</f>
        <v/>
      </c>
      <c r="S544" s="5" t="n"/>
      <c r="T544" s="5" t="n"/>
      <c r="U544" s="11">
        <f>IF(B544="","",TRIM(LOWER(C544)&amp;"|"&amp;LOWER(D544)))</f>
        <v/>
      </c>
    </row>
    <row r="545">
      <c r="A545" s="11">
        <f>IF(B545="","",TEXT(ROW()-3,"""DC-""0000"))</f>
        <v/>
      </c>
      <c r="B545" s="5" t="n"/>
      <c r="C545" s="5" t="n"/>
      <c r="D545" s="5" t="n"/>
      <c r="E545" s="5" t="n"/>
      <c r="F545" s="5" t="n"/>
      <c r="G545" s="5" t="n"/>
      <c r="H545" s="8" t="n"/>
      <c r="I545" s="8" t="n"/>
      <c r="J545" s="8" t="n"/>
      <c r="K545" s="11">
        <f>IF(B545="","",MAX(0,IFERROR(I545,0)*IFERROR(H545,0)-IFERROR(J545,0)))</f>
        <v/>
      </c>
      <c r="L545" s="8" t="n"/>
      <c r="M545" s="11">
        <f>IF(B545="","",MAX(0,K545-L545))</f>
        <v/>
      </c>
      <c r="N545" s="11">
        <f>IF(B545="","",IF(L545&gt;=K545,"Paid",IF(L545&gt;0,"Partial","Unpaid")))</f>
        <v/>
      </c>
      <c r="O545" s="5" t="n"/>
      <c r="P545" s="8" t="n"/>
      <c r="Q545" s="8" t="n"/>
      <c r="R545" s="11">
        <f>IF(B545="","",IFERROR(K545,0)+IFERROR(P545,0)-IFERROR(Q545,0))</f>
        <v/>
      </c>
      <c r="S545" s="5" t="n"/>
      <c r="T545" s="5" t="n"/>
      <c r="U545" s="11">
        <f>IF(B545="","",TRIM(LOWER(C545)&amp;"|"&amp;LOWER(D545)))</f>
        <v/>
      </c>
    </row>
    <row r="546">
      <c r="A546" s="11">
        <f>IF(B546="","",TEXT(ROW()-3,"""DC-""0000"))</f>
        <v/>
      </c>
      <c r="B546" s="5" t="n"/>
      <c r="C546" s="5" t="n"/>
      <c r="D546" s="5" t="n"/>
      <c r="E546" s="5" t="n"/>
      <c r="F546" s="5" t="n"/>
      <c r="G546" s="5" t="n"/>
      <c r="H546" s="8" t="n"/>
      <c r="I546" s="8" t="n"/>
      <c r="J546" s="8" t="n"/>
      <c r="K546" s="11">
        <f>IF(B546="","",MAX(0,IFERROR(I546,0)*IFERROR(H546,0)-IFERROR(J546,0)))</f>
        <v/>
      </c>
      <c r="L546" s="8" t="n"/>
      <c r="M546" s="11">
        <f>IF(B546="","",MAX(0,K546-L546))</f>
        <v/>
      </c>
      <c r="N546" s="11">
        <f>IF(B546="","",IF(L546&gt;=K546,"Paid",IF(L546&gt;0,"Partial","Unpaid")))</f>
        <v/>
      </c>
      <c r="O546" s="5" t="n"/>
      <c r="P546" s="8" t="n"/>
      <c r="Q546" s="8" t="n"/>
      <c r="R546" s="11">
        <f>IF(B546="","",IFERROR(K546,0)+IFERROR(P546,0)-IFERROR(Q546,0))</f>
        <v/>
      </c>
      <c r="S546" s="5" t="n"/>
      <c r="T546" s="5" t="n"/>
      <c r="U546" s="11">
        <f>IF(B546="","",TRIM(LOWER(C546)&amp;"|"&amp;LOWER(D546)))</f>
        <v/>
      </c>
    </row>
    <row r="547">
      <c r="A547" s="11">
        <f>IF(B547="","",TEXT(ROW()-3,"""DC-""0000"))</f>
        <v/>
      </c>
      <c r="B547" s="5" t="n"/>
      <c r="C547" s="5" t="n"/>
      <c r="D547" s="5" t="n"/>
      <c r="E547" s="5" t="n"/>
      <c r="F547" s="5" t="n"/>
      <c r="G547" s="5" t="n"/>
      <c r="H547" s="8" t="n"/>
      <c r="I547" s="8" t="n"/>
      <c r="J547" s="8" t="n"/>
      <c r="K547" s="11">
        <f>IF(B547="","",MAX(0,IFERROR(I547,0)*IFERROR(H547,0)-IFERROR(J547,0)))</f>
        <v/>
      </c>
      <c r="L547" s="8" t="n"/>
      <c r="M547" s="11">
        <f>IF(B547="","",MAX(0,K547-L547))</f>
        <v/>
      </c>
      <c r="N547" s="11">
        <f>IF(B547="","",IF(L547&gt;=K547,"Paid",IF(L547&gt;0,"Partial","Unpaid")))</f>
        <v/>
      </c>
      <c r="O547" s="5" t="n"/>
      <c r="P547" s="8" t="n"/>
      <c r="Q547" s="8" t="n"/>
      <c r="R547" s="11">
        <f>IF(B547="","",IFERROR(K547,0)+IFERROR(P547,0)-IFERROR(Q547,0))</f>
        <v/>
      </c>
      <c r="S547" s="5" t="n"/>
      <c r="T547" s="5" t="n"/>
      <c r="U547" s="11">
        <f>IF(B547="","",TRIM(LOWER(C547)&amp;"|"&amp;LOWER(D547)))</f>
        <v/>
      </c>
    </row>
    <row r="548">
      <c r="A548" s="11">
        <f>IF(B548="","",TEXT(ROW()-3,"""DC-""0000"))</f>
        <v/>
      </c>
      <c r="B548" s="5" t="n"/>
      <c r="C548" s="5" t="n"/>
      <c r="D548" s="5" t="n"/>
      <c r="E548" s="5" t="n"/>
      <c r="F548" s="5" t="n"/>
      <c r="G548" s="5" t="n"/>
      <c r="H548" s="8" t="n"/>
      <c r="I548" s="8" t="n"/>
      <c r="J548" s="8" t="n"/>
      <c r="K548" s="11">
        <f>IF(B548="","",MAX(0,IFERROR(I548,0)*IFERROR(H548,0)-IFERROR(J548,0)))</f>
        <v/>
      </c>
      <c r="L548" s="8" t="n"/>
      <c r="M548" s="11">
        <f>IF(B548="","",MAX(0,K548-L548))</f>
        <v/>
      </c>
      <c r="N548" s="11">
        <f>IF(B548="","",IF(L548&gt;=K548,"Paid",IF(L548&gt;0,"Partial","Unpaid")))</f>
        <v/>
      </c>
      <c r="O548" s="5" t="n"/>
      <c r="P548" s="8" t="n"/>
      <c r="Q548" s="8" t="n"/>
      <c r="R548" s="11">
        <f>IF(B548="","",IFERROR(K548,0)+IFERROR(P548,0)-IFERROR(Q548,0))</f>
        <v/>
      </c>
      <c r="S548" s="5" t="n"/>
      <c r="T548" s="5" t="n"/>
      <c r="U548" s="11">
        <f>IF(B548="","",TRIM(LOWER(C548)&amp;"|"&amp;LOWER(D548)))</f>
        <v/>
      </c>
    </row>
    <row r="549">
      <c r="A549" s="11">
        <f>IF(B549="","",TEXT(ROW()-3,"""DC-""0000"))</f>
        <v/>
      </c>
      <c r="B549" s="5" t="n"/>
      <c r="C549" s="5" t="n"/>
      <c r="D549" s="5" t="n"/>
      <c r="E549" s="5" t="n"/>
      <c r="F549" s="5" t="n"/>
      <c r="G549" s="5" t="n"/>
      <c r="H549" s="8" t="n"/>
      <c r="I549" s="8" t="n"/>
      <c r="J549" s="8" t="n"/>
      <c r="K549" s="11">
        <f>IF(B549="","",MAX(0,IFERROR(I549,0)*IFERROR(H549,0)-IFERROR(J549,0)))</f>
        <v/>
      </c>
      <c r="L549" s="8" t="n"/>
      <c r="M549" s="11">
        <f>IF(B549="","",MAX(0,K549-L549))</f>
        <v/>
      </c>
      <c r="N549" s="11">
        <f>IF(B549="","",IF(L549&gt;=K549,"Paid",IF(L549&gt;0,"Partial","Unpaid")))</f>
        <v/>
      </c>
      <c r="O549" s="5" t="n"/>
      <c r="P549" s="8" t="n"/>
      <c r="Q549" s="8" t="n"/>
      <c r="R549" s="11">
        <f>IF(B549="","",IFERROR(K549,0)+IFERROR(P549,0)-IFERROR(Q549,0))</f>
        <v/>
      </c>
      <c r="S549" s="5" t="n"/>
      <c r="T549" s="5" t="n"/>
      <c r="U549" s="11">
        <f>IF(B549="","",TRIM(LOWER(C549)&amp;"|"&amp;LOWER(D549)))</f>
        <v/>
      </c>
    </row>
    <row r="550">
      <c r="A550" s="11">
        <f>IF(B550="","",TEXT(ROW()-3,"""DC-""0000"))</f>
        <v/>
      </c>
      <c r="B550" s="5" t="n"/>
      <c r="C550" s="5" t="n"/>
      <c r="D550" s="5" t="n"/>
      <c r="E550" s="5" t="n"/>
      <c r="F550" s="5" t="n"/>
      <c r="G550" s="5" t="n"/>
      <c r="H550" s="8" t="n"/>
      <c r="I550" s="8" t="n"/>
      <c r="J550" s="8" t="n"/>
      <c r="K550" s="11">
        <f>IF(B550="","",MAX(0,IFERROR(I550,0)*IFERROR(H550,0)-IFERROR(J550,0)))</f>
        <v/>
      </c>
      <c r="L550" s="8" t="n"/>
      <c r="M550" s="11">
        <f>IF(B550="","",MAX(0,K550-L550))</f>
        <v/>
      </c>
      <c r="N550" s="11">
        <f>IF(B550="","",IF(L550&gt;=K550,"Paid",IF(L550&gt;0,"Partial","Unpaid")))</f>
        <v/>
      </c>
      <c r="O550" s="5" t="n"/>
      <c r="P550" s="8" t="n"/>
      <c r="Q550" s="8" t="n"/>
      <c r="R550" s="11">
        <f>IF(B550="","",IFERROR(K550,0)+IFERROR(P550,0)-IFERROR(Q550,0))</f>
        <v/>
      </c>
      <c r="S550" s="5" t="n"/>
      <c r="T550" s="5" t="n"/>
      <c r="U550" s="11">
        <f>IF(B550="","",TRIM(LOWER(C550)&amp;"|"&amp;LOWER(D550)))</f>
        <v/>
      </c>
    </row>
    <row r="551">
      <c r="A551" s="11">
        <f>IF(B551="","",TEXT(ROW()-3,"""DC-""0000"))</f>
        <v/>
      </c>
      <c r="B551" s="5" t="n"/>
      <c r="C551" s="5" t="n"/>
      <c r="D551" s="5" t="n"/>
      <c r="E551" s="5" t="n"/>
      <c r="F551" s="5" t="n"/>
      <c r="G551" s="5" t="n"/>
      <c r="H551" s="8" t="n"/>
      <c r="I551" s="8" t="n"/>
      <c r="J551" s="8" t="n"/>
      <c r="K551" s="11">
        <f>IF(B551="","",MAX(0,IFERROR(I551,0)*IFERROR(H551,0)-IFERROR(J551,0)))</f>
        <v/>
      </c>
      <c r="L551" s="8" t="n"/>
      <c r="M551" s="11">
        <f>IF(B551="","",MAX(0,K551-L551))</f>
        <v/>
      </c>
      <c r="N551" s="11">
        <f>IF(B551="","",IF(L551&gt;=K551,"Paid",IF(L551&gt;0,"Partial","Unpaid")))</f>
        <v/>
      </c>
      <c r="O551" s="5" t="n"/>
      <c r="P551" s="8" t="n"/>
      <c r="Q551" s="8" t="n"/>
      <c r="R551" s="11">
        <f>IF(B551="","",IFERROR(K551,0)+IFERROR(P551,0)-IFERROR(Q551,0))</f>
        <v/>
      </c>
      <c r="S551" s="5" t="n"/>
      <c r="T551" s="5" t="n"/>
      <c r="U551" s="11">
        <f>IF(B551="","",TRIM(LOWER(C551)&amp;"|"&amp;LOWER(D551)))</f>
        <v/>
      </c>
    </row>
    <row r="552">
      <c r="A552" s="11">
        <f>IF(B552="","",TEXT(ROW()-3,"""DC-""0000"))</f>
        <v/>
      </c>
      <c r="B552" s="5" t="n"/>
      <c r="C552" s="5" t="n"/>
      <c r="D552" s="5" t="n"/>
      <c r="E552" s="5" t="n"/>
      <c r="F552" s="5" t="n"/>
      <c r="G552" s="5" t="n"/>
      <c r="H552" s="8" t="n"/>
      <c r="I552" s="8" t="n"/>
      <c r="J552" s="8" t="n"/>
      <c r="K552" s="11">
        <f>IF(B552="","",MAX(0,IFERROR(I552,0)*IFERROR(H552,0)-IFERROR(J552,0)))</f>
        <v/>
      </c>
      <c r="L552" s="8" t="n"/>
      <c r="M552" s="11">
        <f>IF(B552="","",MAX(0,K552-L552))</f>
        <v/>
      </c>
      <c r="N552" s="11">
        <f>IF(B552="","",IF(L552&gt;=K552,"Paid",IF(L552&gt;0,"Partial","Unpaid")))</f>
        <v/>
      </c>
      <c r="O552" s="5" t="n"/>
      <c r="P552" s="8" t="n"/>
      <c r="Q552" s="8" t="n"/>
      <c r="R552" s="11">
        <f>IF(B552="","",IFERROR(K552,0)+IFERROR(P552,0)-IFERROR(Q552,0))</f>
        <v/>
      </c>
      <c r="S552" s="5" t="n"/>
      <c r="T552" s="5" t="n"/>
      <c r="U552" s="11">
        <f>IF(B552="","",TRIM(LOWER(C552)&amp;"|"&amp;LOWER(D552)))</f>
        <v/>
      </c>
    </row>
    <row r="553">
      <c r="A553" s="11">
        <f>IF(B553="","",TEXT(ROW()-3,"""DC-""0000"))</f>
        <v/>
      </c>
      <c r="B553" s="5" t="n"/>
      <c r="C553" s="5" t="n"/>
      <c r="D553" s="5" t="n"/>
      <c r="E553" s="5" t="n"/>
      <c r="F553" s="5" t="n"/>
      <c r="G553" s="5" t="n"/>
      <c r="H553" s="8" t="n"/>
      <c r="I553" s="8" t="n"/>
      <c r="J553" s="8" t="n"/>
      <c r="K553" s="11">
        <f>IF(B553="","",MAX(0,IFERROR(I553,0)*IFERROR(H553,0)-IFERROR(J553,0)))</f>
        <v/>
      </c>
      <c r="L553" s="8" t="n"/>
      <c r="M553" s="11">
        <f>IF(B553="","",MAX(0,K553-L553))</f>
        <v/>
      </c>
      <c r="N553" s="11">
        <f>IF(B553="","",IF(L553&gt;=K553,"Paid",IF(L553&gt;0,"Partial","Unpaid")))</f>
        <v/>
      </c>
      <c r="O553" s="5" t="n"/>
      <c r="P553" s="8" t="n"/>
      <c r="Q553" s="8" t="n"/>
      <c r="R553" s="11">
        <f>IF(B553="","",IFERROR(K553,0)+IFERROR(P553,0)-IFERROR(Q553,0))</f>
        <v/>
      </c>
      <c r="S553" s="5" t="n"/>
      <c r="T553" s="5" t="n"/>
      <c r="U553" s="11">
        <f>IF(B553="","",TRIM(LOWER(C553)&amp;"|"&amp;LOWER(D553)))</f>
        <v/>
      </c>
    </row>
    <row r="554">
      <c r="A554" s="11">
        <f>IF(B554="","",TEXT(ROW()-3,"""DC-""0000"))</f>
        <v/>
      </c>
      <c r="B554" s="5" t="n"/>
      <c r="C554" s="5" t="n"/>
      <c r="D554" s="5" t="n"/>
      <c r="E554" s="5" t="n"/>
      <c r="F554" s="5" t="n"/>
      <c r="G554" s="5" t="n"/>
      <c r="H554" s="8" t="n"/>
      <c r="I554" s="8" t="n"/>
      <c r="J554" s="8" t="n"/>
      <c r="K554" s="11">
        <f>IF(B554="","",MAX(0,IFERROR(I554,0)*IFERROR(H554,0)-IFERROR(J554,0)))</f>
        <v/>
      </c>
      <c r="L554" s="8" t="n"/>
      <c r="M554" s="11">
        <f>IF(B554="","",MAX(0,K554-L554))</f>
        <v/>
      </c>
      <c r="N554" s="11">
        <f>IF(B554="","",IF(L554&gt;=K554,"Paid",IF(L554&gt;0,"Partial","Unpaid")))</f>
        <v/>
      </c>
      <c r="O554" s="5" t="n"/>
      <c r="P554" s="8" t="n"/>
      <c r="Q554" s="8" t="n"/>
      <c r="R554" s="11">
        <f>IF(B554="","",IFERROR(K554,0)+IFERROR(P554,0)-IFERROR(Q554,0))</f>
        <v/>
      </c>
      <c r="S554" s="5" t="n"/>
      <c r="T554" s="5" t="n"/>
      <c r="U554" s="11">
        <f>IF(B554="","",TRIM(LOWER(C554)&amp;"|"&amp;LOWER(D554)))</f>
        <v/>
      </c>
    </row>
    <row r="555">
      <c r="A555" s="11">
        <f>IF(B555="","",TEXT(ROW()-3,"""DC-""0000"))</f>
        <v/>
      </c>
      <c r="B555" s="5" t="n"/>
      <c r="C555" s="5" t="n"/>
      <c r="D555" s="5" t="n"/>
      <c r="E555" s="5" t="n"/>
      <c r="F555" s="5" t="n"/>
      <c r="G555" s="5" t="n"/>
      <c r="H555" s="8" t="n"/>
      <c r="I555" s="8" t="n"/>
      <c r="J555" s="8" t="n"/>
      <c r="K555" s="11">
        <f>IF(B555="","",MAX(0,IFERROR(I555,0)*IFERROR(H555,0)-IFERROR(J555,0)))</f>
        <v/>
      </c>
      <c r="L555" s="8" t="n"/>
      <c r="M555" s="11">
        <f>IF(B555="","",MAX(0,K555-L555))</f>
        <v/>
      </c>
      <c r="N555" s="11">
        <f>IF(B555="","",IF(L555&gt;=K555,"Paid",IF(L555&gt;0,"Partial","Unpaid")))</f>
        <v/>
      </c>
      <c r="O555" s="5" t="n"/>
      <c r="P555" s="8" t="n"/>
      <c r="Q555" s="8" t="n"/>
      <c r="R555" s="11">
        <f>IF(B555="","",IFERROR(K555,0)+IFERROR(P555,0)-IFERROR(Q555,0))</f>
        <v/>
      </c>
      <c r="S555" s="5" t="n"/>
      <c r="T555" s="5" t="n"/>
      <c r="U555" s="11">
        <f>IF(B555="","",TRIM(LOWER(C555)&amp;"|"&amp;LOWER(D555)))</f>
        <v/>
      </c>
    </row>
    <row r="556">
      <c r="A556" s="11">
        <f>IF(B556="","",TEXT(ROW()-3,"""DC-""0000"))</f>
        <v/>
      </c>
      <c r="B556" s="5" t="n"/>
      <c r="C556" s="5" t="n"/>
      <c r="D556" s="5" t="n"/>
      <c r="E556" s="5" t="n"/>
      <c r="F556" s="5" t="n"/>
      <c r="G556" s="5" t="n"/>
      <c r="H556" s="8" t="n"/>
      <c r="I556" s="8" t="n"/>
      <c r="J556" s="8" t="n"/>
      <c r="K556" s="11">
        <f>IF(B556="","",MAX(0,IFERROR(I556,0)*IFERROR(H556,0)-IFERROR(J556,0)))</f>
        <v/>
      </c>
      <c r="L556" s="8" t="n"/>
      <c r="M556" s="11">
        <f>IF(B556="","",MAX(0,K556-L556))</f>
        <v/>
      </c>
      <c r="N556" s="11">
        <f>IF(B556="","",IF(L556&gt;=K556,"Paid",IF(L556&gt;0,"Partial","Unpaid")))</f>
        <v/>
      </c>
      <c r="O556" s="5" t="n"/>
      <c r="P556" s="8" t="n"/>
      <c r="Q556" s="8" t="n"/>
      <c r="R556" s="11">
        <f>IF(B556="","",IFERROR(K556,0)+IFERROR(P556,0)-IFERROR(Q556,0))</f>
        <v/>
      </c>
      <c r="S556" s="5" t="n"/>
      <c r="T556" s="5" t="n"/>
      <c r="U556" s="11">
        <f>IF(B556="","",TRIM(LOWER(C556)&amp;"|"&amp;LOWER(D556)))</f>
        <v/>
      </c>
    </row>
    <row r="557">
      <c r="A557" s="11">
        <f>IF(B557="","",TEXT(ROW()-3,"""DC-""0000"))</f>
        <v/>
      </c>
      <c r="B557" s="5" t="n"/>
      <c r="C557" s="5" t="n"/>
      <c r="D557" s="5" t="n"/>
      <c r="E557" s="5" t="n"/>
      <c r="F557" s="5" t="n"/>
      <c r="G557" s="5" t="n"/>
      <c r="H557" s="8" t="n"/>
      <c r="I557" s="8" t="n"/>
      <c r="J557" s="8" t="n"/>
      <c r="K557" s="11">
        <f>IF(B557="","",MAX(0,IFERROR(I557,0)*IFERROR(H557,0)-IFERROR(J557,0)))</f>
        <v/>
      </c>
      <c r="L557" s="8" t="n"/>
      <c r="M557" s="11">
        <f>IF(B557="","",MAX(0,K557-L557))</f>
        <v/>
      </c>
      <c r="N557" s="11">
        <f>IF(B557="","",IF(L557&gt;=K557,"Paid",IF(L557&gt;0,"Partial","Unpaid")))</f>
        <v/>
      </c>
      <c r="O557" s="5" t="n"/>
      <c r="P557" s="8" t="n"/>
      <c r="Q557" s="8" t="n"/>
      <c r="R557" s="11">
        <f>IF(B557="","",IFERROR(K557,0)+IFERROR(P557,0)-IFERROR(Q557,0))</f>
        <v/>
      </c>
      <c r="S557" s="5" t="n"/>
      <c r="T557" s="5" t="n"/>
      <c r="U557" s="11">
        <f>IF(B557="","",TRIM(LOWER(C557)&amp;"|"&amp;LOWER(D557)))</f>
        <v/>
      </c>
    </row>
    <row r="558">
      <c r="A558" s="11">
        <f>IF(B558="","",TEXT(ROW()-3,"""DC-""0000"))</f>
        <v/>
      </c>
      <c r="B558" s="5" t="n"/>
      <c r="C558" s="5" t="n"/>
      <c r="D558" s="5" t="n"/>
      <c r="E558" s="5" t="n"/>
      <c r="F558" s="5" t="n"/>
      <c r="G558" s="5" t="n"/>
      <c r="H558" s="8" t="n"/>
      <c r="I558" s="8" t="n"/>
      <c r="J558" s="8" t="n"/>
      <c r="K558" s="11">
        <f>IF(B558="","",MAX(0,IFERROR(I558,0)*IFERROR(H558,0)-IFERROR(J558,0)))</f>
        <v/>
      </c>
      <c r="L558" s="8" t="n"/>
      <c r="M558" s="11">
        <f>IF(B558="","",MAX(0,K558-L558))</f>
        <v/>
      </c>
      <c r="N558" s="11">
        <f>IF(B558="","",IF(L558&gt;=K558,"Paid",IF(L558&gt;0,"Partial","Unpaid")))</f>
        <v/>
      </c>
      <c r="O558" s="5" t="n"/>
      <c r="P558" s="8" t="n"/>
      <c r="Q558" s="8" t="n"/>
      <c r="R558" s="11">
        <f>IF(B558="","",IFERROR(K558,0)+IFERROR(P558,0)-IFERROR(Q558,0))</f>
        <v/>
      </c>
      <c r="S558" s="5" t="n"/>
      <c r="T558" s="5" t="n"/>
      <c r="U558" s="11">
        <f>IF(B558="","",TRIM(LOWER(C558)&amp;"|"&amp;LOWER(D558)))</f>
        <v/>
      </c>
    </row>
    <row r="559">
      <c r="A559" s="11">
        <f>IF(B559="","",TEXT(ROW()-3,"""DC-""0000"))</f>
        <v/>
      </c>
      <c r="B559" s="5" t="n"/>
      <c r="C559" s="5" t="n"/>
      <c r="D559" s="5" t="n"/>
      <c r="E559" s="5" t="n"/>
      <c r="F559" s="5" t="n"/>
      <c r="G559" s="5" t="n"/>
      <c r="H559" s="8" t="n"/>
      <c r="I559" s="8" t="n"/>
      <c r="J559" s="8" t="n"/>
      <c r="K559" s="11">
        <f>IF(B559="","",MAX(0,IFERROR(I559,0)*IFERROR(H559,0)-IFERROR(J559,0)))</f>
        <v/>
      </c>
      <c r="L559" s="8" t="n"/>
      <c r="M559" s="11">
        <f>IF(B559="","",MAX(0,K559-L559))</f>
        <v/>
      </c>
      <c r="N559" s="11">
        <f>IF(B559="","",IF(L559&gt;=K559,"Paid",IF(L559&gt;0,"Partial","Unpaid")))</f>
        <v/>
      </c>
      <c r="O559" s="5" t="n"/>
      <c r="P559" s="8" t="n"/>
      <c r="Q559" s="8" t="n"/>
      <c r="R559" s="11">
        <f>IF(B559="","",IFERROR(K559,0)+IFERROR(P559,0)-IFERROR(Q559,0))</f>
        <v/>
      </c>
      <c r="S559" s="5" t="n"/>
      <c r="T559" s="5" t="n"/>
      <c r="U559" s="11">
        <f>IF(B559="","",TRIM(LOWER(C559)&amp;"|"&amp;LOWER(D559)))</f>
        <v/>
      </c>
    </row>
    <row r="560">
      <c r="A560" s="11">
        <f>IF(B560="","",TEXT(ROW()-3,"""DC-""0000"))</f>
        <v/>
      </c>
      <c r="B560" s="5" t="n"/>
      <c r="C560" s="5" t="n"/>
      <c r="D560" s="5" t="n"/>
      <c r="E560" s="5" t="n"/>
      <c r="F560" s="5" t="n"/>
      <c r="G560" s="5" t="n"/>
      <c r="H560" s="8" t="n"/>
      <c r="I560" s="8" t="n"/>
      <c r="J560" s="8" t="n"/>
      <c r="K560" s="11">
        <f>IF(B560="","",MAX(0,IFERROR(I560,0)*IFERROR(H560,0)-IFERROR(J560,0)))</f>
        <v/>
      </c>
      <c r="L560" s="8" t="n"/>
      <c r="M560" s="11">
        <f>IF(B560="","",MAX(0,K560-L560))</f>
        <v/>
      </c>
      <c r="N560" s="11">
        <f>IF(B560="","",IF(L560&gt;=K560,"Paid",IF(L560&gt;0,"Partial","Unpaid")))</f>
        <v/>
      </c>
      <c r="O560" s="5" t="n"/>
      <c r="P560" s="8" t="n"/>
      <c r="Q560" s="8" t="n"/>
      <c r="R560" s="11">
        <f>IF(B560="","",IFERROR(K560,0)+IFERROR(P560,0)-IFERROR(Q560,0))</f>
        <v/>
      </c>
      <c r="S560" s="5" t="n"/>
      <c r="T560" s="5" t="n"/>
      <c r="U560" s="11">
        <f>IF(B560="","",TRIM(LOWER(C560)&amp;"|"&amp;LOWER(D560)))</f>
        <v/>
      </c>
    </row>
    <row r="561">
      <c r="A561" s="11">
        <f>IF(B561="","",TEXT(ROW()-3,"""DC-""0000"))</f>
        <v/>
      </c>
      <c r="B561" s="5" t="n"/>
      <c r="C561" s="5" t="n"/>
      <c r="D561" s="5" t="n"/>
      <c r="E561" s="5" t="n"/>
      <c r="F561" s="5" t="n"/>
      <c r="G561" s="5" t="n"/>
      <c r="H561" s="8" t="n"/>
      <c r="I561" s="8" t="n"/>
      <c r="J561" s="8" t="n"/>
      <c r="K561" s="11">
        <f>IF(B561="","",MAX(0,IFERROR(I561,0)*IFERROR(H561,0)-IFERROR(J561,0)))</f>
        <v/>
      </c>
      <c r="L561" s="8" t="n"/>
      <c r="M561" s="11">
        <f>IF(B561="","",MAX(0,K561-L561))</f>
        <v/>
      </c>
      <c r="N561" s="11">
        <f>IF(B561="","",IF(L561&gt;=K561,"Paid",IF(L561&gt;0,"Partial","Unpaid")))</f>
        <v/>
      </c>
      <c r="O561" s="5" t="n"/>
      <c r="P561" s="8" t="n"/>
      <c r="Q561" s="8" t="n"/>
      <c r="R561" s="11">
        <f>IF(B561="","",IFERROR(K561,0)+IFERROR(P561,0)-IFERROR(Q561,0))</f>
        <v/>
      </c>
      <c r="S561" s="5" t="n"/>
      <c r="T561" s="5" t="n"/>
      <c r="U561" s="11">
        <f>IF(B561="","",TRIM(LOWER(C561)&amp;"|"&amp;LOWER(D561)))</f>
        <v/>
      </c>
    </row>
    <row r="562">
      <c r="A562" s="11">
        <f>IF(B562="","",TEXT(ROW()-3,"""DC-""0000"))</f>
        <v/>
      </c>
      <c r="B562" s="5" t="n"/>
      <c r="C562" s="5" t="n"/>
      <c r="D562" s="5" t="n"/>
      <c r="E562" s="5" t="n"/>
      <c r="F562" s="5" t="n"/>
      <c r="G562" s="5" t="n"/>
      <c r="H562" s="8" t="n"/>
      <c r="I562" s="8" t="n"/>
      <c r="J562" s="8" t="n"/>
      <c r="K562" s="11">
        <f>IF(B562="","",MAX(0,IFERROR(I562,0)*IFERROR(H562,0)-IFERROR(J562,0)))</f>
        <v/>
      </c>
      <c r="L562" s="8" t="n"/>
      <c r="M562" s="11">
        <f>IF(B562="","",MAX(0,K562-L562))</f>
        <v/>
      </c>
      <c r="N562" s="11">
        <f>IF(B562="","",IF(L562&gt;=K562,"Paid",IF(L562&gt;0,"Partial","Unpaid")))</f>
        <v/>
      </c>
      <c r="O562" s="5" t="n"/>
      <c r="P562" s="8" t="n"/>
      <c r="Q562" s="8" t="n"/>
      <c r="R562" s="11">
        <f>IF(B562="","",IFERROR(K562,0)+IFERROR(P562,0)-IFERROR(Q562,0))</f>
        <v/>
      </c>
      <c r="S562" s="5" t="n"/>
      <c r="T562" s="5" t="n"/>
      <c r="U562" s="11">
        <f>IF(B562="","",TRIM(LOWER(C562)&amp;"|"&amp;LOWER(D562)))</f>
        <v/>
      </c>
    </row>
    <row r="563">
      <c r="A563" s="11">
        <f>IF(B563="","",TEXT(ROW()-3,"""DC-""0000"))</f>
        <v/>
      </c>
      <c r="B563" s="5" t="n"/>
      <c r="C563" s="5" t="n"/>
      <c r="D563" s="5" t="n"/>
      <c r="E563" s="5" t="n"/>
      <c r="F563" s="5" t="n"/>
      <c r="G563" s="5" t="n"/>
      <c r="H563" s="8" t="n"/>
      <c r="I563" s="8" t="n"/>
      <c r="J563" s="8" t="n"/>
      <c r="K563" s="11">
        <f>IF(B563="","",MAX(0,IFERROR(I563,0)*IFERROR(H563,0)-IFERROR(J563,0)))</f>
        <v/>
      </c>
      <c r="L563" s="8" t="n"/>
      <c r="M563" s="11">
        <f>IF(B563="","",MAX(0,K563-L563))</f>
        <v/>
      </c>
      <c r="N563" s="11">
        <f>IF(B563="","",IF(L563&gt;=K563,"Paid",IF(L563&gt;0,"Partial","Unpaid")))</f>
        <v/>
      </c>
      <c r="O563" s="5" t="n"/>
      <c r="P563" s="8" t="n"/>
      <c r="Q563" s="8" t="n"/>
      <c r="R563" s="11">
        <f>IF(B563="","",IFERROR(K563,0)+IFERROR(P563,0)-IFERROR(Q563,0))</f>
        <v/>
      </c>
      <c r="S563" s="5" t="n"/>
      <c r="T563" s="5" t="n"/>
      <c r="U563" s="11">
        <f>IF(B563="","",TRIM(LOWER(C563)&amp;"|"&amp;LOWER(D563)))</f>
        <v/>
      </c>
    </row>
    <row r="564">
      <c r="A564" s="11">
        <f>IF(B564="","",TEXT(ROW()-3,"""DC-""0000"))</f>
        <v/>
      </c>
      <c r="B564" s="5" t="n"/>
      <c r="C564" s="5" t="n"/>
      <c r="D564" s="5" t="n"/>
      <c r="E564" s="5" t="n"/>
      <c r="F564" s="5" t="n"/>
      <c r="G564" s="5" t="n"/>
      <c r="H564" s="8" t="n"/>
      <c r="I564" s="8" t="n"/>
      <c r="J564" s="8" t="n"/>
      <c r="K564" s="11">
        <f>IF(B564="","",MAX(0,IFERROR(I564,0)*IFERROR(H564,0)-IFERROR(J564,0)))</f>
        <v/>
      </c>
      <c r="L564" s="8" t="n"/>
      <c r="M564" s="11">
        <f>IF(B564="","",MAX(0,K564-L564))</f>
        <v/>
      </c>
      <c r="N564" s="11">
        <f>IF(B564="","",IF(L564&gt;=K564,"Paid",IF(L564&gt;0,"Partial","Unpaid")))</f>
        <v/>
      </c>
      <c r="O564" s="5" t="n"/>
      <c r="P564" s="8" t="n"/>
      <c r="Q564" s="8" t="n"/>
      <c r="R564" s="11">
        <f>IF(B564="","",IFERROR(K564,0)+IFERROR(P564,0)-IFERROR(Q564,0))</f>
        <v/>
      </c>
      <c r="S564" s="5" t="n"/>
      <c r="T564" s="5" t="n"/>
      <c r="U564" s="11">
        <f>IF(B564="","",TRIM(LOWER(C564)&amp;"|"&amp;LOWER(D564)))</f>
        <v/>
      </c>
    </row>
    <row r="565">
      <c r="A565" s="11">
        <f>IF(B565="","",TEXT(ROW()-3,"""DC-""0000"))</f>
        <v/>
      </c>
      <c r="B565" s="5" t="n"/>
      <c r="C565" s="5" t="n"/>
      <c r="D565" s="5" t="n"/>
      <c r="E565" s="5" t="n"/>
      <c r="F565" s="5" t="n"/>
      <c r="G565" s="5" t="n"/>
      <c r="H565" s="8" t="n"/>
      <c r="I565" s="8" t="n"/>
      <c r="J565" s="8" t="n"/>
      <c r="K565" s="11">
        <f>IF(B565="","",MAX(0,IFERROR(I565,0)*IFERROR(H565,0)-IFERROR(J565,0)))</f>
        <v/>
      </c>
      <c r="L565" s="8" t="n"/>
      <c r="M565" s="11">
        <f>IF(B565="","",MAX(0,K565-L565))</f>
        <v/>
      </c>
      <c r="N565" s="11">
        <f>IF(B565="","",IF(L565&gt;=K565,"Paid",IF(L565&gt;0,"Partial","Unpaid")))</f>
        <v/>
      </c>
      <c r="O565" s="5" t="n"/>
      <c r="P565" s="8" t="n"/>
      <c r="Q565" s="8" t="n"/>
      <c r="R565" s="11">
        <f>IF(B565="","",IFERROR(K565,0)+IFERROR(P565,0)-IFERROR(Q565,0))</f>
        <v/>
      </c>
      <c r="S565" s="5" t="n"/>
      <c r="T565" s="5" t="n"/>
      <c r="U565" s="11">
        <f>IF(B565="","",TRIM(LOWER(C565)&amp;"|"&amp;LOWER(D565)))</f>
        <v/>
      </c>
    </row>
    <row r="566">
      <c r="A566" s="11">
        <f>IF(B566="","",TEXT(ROW()-3,"""DC-""0000"))</f>
        <v/>
      </c>
      <c r="B566" s="5" t="n"/>
      <c r="C566" s="5" t="n"/>
      <c r="D566" s="5" t="n"/>
      <c r="E566" s="5" t="n"/>
      <c r="F566" s="5" t="n"/>
      <c r="G566" s="5" t="n"/>
      <c r="H566" s="8" t="n"/>
      <c r="I566" s="8" t="n"/>
      <c r="J566" s="8" t="n"/>
      <c r="K566" s="11">
        <f>IF(B566="","",MAX(0,IFERROR(I566,0)*IFERROR(H566,0)-IFERROR(J566,0)))</f>
        <v/>
      </c>
      <c r="L566" s="8" t="n"/>
      <c r="M566" s="11">
        <f>IF(B566="","",MAX(0,K566-L566))</f>
        <v/>
      </c>
      <c r="N566" s="11">
        <f>IF(B566="","",IF(L566&gt;=K566,"Paid",IF(L566&gt;0,"Partial","Unpaid")))</f>
        <v/>
      </c>
      <c r="O566" s="5" t="n"/>
      <c r="P566" s="8" t="n"/>
      <c r="Q566" s="8" t="n"/>
      <c r="R566" s="11">
        <f>IF(B566="","",IFERROR(K566,0)+IFERROR(P566,0)-IFERROR(Q566,0))</f>
        <v/>
      </c>
      <c r="S566" s="5" t="n"/>
      <c r="T566" s="5" t="n"/>
      <c r="U566" s="11">
        <f>IF(B566="","",TRIM(LOWER(C566)&amp;"|"&amp;LOWER(D566)))</f>
        <v/>
      </c>
    </row>
    <row r="567">
      <c r="A567" s="11">
        <f>IF(B567="","",TEXT(ROW()-3,"""DC-""0000"))</f>
        <v/>
      </c>
      <c r="B567" s="5" t="n"/>
      <c r="C567" s="5" t="n"/>
      <c r="D567" s="5" t="n"/>
      <c r="E567" s="5" t="n"/>
      <c r="F567" s="5" t="n"/>
      <c r="G567" s="5" t="n"/>
      <c r="H567" s="8" t="n"/>
      <c r="I567" s="8" t="n"/>
      <c r="J567" s="8" t="n"/>
      <c r="K567" s="11">
        <f>IF(B567="","",MAX(0,IFERROR(I567,0)*IFERROR(H567,0)-IFERROR(J567,0)))</f>
        <v/>
      </c>
      <c r="L567" s="8" t="n"/>
      <c r="M567" s="11">
        <f>IF(B567="","",MAX(0,K567-L567))</f>
        <v/>
      </c>
      <c r="N567" s="11">
        <f>IF(B567="","",IF(L567&gt;=K567,"Paid",IF(L567&gt;0,"Partial","Unpaid")))</f>
        <v/>
      </c>
      <c r="O567" s="5" t="n"/>
      <c r="P567" s="8" t="n"/>
      <c r="Q567" s="8" t="n"/>
      <c r="R567" s="11">
        <f>IF(B567="","",IFERROR(K567,0)+IFERROR(P567,0)-IFERROR(Q567,0))</f>
        <v/>
      </c>
      <c r="S567" s="5" t="n"/>
      <c r="T567" s="5" t="n"/>
      <c r="U567" s="11">
        <f>IF(B567="","",TRIM(LOWER(C567)&amp;"|"&amp;LOWER(D567)))</f>
        <v/>
      </c>
    </row>
    <row r="568">
      <c r="A568" s="11">
        <f>IF(B568="","",TEXT(ROW()-3,"""DC-""0000"))</f>
        <v/>
      </c>
      <c r="B568" s="5" t="n"/>
      <c r="C568" s="5" t="n"/>
      <c r="D568" s="5" t="n"/>
      <c r="E568" s="5" t="n"/>
      <c r="F568" s="5" t="n"/>
      <c r="G568" s="5" t="n"/>
      <c r="H568" s="8" t="n"/>
      <c r="I568" s="8" t="n"/>
      <c r="J568" s="8" t="n"/>
      <c r="K568" s="11">
        <f>IF(B568="","",MAX(0,IFERROR(I568,0)*IFERROR(H568,0)-IFERROR(J568,0)))</f>
        <v/>
      </c>
      <c r="L568" s="8" t="n"/>
      <c r="M568" s="11">
        <f>IF(B568="","",MAX(0,K568-L568))</f>
        <v/>
      </c>
      <c r="N568" s="11">
        <f>IF(B568="","",IF(L568&gt;=K568,"Paid",IF(L568&gt;0,"Partial","Unpaid")))</f>
        <v/>
      </c>
      <c r="O568" s="5" t="n"/>
      <c r="P568" s="8" t="n"/>
      <c r="Q568" s="8" t="n"/>
      <c r="R568" s="11">
        <f>IF(B568="","",IFERROR(K568,0)+IFERROR(P568,0)-IFERROR(Q568,0))</f>
        <v/>
      </c>
      <c r="S568" s="5" t="n"/>
      <c r="T568" s="5" t="n"/>
      <c r="U568" s="11">
        <f>IF(B568="","",TRIM(LOWER(C568)&amp;"|"&amp;LOWER(D568)))</f>
        <v/>
      </c>
    </row>
    <row r="569">
      <c r="A569" s="11">
        <f>IF(B569="","",TEXT(ROW()-3,"""DC-""0000"))</f>
        <v/>
      </c>
      <c r="B569" s="5" t="n"/>
      <c r="C569" s="5" t="n"/>
      <c r="D569" s="5" t="n"/>
      <c r="E569" s="5" t="n"/>
      <c r="F569" s="5" t="n"/>
      <c r="G569" s="5" t="n"/>
      <c r="H569" s="8" t="n"/>
      <c r="I569" s="8" t="n"/>
      <c r="J569" s="8" t="n"/>
      <c r="K569" s="11">
        <f>IF(B569="","",MAX(0,IFERROR(I569,0)*IFERROR(H569,0)-IFERROR(J569,0)))</f>
        <v/>
      </c>
      <c r="L569" s="8" t="n"/>
      <c r="M569" s="11">
        <f>IF(B569="","",MAX(0,K569-L569))</f>
        <v/>
      </c>
      <c r="N569" s="11">
        <f>IF(B569="","",IF(L569&gt;=K569,"Paid",IF(L569&gt;0,"Partial","Unpaid")))</f>
        <v/>
      </c>
      <c r="O569" s="5" t="n"/>
      <c r="P569" s="8" t="n"/>
      <c r="Q569" s="8" t="n"/>
      <c r="R569" s="11">
        <f>IF(B569="","",IFERROR(K569,0)+IFERROR(P569,0)-IFERROR(Q569,0))</f>
        <v/>
      </c>
      <c r="S569" s="5" t="n"/>
      <c r="T569" s="5" t="n"/>
      <c r="U569" s="11">
        <f>IF(B569="","",TRIM(LOWER(C569)&amp;"|"&amp;LOWER(D569)))</f>
        <v/>
      </c>
    </row>
    <row r="570">
      <c r="A570" s="11">
        <f>IF(B570="","",TEXT(ROW()-3,"""DC-""0000"))</f>
        <v/>
      </c>
      <c r="B570" s="5" t="n"/>
      <c r="C570" s="5" t="n"/>
      <c r="D570" s="5" t="n"/>
      <c r="E570" s="5" t="n"/>
      <c r="F570" s="5" t="n"/>
      <c r="G570" s="5" t="n"/>
      <c r="H570" s="8" t="n"/>
      <c r="I570" s="8" t="n"/>
      <c r="J570" s="8" t="n"/>
      <c r="K570" s="11">
        <f>IF(B570="","",MAX(0,IFERROR(I570,0)*IFERROR(H570,0)-IFERROR(J570,0)))</f>
        <v/>
      </c>
      <c r="L570" s="8" t="n"/>
      <c r="M570" s="11">
        <f>IF(B570="","",MAX(0,K570-L570))</f>
        <v/>
      </c>
      <c r="N570" s="11">
        <f>IF(B570="","",IF(L570&gt;=K570,"Paid",IF(L570&gt;0,"Partial","Unpaid")))</f>
        <v/>
      </c>
      <c r="O570" s="5" t="n"/>
      <c r="P570" s="8" t="n"/>
      <c r="Q570" s="8" t="n"/>
      <c r="R570" s="11">
        <f>IF(B570="","",IFERROR(K570,0)+IFERROR(P570,0)-IFERROR(Q570,0))</f>
        <v/>
      </c>
      <c r="S570" s="5" t="n"/>
      <c r="T570" s="5" t="n"/>
      <c r="U570" s="11">
        <f>IF(B570="","",TRIM(LOWER(C570)&amp;"|"&amp;LOWER(D570)))</f>
        <v/>
      </c>
    </row>
    <row r="571">
      <c r="A571" s="11">
        <f>IF(B571="","",TEXT(ROW()-3,"""DC-""0000"))</f>
        <v/>
      </c>
      <c r="B571" s="5" t="n"/>
      <c r="C571" s="5" t="n"/>
      <c r="D571" s="5" t="n"/>
      <c r="E571" s="5" t="n"/>
      <c r="F571" s="5" t="n"/>
      <c r="G571" s="5" t="n"/>
      <c r="H571" s="8" t="n"/>
      <c r="I571" s="8" t="n"/>
      <c r="J571" s="8" t="n"/>
      <c r="K571" s="11">
        <f>IF(B571="","",MAX(0,IFERROR(I571,0)*IFERROR(H571,0)-IFERROR(J571,0)))</f>
        <v/>
      </c>
      <c r="L571" s="8" t="n"/>
      <c r="M571" s="11">
        <f>IF(B571="","",MAX(0,K571-L571))</f>
        <v/>
      </c>
      <c r="N571" s="11">
        <f>IF(B571="","",IF(L571&gt;=K571,"Paid",IF(L571&gt;0,"Partial","Unpaid")))</f>
        <v/>
      </c>
      <c r="O571" s="5" t="n"/>
      <c r="P571" s="8" t="n"/>
      <c r="Q571" s="8" t="n"/>
      <c r="R571" s="11">
        <f>IF(B571="","",IFERROR(K571,0)+IFERROR(P571,0)-IFERROR(Q571,0))</f>
        <v/>
      </c>
      <c r="S571" s="5" t="n"/>
      <c r="T571" s="5" t="n"/>
      <c r="U571" s="11">
        <f>IF(B571="","",TRIM(LOWER(C571)&amp;"|"&amp;LOWER(D571)))</f>
        <v/>
      </c>
    </row>
    <row r="572">
      <c r="A572" s="11">
        <f>IF(B572="","",TEXT(ROW()-3,"""DC-""0000"))</f>
        <v/>
      </c>
      <c r="B572" s="5" t="n"/>
      <c r="C572" s="5" t="n"/>
      <c r="D572" s="5" t="n"/>
      <c r="E572" s="5" t="n"/>
      <c r="F572" s="5" t="n"/>
      <c r="G572" s="5" t="n"/>
      <c r="H572" s="8" t="n"/>
      <c r="I572" s="8" t="n"/>
      <c r="J572" s="8" t="n"/>
      <c r="K572" s="11">
        <f>IF(B572="","",MAX(0,IFERROR(I572,0)*IFERROR(H572,0)-IFERROR(J572,0)))</f>
        <v/>
      </c>
      <c r="L572" s="8" t="n"/>
      <c r="M572" s="11">
        <f>IF(B572="","",MAX(0,K572-L572))</f>
        <v/>
      </c>
      <c r="N572" s="11">
        <f>IF(B572="","",IF(L572&gt;=K572,"Paid",IF(L572&gt;0,"Partial","Unpaid")))</f>
        <v/>
      </c>
      <c r="O572" s="5" t="n"/>
      <c r="P572" s="8" t="n"/>
      <c r="Q572" s="8" t="n"/>
      <c r="R572" s="11">
        <f>IF(B572="","",IFERROR(K572,0)+IFERROR(P572,0)-IFERROR(Q572,0))</f>
        <v/>
      </c>
      <c r="S572" s="5" t="n"/>
      <c r="T572" s="5" t="n"/>
      <c r="U572" s="11">
        <f>IF(B572="","",TRIM(LOWER(C572)&amp;"|"&amp;LOWER(D572)))</f>
        <v/>
      </c>
    </row>
    <row r="573">
      <c r="A573" s="11">
        <f>IF(B573="","",TEXT(ROW()-3,"""DC-""0000"))</f>
        <v/>
      </c>
      <c r="B573" s="5" t="n"/>
      <c r="C573" s="5" t="n"/>
      <c r="D573" s="5" t="n"/>
      <c r="E573" s="5" t="n"/>
      <c r="F573" s="5" t="n"/>
      <c r="G573" s="5" t="n"/>
      <c r="H573" s="8" t="n"/>
      <c r="I573" s="8" t="n"/>
      <c r="J573" s="8" t="n"/>
      <c r="K573" s="11">
        <f>IF(B573="","",MAX(0,IFERROR(I573,0)*IFERROR(H573,0)-IFERROR(J573,0)))</f>
        <v/>
      </c>
      <c r="L573" s="8" t="n"/>
      <c r="M573" s="11">
        <f>IF(B573="","",MAX(0,K573-L573))</f>
        <v/>
      </c>
      <c r="N573" s="11">
        <f>IF(B573="","",IF(L573&gt;=K573,"Paid",IF(L573&gt;0,"Partial","Unpaid")))</f>
        <v/>
      </c>
      <c r="O573" s="5" t="n"/>
      <c r="P573" s="8" t="n"/>
      <c r="Q573" s="8" t="n"/>
      <c r="R573" s="11">
        <f>IF(B573="","",IFERROR(K573,0)+IFERROR(P573,0)-IFERROR(Q573,0))</f>
        <v/>
      </c>
      <c r="S573" s="5" t="n"/>
      <c r="T573" s="5" t="n"/>
      <c r="U573" s="11">
        <f>IF(B573="","",TRIM(LOWER(C573)&amp;"|"&amp;LOWER(D573)))</f>
        <v/>
      </c>
    </row>
    <row r="574">
      <c r="A574" s="11">
        <f>IF(B574="","",TEXT(ROW()-3,"""DC-""0000"))</f>
        <v/>
      </c>
      <c r="B574" s="5" t="n"/>
      <c r="C574" s="5" t="n"/>
      <c r="D574" s="5" t="n"/>
      <c r="E574" s="5" t="n"/>
      <c r="F574" s="5" t="n"/>
      <c r="G574" s="5" t="n"/>
      <c r="H574" s="8" t="n"/>
      <c r="I574" s="8" t="n"/>
      <c r="J574" s="8" t="n"/>
      <c r="K574" s="11">
        <f>IF(B574="","",MAX(0,IFERROR(I574,0)*IFERROR(H574,0)-IFERROR(J574,0)))</f>
        <v/>
      </c>
      <c r="L574" s="8" t="n"/>
      <c r="M574" s="11">
        <f>IF(B574="","",MAX(0,K574-L574))</f>
        <v/>
      </c>
      <c r="N574" s="11">
        <f>IF(B574="","",IF(L574&gt;=K574,"Paid",IF(L574&gt;0,"Partial","Unpaid")))</f>
        <v/>
      </c>
      <c r="O574" s="5" t="n"/>
      <c r="P574" s="8" t="n"/>
      <c r="Q574" s="8" t="n"/>
      <c r="R574" s="11">
        <f>IF(B574="","",IFERROR(K574,0)+IFERROR(P574,0)-IFERROR(Q574,0))</f>
        <v/>
      </c>
      <c r="S574" s="5" t="n"/>
      <c r="T574" s="5" t="n"/>
      <c r="U574" s="11">
        <f>IF(B574="","",TRIM(LOWER(C574)&amp;"|"&amp;LOWER(D574)))</f>
        <v/>
      </c>
    </row>
    <row r="575">
      <c r="A575" s="11">
        <f>IF(B575="","",TEXT(ROW()-3,"""DC-""0000"))</f>
        <v/>
      </c>
      <c r="B575" s="5" t="n"/>
      <c r="C575" s="5" t="n"/>
      <c r="D575" s="5" t="n"/>
      <c r="E575" s="5" t="n"/>
      <c r="F575" s="5" t="n"/>
      <c r="G575" s="5" t="n"/>
      <c r="H575" s="8" t="n"/>
      <c r="I575" s="8" t="n"/>
      <c r="J575" s="8" t="n"/>
      <c r="K575" s="11">
        <f>IF(B575="","",MAX(0,IFERROR(I575,0)*IFERROR(H575,0)-IFERROR(J575,0)))</f>
        <v/>
      </c>
      <c r="L575" s="8" t="n"/>
      <c r="M575" s="11">
        <f>IF(B575="","",MAX(0,K575-L575))</f>
        <v/>
      </c>
      <c r="N575" s="11">
        <f>IF(B575="","",IF(L575&gt;=K575,"Paid",IF(L575&gt;0,"Partial","Unpaid")))</f>
        <v/>
      </c>
      <c r="O575" s="5" t="n"/>
      <c r="P575" s="8" t="n"/>
      <c r="Q575" s="8" t="n"/>
      <c r="R575" s="11">
        <f>IF(B575="","",IFERROR(K575,0)+IFERROR(P575,0)-IFERROR(Q575,0))</f>
        <v/>
      </c>
      <c r="S575" s="5" t="n"/>
      <c r="T575" s="5" t="n"/>
      <c r="U575" s="11">
        <f>IF(B575="","",TRIM(LOWER(C575)&amp;"|"&amp;LOWER(D575)))</f>
        <v/>
      </c>
    </row>
    <row r="576">
      <c r="A576" s="11">
        <f>IF(B576="","",TEXT(ROW()-3,"""DC-""0000"))</f>
        <v/>
      </c>
      <c r="B576" s="5" t="n"/>
      <c r="C576" s="5" t="n"/>
      <c r="D576" s="5" t="n"/>
      <c r="E576" s="5" t="n"/>
      <c r="F576" s="5" t="n"/>
      <c r="G576" s="5" t="n"/>
      <c r="H576" s="8" t="n"/>
      <c r="I576" s="8" t="n"/>
      <c r="J576" s="8" t="n"/>
      <c r="K576" s="11">
        <f>IF(B576="","",MAX(0,IFERROR(I576,0)*IFERROR(H576,0)-IFERROR(J576,0)))</f>
        <v/>
      </c>
      <c r="L576" s="8" t="n"/>
      <c r="M576" s="11">
        <f>IF(B576="","",MAX(0,K576-L576))</f>
        <v/>
      </c>
      <c r="N576" s="11">
        <f>IF(B576="","",IF(L576&gt;=K576,"Paid",IF(L576&gt;0,"Partial","Unpaid")))</f>
        <v/>
      </c>
      <c r="O576" s="5" t="n"/>
      <c r="P576" s="8" t="n"/>
      <c r="Q576" s="8" t="n"/>
      <c r="R576" s="11">
        <f>IF(B576="","",IFERROR(K576,0)+IFERROR(P576,0)-IFERROR(Q576,0))</f>
        <v/>
      </c>
      <c r="S576" s="5" t="n"/>
      <c r="T576" s="5" t="n"/>
      <c r="U576" s="11">
        <f>IF(B576="","",TRIM(LOWER(C576)&amp;"|"&amp;LOWER(D576)))</f>
        <v/>
      </c>
    </row>
    <row r="577">
      <c r="A577" s="11">
        <f>IF(B577="","",TEXT(ROW()-3,"""DC-""0000"))</f>
        <v/>
      </c>
      <c r="B577" s="5" t="n"/>
      <c r="C577" s="5" t="n"/>
      <c r="D577" s="5" t="n"/>
      <c r="E577" s="5" t="n"/>
      <c r="F577" s="5" t="n"/>
      <c r="G577" s="5" t="n"/>
      <c r="H577" s="8" t="n"/>
      <c r="I577" s="8" t="n"/>
      <c r="J577" s="8" t="n"/>
      <c r="K577" s="11">
        <f>IF(B577="","",MAX(0,IFERROR(I577,0)*IFERROR(H577,0)-IFERROR(J577,0)))</f>
        <v/>
      </c>
      <c r="L577" s="8" t="n"/>
      <c r="M577" s="11">
        <f>IF(B577="","",MAX(0,K577-L577))</f>
        <v/>
      </c>
      <c r="N577" s="11">
        <f>IF(B577="","",IF(L577&gt;=K577,"Paid",IF(L577&gt;0,"Partial","Unpaid")))</f>
        <v/>
      </c>
      <c r="O577" s="5" t="n"/>
      <c r="P577" s="8" t="n"/>
      <c r="Q577" s="8" t="n"/>
      <c r="R577" s="11">
        <f>IF(B577="","",IFERROR(K577,0)+IFERROR(P577,0)-IFERROR(Q577,0))</f>
        <v/>
      </c>
      <c r="S577" s="5" t="n"/>
      <c r="T577" s="5" t="n"/>
      <c r="U577" s="11">
        <f>IF(B577="","",TRIM(LOWER(C577)&amp;"|"&amp;LOWER(D577)))</f>
        <v/>
      </c>
    </row>
    <row r="578">
      <c r="A578" s="11">
        <f>IF(B578="","",TEXT(ROW()-3,"""DC-""0000"))</f>
        <v/>
      </c>
      <c r="B578" s="5" t="n"/>
      <c r="C578" s="5" t="n"/>
      <c r="D578" s="5" t="n"/>
      <c r="E578" s="5" t="n"/>
      <c r="F578" s="5" t="n"/>
      <c r="G578" s="5" t="n"/>
      <c r="H578" s="8" t="n"/>
      <c r="I578" s="8" t="n"/>
      <c r="J578" s="8" t="n"/>
      <c r="K578" s="11">
        <f>IF(B578="","",MAX(0,IFERROR(I578,0)*IFERROR(H578,0)-IFERROR(J578,0)))</f>
        <v/>
      </c>
      <c r="L578" s="8" t="n"/>
      <c r="M578" s="11">
        <f>IF(B578="","",MAX(0,K578-L578))</f>
        <v/>
      </c>
      <c r="N578" s="11">
        <f>IF(B578="","",IF(L578&gt;=K578,"Paid",IF(L578&gt;0,"Partial","Unpaid")))</f>
        <v/>
      </c>
      <c r="O578" s="5" t="n"/>
      <c r="P578" s="8" t="n"/>
      <c r="Q578" s="8" t="n"/>
      <c r="R578" s="11">
        <f>IF(B578="","",IFERROR(K578,0)+IFERROR(P578,0)-IFERROR(Q578,0))</f>
        <v/>
      </c>
      <c r="S578" s="5" t="n"/>
      <c r="T578" s="5" t="n"/>
      <c r="U578" s="11">
        <f>IF(B578="","",TRIM(LOWER(C578)&amp;"|"&amp;LOWER(D578)))</f>
        <v/>
      </c>
    </row>
    <row r="579">
      <c r="A579" s="11">
        <f>IF(B579="","",TEXT(ROW()-3,"""DC-""0000"))</f>
        <v/>
      </c>
      <c r="B579" s="5" t="n"/>
      <c r="C579" s="5" t="n"/>
      <c r="D579" s="5" t="n"/>
      <c r="E579" s="5" t="n"/>
      <c r="F579" s="5" t="n"/>
      <c r="G579" s="5" t="n"/>
      <c r="H579" s="8" t="n"/>
      <c r="I579" s="8" t="n"/>
      <c r="J579" s="8" t="n"/>
      <c r="K579" s="11">
        <f>IF(B579="","",MAX(0,IFERROR(I579,0)*IFERROR(H579,0)-IFERROR(J579,0)))</f>
        <v/>
      </c>
      <c r="L579" s="8" t="n"/>
      <c r="M579" s="11">
        <f>IF(B579="","",MAX(0,K579-L579))</f>
        <v/>
      </c>
      <c r="N579" s="11">
        <f>IF(B579="","",IF(L579&gt;=K579,"Paid",IF(L579&gt;0,"Partial","Unpaid")))</f>
        <v/>
      </c>
      <c r="O579" s="5" t="n"/>
      <c r="P579" s="8" t="n"/>
      <c r="Q579" s="8" t="n"/>
      <c r="R579" s="11">
        <f>IF(B579="","",IFERROR(K579,0)+IFERROR(P579,0)-IFERROR(Q579,0))</f>
        <v/>
      </c>
      <c r="S579" s="5" t="n"/>
      <c r="T579" s="5" t="n"/>
      <c r="U579" s="11">
        <f>IF(B579="","",TRIM(LOWER(C579)&amp;"|"&amp;LOWER(D579)))</f>
        <v/>
      </c>
    </row>
    <row r="580">
      <c r="A580" s="11">
        <f>IF(B580="","",TEXT(ROW()-3,"""DC-""0000"))</f>
        <v/>
      </c>
      <c r="B580" s="5" t="n"/>
      <c r="C580" s="5" t="n"/>
      <c r="D580" s="5" t="n"/>
      <c r="E580" s="5" t="n"/>
      <c r="F580" s="5" t="n"/>
      <c r="G580" s="5" t="n"/>
      <c r="H580" s="8" t="n"/>
      <c r="I580" s="8" t="n"/>
      <c r="J580" s="8" t="n"/>
      <c r="K580" s="11">
        <f>IF(B580="","",MAX(0,IFERROR(I580,0)*IFERROR(H580,0)-IFERROR(J580,0)))</f>
        <v/>
      </c>
      <c r="L580" s="8" t="n"/>
      <c r="M580" s="11">
        <f>IF(B580="","",MAX(0,K580-L580))</f>
        <v/>
      </c>
      <c r="N580" s="11">
        <f>IF(B580="","",IF(L580&gt;=K580,"Paid",IF(L580&gt;0,"Partial","Unpaid")))</f>
        <v/>
      </c>
      <c r="O580" s="5" t="n"/>
      <c r="P580" s="8" t="n"/>
      <c r="Q580" s="8" t="n"/>
      <c r="R580" s="11">
        <f>IF(B580="","",IFERROR(K580,0)+IFERROR(P580,0)-IFERROR(Q580,0))</f>
        <v/>
      </c>
      <c r="S580" s="5" t="n"/>
      <c r="T580" s="5" t="n"/>
      <c r="U580" s="11">
        <f>IF(B580="","",TRIM(LOWER(C580)&amp;"|"&amp;LOWER(D580)))</f>
        <v/>
      </c>
    </row>
    <row r="581">
      <c r="A581" s="11">
        <f>IF(B581="","",TEXT(ROW()-3,"""DC-""0000"))</f>
        <v/>
      </c>
      <c r="B581" s="5" t="n"/>
      <c r="C581" s="5" t="n"/>
      <c r="D581" s="5" t="n"/>
      <c r="E581" s="5" t="n"/>
      <c r="F581" s="5" t="n"/>
      <c r="G581" s="5" t="n"/>
      <c r="H581" s="8" t="n"/>
      <c r="I581" s="8" t="n"/>
      <c r="J581" s="8" t="n"/>
      <c r="K581" s="11">
        <f>IF(B581="","",MAX(0,IFERROR(I581,0)*IFERROR(H581,0)-IFERROR(J581,0)))</f>
        <v/>
      </c>
      <c r="L581" s="8" t="n"/>
      <c r="M581" s="11">
        <f>IF(B581="","",MAX(0,K581-L581))</f>
        <v/>
      </c>
      <c r="N581" s="11">
        <f>IF(B581="","",IF(L581&gt;=K581,"Paid",IF(L581&gt;0,"Partial","Unpaid")))</f>
        <v/>
      </c>
      <c r="O581" s="5" t="n"/>
      <c r="P581" s="8" t="n"/>
      <c r="Q581" s="8" t="n"/>
      <c r="R581" s="11">
        <f>IF(B581="","",IFERROR(K581,0)+IFERROR(P581,0)-IFERROR(Q581,0))</f>
        <v/>
      </c>
      <c r="S581" s="5" t="n"/>
      <c r="T581" s="5" t="n"/>
      <c r="U581" s="11">
        <f>IF(B581="","",TRIM(LOWER(C581)&amp;"|"&amp;LOWER(D581)))</f>
        <v/>
      </c>
    </row>
    <row r="582">
      <c r="A582" s="11">
        <f>IF(B582="","",TEXT(ROW()-3,"""DC-""0000"))</f>
        <v/>
      </c>
      <c r="B582" s="5" t="n"/>
      <c r="C582" s="5" t="n"/>
      <c r="D582" s="5" t="n"/>
      <c r="E582" s="5" t="n"/>
      <c r="F582" s="5" t="n"/>
      <c r="G582" s="5" t="n"/>
      <c r="H582" s="8" t="n"/>
      <c r="I582" s="8" t="n"/>
      <c r="J582" s="8" t="n"/>
      <c r="K582" s="11">
        <f>IF(B582="","",MAX(0,IFERROR(I582,0)*IFERROR(H582,0)-IFERROR(J582,0)))</f>
        <v/>
      </c>
      <c r="L582" s="8" t="n"/>
      <c r="M582" s="11">
        <f>IF(B582="","",MAX(0,K582-L582))</f>
        <v/>
      </c>
      <c r="N582" s="11">
        <f>IF(B582="","",IF(L582&gt;=K582,"Paid",IF(L582&gt;0,"Partial","Unpaid")))</f>
        <v/>
      </c>
      <c r="O582" s="5" t="n"/>
      <c r="P582" s="8" t="n"/>
      <c r="Q582" s="8" t="n"/>
      <c r="R582" s="11">
        <f>IF(B582="","",IFERROR(K582,0)+IFERROR(P582,0)-IFERROR(Q582,0))</f>
        <v/>
      </c>
      <c r="S582" s="5" t="n"/>
      <c r="T582" s="5" t="n"/>
      <c r="U582" s="11">
        <f>IF(B582="","",TRIM(LOWER(C582)&amp;"|"&amp;LOWER(D582)))</f>
        <v/>
      </c>
    </row>
    <row r="583">
      <c r="A583" s="11">
        <f>IF(B583="","",TEXT(ROW()-3,"""DC-""0000"))</f>
        <v/>
      </c>
      <c r="B583" s="5" t="n"/>
      <c r="C583" s="5" t="n"/>
      <c r="D583" s="5" t="n"/>
      <c r="E583" s="5" t="n"/>
      <c r="F583" s="5" t="n"/>
      <c r="G583" s="5" t="n"/>
      <c r="H583" s="8" t="n"/>
      <c r="I583" s="8" t="n"/>
      <c r="J583" s="8" t="n"/>
      <c r="K583" s="11">
        <f>IF(B583="","",MAX(0,IFERROR(I583,0)*IFERROR(H583,0)-IFERROR(J583,0)))</f>
        <v/>
      </c>
      <c r="L583" s="8" t="n"/>
      <c r="M583" s="11">
        <f>IF(B583="","",MAX(0,K583-L583))</f>
        <v/>
      </c>
      <c r="N583" s="11">
        <f>IF(B583="","",IF(L583&gt;=K583,"Paid",IF(L583&gt;0,"Partial","Unpaid")))</f>
        <v/>
      </c>
      <c r="O583" s="5" t="n"/>
      <c r="P583" s="8" t="n"/>
      <c r="Q583" s="8" t="n"/>
      <c r="R583" s="11">
        <f>IF(B583="","",IFERROR(K583,0)+IFERROR(P583,0)-IFERROR(Q583,0))</f>
        <v/>
      </c>
      <c r="S583" s="5" t="n"/>
      <c r="T583" s="5" t="n"/>
      <c r="U583" s="11">
        <f>IF(B583="","",TRIM(LOWER(C583)&amp;"|"&amp;LOWER(D583)))</f>
        <v/>
      </c>
    </row>
    <row r="584">
      <c r="A584" s="11">
        <f>IF(B584="","",TEXT(ROW()-3,"""DC-""0000"))</f>
        <v/>
      </c>
      <c r="B584" s="5" t="n"/>
      <c r="C584" s="5" t="n"/>
      <c r="D584" s="5" t="n"/>
      <c r="E584" s="5" t="n"/>
      <c r="F584" s="5" t="n"/>
      <c r="G584" s="5" t="n"/>
      <c r="H584" s="8" t="n"/>
      <c r="I584" s="8" t="n"/>
      <c r="J584" s="8" t="n"/>
      <c r="K584" s="11">
        <f>IF(B584="","",MAX(0,IFERROR(I584,0)*IFERROR(H584,0)-IFERROR(J584,0)))</f>
        <v/>
      </c>
      <c r="L584" s="8" t="n"/>
      <c r="M584" s="11">
        <f>IF(B584="","",MAX(0,K584-L584))</f>
        <v/>
      </c>
      <c r="N584" s="11">
        <f>IF(B584="","",IF(L584&gt;=K584,"Paid",IF(L584&gt;0,"Partial","Unpaid")))</f>
        <v/>
      </c>
      <c r="O584" s="5" t="n"/>
      <c r="P584" s="8" t="n"/>
      <c r="Q584" s="8" t="n"/>
      <c r="R584" s="11">
        <f>IF(B584="","",IFERROR(K584,0)+IFERROR(P584,0)-IFERROR(Q584,0))</f>
        <v/>
      </c>
      <c r="S584" s="5" t="n"/>
      <c r="T584" s="5" t="n"/>
      <c r="U584" s="11">
        <f>IF(B584="","",TRIM(LOWER(C584)&amp;"|"&amp;LOWER(D584)))</f>
        <v/>
      </c>
    </row>
    <row r="585">
      <c r="A585" s="11">
        <f>IF(B585="","",TEXT(ROW()-3,"""DC-""0000"))</f>
        <v/>
      </c>
      <c r="B585" s="5" t="n"/>
      <c r="C585" s="5" t="n"/>
      <c r="D585" s="5" t="n"/>
      <c r="E585" s="5" t="n"/>
      <c r="F585" s="5" t="n"/>
      <c r="G585" s="5" t="n"/>
      <c r="H585" s="8" t="n"/>
      <c r="I585" s="8" t="n"/>
      <c r="J585" s="8" t="n"/>
      <c r="K585" s="11">
        <f>IF(B585="","",MAX(0,IFERROR(I585,0)*IFERROR(H585,0)-IFERROR(J585,0)))</f>
        <v/>
      </c>
      <c r="L585" s="8" t="n"/>
      <c r="M585" s="11">
        <f>IF(B585="","",MAX(0,K585-L585))</f>
        <v/>
      </c>
      <c r="N585" s="11">
        <f>IF(B585="","",IF(L585&gt;=K585,"Paid",IF(L585&gt;0,"Partial","Unpaid")))</f>
        <v/>
      </c>
      <c r="O585" s="5" t="n"/>
      <c r="P585" s="8" t="n"/>
      <c r="Q585" s="8" t="n"/>
      <c r="R585" s="11">
        <f>IF(B585="","",IFERROR(K585,0)+IFERROR(P585,0)-IFERROR(Q585,0))</f>
        <v/>
      </c>
      <c r="S585" s="5" t="n"/>
      <c r="T585" s="5" t="n"/>
      <c r="U585" s="11">
        <f>IF(B585="","",TRIM(LOWER(C585)&amp;"|"&amp;LOWER(D585)))</f>
        <v/>
      </c>
    </row>
    <row r="586">
      <c r="A586" s="11">
        <f>IF(B586="","",TEXT(ROW()-3,"""DC-""0000"))</f>
        <v/>
      </c>
      <c r="B586" s="5" t="n"/>
      <c r="C586" s="5" t="n"/>
      <c r="D586" s="5" t="n"/>
      <c r="E586" s="5" t="n"/>
      <c r="F586" s="5" t="n"/>
      <c r="G586" s="5" t="n"/>
      <c r="H586" s="8" t="n"/>
      <c r="I586" s="8" t="n"/>
      <c r="J586" s="8" t="n"/>
      <c r="K586" s="11">
        <f>IF(B586="","",MAX(0,IFERROR(I586,0)*IFERROR(H586,0)-IFERROR(J586,0)))</f>
        <v/>
      </c>
      <c r="L586" s="8" t="n"/>
      <c r="M586" s="11">
        <f>IF(B586="","",MAX(0,K586-L586))</f>
        <v/>
      </c>
      <c r="N586" s="11">
        <f>IF(B586="","",IF(L586&gt;=K586,"Paid",IF(L586&gt;0,"Partial","Unpaid")))</f>
        <v/>
      </c>
      <c r="O586" s="5" t="n"/>
      <c r="P586" s="8" t="n"/>
      <c r="Q586" s="8" t="n"/>
      <c r="R586" s="11">
        <f>IF(B586="","",IFERROR(K586,0)+IFERROR(P586,0)-IFERROR(Q586,0))</f>
        <v/>
      </c>
      <c r="S586" s="5" t="n"/>
      <c r="T586" s="5" t="n"/>
      <c r="U586" s="11">
        <f>IF(B586="","",TRIM(LOWER(C586)&amp;"|"&amp;LOWER(D586)))</f>
        <v/>
      </c>
    </row>
    <row r="587">
      <c r="A587" s="11">
        <f>IF(B587="","",TEXT(ROW()-3,"""DC-""0000"))</f>
        <v/>
      </c>
      <c r="B587" s="5" t="n"/>
      <c r="C587" s="5" t="n"/>
      <c r="D587" s="5" t="n"/>
      <c r="E587" s="5" t="n"/>
      <c r="F587" s="5" t="n"/>
      <c r="G587" s="5" t="n"/>
      <c r="H587" s="8" t="n"/>
      <c r="I587" s="8" t="n"/>
      <c r="J587" s="8" t="n"/>
      <c r="K587" s="11">
        <f>IF(B587="","",MAX(0,IFERROR(I587,0)*IFERROR(H587,0)-IFERROR(J587,0)))</f>
        <v/>
      </c>
      <c r="L587" s="8" t="n"/>
      <c r="M587" s="11">
        <f>IF(B587="","",MAX(0,K587-L587))</f>
        <v/>
      </c>
      <c r="N587" s="11">
        <f>IF(B587="","",IF(L587&gt;=K587,"Paid",IF(L587&gt;0,"Partial","Unpaid")))</f>
        <v/>
      </c>
      <c r="O587" s="5" t="n"/>
      <c r="P587" s="8" t="n"/>
      <c r="Q587" s="8" t="n"/>
      <c r="R587" s="11">
        <f>IF(B587="","",IFERROR(K587,0)+IFERROR(P587,0)-IFERROR(Q587,0))</f>
        <v/>
      </c>
      <c r="S587" s="5" t="n"/>
      <c r="T587" s="5" t="n"/>
      <c r="U587" s="11">
        <f>IF(B587="","",TRIM(LOWER(C587)&amp;"|"&amp;LOWER(D587)))</f>
        <v/>
      </c>
    </row>
    <row r="588">
      <c r="A588" s="11">
        <f>IF(B588="","",TEXT(ROW()-3,"""DC-""0000"))</f>
        <v/>
      </c>
      <c r="B588" s="5" t="n"/>
      <c r="C588" s="5" t="n"/>
      <c r="D588" s="5" t="n"/>
      <c r="E588" s="5" t="n"/>
      <c r="F588" s="5" t="n"/>
      <c r="G588" s="5" t="n"/>
      <c r="H588" s="8" t="n"/>
      <c r="I588" s="8" t="n"/>
      <c r="J588" s="8" t="n"/>
      <c r="K588" s="11">
        <f>IF(B588="","",MAX(0,IFERROR(I588,0)*IFERROR(H588,0)-IFERROR(J588,0)))</f>
        <v/>
      </c>
      <c r="L588" s="8" t="n"/>
      <c r="M588" s="11">
        <f>IF(B588="","",MAX(0,K588-L588))</f>
        <v/>
      </c>
      <c r="N588" s="11">
        <f>IF(B588="","",IF(L588&gt;=K588,"Paid",IF(L588&gt;0,"Partial","Unpaid")))</f>
        <v/>
      </c>
      <c r="O588" s="5" t="n"/>
      <c r="P588" s="8" t="n"/>
      <c r="Q588" s="8" t="n"/>
      <c r="R588" s="11">
        <f>IF(B588="","",IFERROR(K588,0)+IFERROR(P588,0)-IFERROR(Q588,0))</f>
        <v/>
      </c>
      <c r="S588" s="5" t="n"/>
      <c r="T588" s="5" t="n"/>
      <c r="U588" s="11">
        <f>IF(B588="","",TRIM(LOWER(C588)&amp;"|"&amp;LOWER(D588)))</f>
        <v/>
      </c>
    </row>
    <row r="589">
      <c r="A589" s="11">
        <f>IF(B589="","",TEXT(ROW()-3,"""DC-""0000"))</f>
        <v/>
      </c>
      <c r="B589" s="5" t="n"/>
      <c r="C589" s="5" t="n"/>
      <c r="D589" s="5" t="n"/>
      <c r="E589" s="5" t="n"/>
      <c r="F589" s="5" t="n"/>
      <c r="G589" s="5" t="n"/>
      <c r="H589" s="8" t="n"/>
      <c r="I589" s="8" t="n"/>
      <c r="J589" s="8" t="n"/>
      <c r="K589" s="11">
        <f>IF(B589="","",MAX(0,IFERROR(I589,0)*IFERROR(H589,0)-IFERROR(J589,0)))</f>
        <v/>
      </c>
      <c r="L589" s="8" t="n"/>
      <c r="M589" s="11">
        <f>IF(B589="","",MAX(0,K589-L589))</f>
        <v/>
      </c>
      <c r="N589" s="11">
        <f>IF(B589="","",IF(L589&gt;=K589,"Paid",IF(L589&gt;0,"Partial","Unpaid")))</f>
        <v/>
      </c>
      <c r="O589" s="5" t="n"/>
      <c r="P589" s="8" t="n"/>
      <c r="Q589" s="8" t="n"/>
      <c r="R589" s="11">
        <f>IF(B589="","",IFERROR(K589,0)+IFERROR(P589,0)-IFERROR(Q589,0))</f>
        <v/>
      </c>
      <c r="S589" s="5" t="n"/>
      <c r="T589" s="5" t="n"/>
      <c r="U589" s="11">
        <f>IF(B589="","",TRIM(LOWER(C589)&amp;"|"&amp;LOWER(D589)))</f>
        <v/>
      </c>
    </row>
    <row r="590">
      <c r="A590" s="11">
        <f>IF(B590="","",TEXT(ROW()-3,"""DC-""0000"))</f>
        <v/>
      </c>
      <c r="B590" s="5" t="n"/>
      <c r="C590" s="5" t="n"/>
      <c r="D590" s="5" t="n"/>
      <c r="E590" s="5" t="n"/>
      <c r="F590" s="5" t="n"/>
      <c r="G590" s="5" t="n"/>
      <c r="H590" s="8" t="n"/>
      <c r="I590" s="8" t="n"/>
      <c r="J590" s="8" t="n"/>
      <c r="K590" s="11">
        <f>IF(B590="","",MAX(0,IFERROR(I590,0)*IFERROR(H590,0)-IFERROR(J590,0)))</f>
        <v/>
      </c>
      <c r="L590" s="8" t="n"/>
      <c r="M590" s="11">
        <f>IF(B590="","",MAX(0,K590-L590))</f>
        <v/>
      </c>
      <c r="N590" s="11">
        <f>IF(B590="","",IF(L590&gt;=K590,"Paid",IF(L590&gt;0,"Partial","Unpaid")))</f>
        <v/>
      </c>
      <c r="O590" s="5" t="n"/>
      <c r="P590" s="8" t="n"/>
      <c r="Q590" s="8" t="n"/>
      <c r="R590" s="11">
        <f>IF(B590="","",IFERROR(K590,0)+IFERROR(P590,0)-IFERROR(Q590,0))</f>
        <v/>
      </c>
      <c r="S590" s="5" t="n"/>
      <c r="T590" s="5" t="n"/>
      <c r="U590" s="11">
        <f>IF(B590="","",TRIM(LOWER(C590)&amp;"|"&amp;LOWER(D590)))</f>
        <v/>
      </c>
    </row>
    <row r="591">
      <c r="A591" s="11">
        <f>IF(B591="","",TEXT(ROW()-3,"""DC-""0000"))</f>
        <v/>
      </c>
      <c r="B591" s="5" t="n"/>
      <c r="C591" s="5" t="n"/>
      <c r="D591" s="5" t="n"/>
      <c r="E591" s="5" t="n"/>
      <c r="F591" s="5" t="n"/>
      <c r="G591" s="5" t="n"/>
      <c r="H591" s="8" t="n"/>
      <c r="I591" s="8" t="n"/>
      <c r="J591" s="8" t="n"/>
      <c r="K591" s="11">
        <f>IF(B591="","",MAX(0,IFERROR(I591,0)*IFERROR(H591,0)-IFERROR(J591,0)))</f>
        <v/>
      </c>
      <c r="L591" s="8" t="n"/>
      <c r="M591" s="11">
        <f>IF(B591="","",MAX(0,K591-L591))</f>
        <v/>
      </c>
      <c r="N591" s="11">
        <f>IF(B591="","",IF(L591&gt;=K591,"Paid",IF(L591&gt;0,"Partial","Unpaid")))</f>
        <v/>
      </c>
      <c r="O591" s="5" t="n"/>
      <c r="P591" s="8" t="n"/>
      <c r="Q591" s="8" t="n"/>
      <c r="R591" s="11">
        <f>IF(B591="","",IFERROR(K591,0)+IFERROR(P591,0)-IFERROR(Q591,0))</f>
        <v/>
      </c>
      <c r="S591" s="5" t="n"/>
      <c r="T591" s="5" t="n"/>
      <c r="U591" s="11">
        <f>IF(B591="","",TRIM(LOWER(C591)&amp;"|"&amp;LOWER(D591)))</f>
        <v/>
      </c>
    </row>
    <row r="592">
      <c r="A592" s="11">
        <f>IF(B592="","",TEXT(ROW()-3,"""DC-""0000"))</f>
        <v/>
      </c>
      <c r="B592" s="5" t="n"/>
      <c r="C592" s="5" t="n"/>
      <c r="D592" s="5" t="n"/>
      <c r="E592" s="5" t="n"/>
      <c r="F592" s="5" t="n"/>
      <c r="G592" s="5" t="n"/>
      <c r="H592" s="8" t="n"/>
      <c r="I592" s="8" t="n"/>
      <c r="J592" s="8" t="n"/>
      <c r="K592" s="11">
        <f>IF(B592="","",MAX(0,IFERROR(I592,0)*IFERROR(H592,0)-IFERROR(J592,0)))</f>
        <v/>
      </c>
      <c r="L592" s="8" t="n"/>
      <c r="M592" s="11">
        <f>IF(B592="","",MAX(0,K592-L592))</f>
        <v/>
      </c>
      <c r="N592" s="11">
        <f>IF(B592="","",IF(L592&gt;=K592,"Paid",IF(L592&gt;0,"Partial","Unpaid")))</f>
        <v/>
      </c>
      <c r="O592" s="5" t="n"/>
      <c r="P592" s="8" t="n"/>
      <c r="Q592" s="8" t="n"/>
      <c r="R592" s="11">
        <f>IF(B592="","",IFERROR(K592,0)+IFERROR(P592,0)-IFERROR(Q592,0))</f>
        <v/>
      </c>
      <c r="S592" s="5" t="n"/>
      <c r="T592" s="5" t="n"/>
      <c r="U592" s="11">
        <f>IF(B592="","",TRIM(LOWER(C592)&amp;"|"&amp;LOWER(D592)))</f>
        <v/>
      </c>
    </row>
    <row r="593">
      <c r="A593" s="11">
        <f>IF(B593="","",TEXT(ROW()-3,"""DC-""0000"))</f>
        <v/>
      </c>
      <c r="B593" s="5" t="n"/>
      <c r="C593" s="5" t="n"/>
      <c r="D593" s="5" t="n"/>
      <c r="E593" s="5" t="n"/>
      <c r="F593" s="5" t="n"/>
      <c r="G593" s="5" t="n"/>
      <c r="H593" s="8" t="n"/>
      <c r="I593" s="8" t="n"/>
      <c r="J593" s="8" t="n"/>
      <c r="K593" s="11">
        <f>IF(B593="","",MAX(0,IFERROR(I593,0)*IFERROR(H593,0)-IFERROR(J593,0)))</f>
        <v/>
      </c>
      <c r="L593" s="8" t="n"/>
      <c r="M593" s="11">
        <f>IF(B593="","",MAX(0,K593-L593))</f>
        <v/>
      </c>
      <c r="N593" s="11">
        <f>IF(B593="","",IF(L593&gt;=K593,"Paid",IF(L593&gt;0,"Partial","Unpaid")))</f>
        <v/>
      </c>
      <c r="O593" s="5" t="n"/>
      <c r="P593" s="8" t="n"/>
      <c r="Q593" s="8" t="n"/>
      <c r="R593" s="11">
        <f>IF(B593="","",IFERROR(K593,0)+IFERROR(P593,0)-IFERROR(Q593,0))</f>
        <v/>
      </c>
      <c r="S593" s="5" t="n"/>
      <c r="T593" s="5" t="n"/>
      <c r="U593" s="11">
        <f>IF(B593="","",TRIM(LOWER(C593)&amp;"|"&amp;LOWER(D593)))</f>
        <v/>
      </c>
    </row>
    <row r="594">
      <c r="A594" s="11">
        <f>IF(B594="","",TEXT(ROW()-3,"""DC-""0000"))</f>
        <v/>
      </c>
      <c r="B594" s="5" t="n"/>
      <c r="C594" s="5" t="n"/>
      <c r="D594" s="5" t="n"/>
      <c r="E594" s="5" t="n"/>
      <c r="F594" s="5" t="n"/>
      <c r="G594" s="5" t="n"/>
      <c r="H594" s="8" t="n"/>
      <c r="I594" s="8" t="n"/>
      <c r="J594" s="8" t="n"/>
      <c r="K594" s="11">
        <f>IF(B594="","",MAX(0,IFERROR(I594,0)*IFERROR(H594,0)-IFERROR(J594,0)))</f>
        <v/>
      </c>
      <c r="L594" s="8" t="n"/>
      <c r="M594" s="11">
        <f>IF(B594="","",MAX(0,K594-L594))</f>
        <v/>
      </c>
      <c r="N594" s="11">
        <f>IF(B594="","",IF(L594&gt;=K594,"Paid",IF(L594&gt;0,"Partial","Unpaid")))</f>
        <v/>
      </c>
      <c r="O594" s="5" t="n"/>
      <c r="P594" s="8" t="n"/>
      <c r="Q594" s="8" t="n"/>
      <c r="R594" s="11">
        <f>IF(B594="","",IFERROR(K594,0)+IFERROR(P594,0)-IFERROR(Q594,0))</f>
        <v/>
      </c>
      <c r="S594" s="5" t="n"/>
      <c r="T594" s="5" t="n"/>
      <c r="U594" s="11">
        <f>IF(B594="","",TRIM(LOWER(C594)&amp;"|"&amp;LOWER(D594)))</f>
        <v/>
      </c>
    </row>
    <row r="595">
      <c r="A595" s="11">
        <f>IF(B595="","",TEXT(ROW()-3,"""DC-""0000"))</f>
        <v/>
      </c>
      <c r="B595" s="5" t="n"/>
      <c r="C595" s="5" t="n"/>
      <c r="D595" s="5" t="n"/>
      <c r="E595" s="5" t="n"/>
      <c r="F595" s="5" t="n"/>
      <c r="G595" s="5" t="n"/>
      <c r="H595" s="8" t="n"/>
      <c r="I595" s="8" t="n"/>
      <c r="J595" s="8" t="n"/>
      <c r="K595" s="11">
        <f>IF(B595="","",MAX(0,IFERROR(I595,0)*IFERROR(H595,0)-IFERROR(J595,0)))</f>
        <v/>
      </c>
      <c r="L595" s="8" t="n"/>
      <c r="M595" s="11">
        <f>IF(B595="","",MAX(0,K595-L595))</f>
        <v/>
      </c>
      <c r="N595" s="11">
        <f>IF(B595="","",IF(L595&gt;=K595,"Paid",IF(L595&gt;0,"Partial","Unpaid")))</f>
        <v/>
      </c>
      <c r="O595" s="5" t="n"/>
      <c r="P595" s="8" t="n"/>
      <c r="Q595" s="8" t="n"/>
      <c r="R595" s="11">
        <f>IF(B595="","",IFERROR(K595,0)+IFERROR(P595,0)-IFERROR(Q595,0))</f>
        <v/>
      </c>
      <c r="S595" s="5" t="n"/>
      <c r="T595" s="5" t="n"/>
      <c r="U595" s="11">
        <f>IF(B595="","",TRIM(LOWER(C595)&amp;"|"&amp;LOWER(D595)))</f>
        <v/>
      </c>
    </row>
    <row r="596">
      <c r="A596" s="11">
        <f>IF(B596="","",TEXT(ROW()-3,"""DC-""0000"))</f>
        <v/>
      </c>
      <c r="B596" s="5" t="n"/>
      <c r="C596" s="5" t="n"/>
      <c r="D596" s="5" t="n"/>
      <c r="E596" s="5" t="n"/>
      <c r="F596" s="5" t="n"/>
      <c r="G596" s="5" t="n"/>
      <c r="H596" s="8" t="n"/>
      <c r="I596" s="8" t="n"/>
      <c r="J596" s="8" t="n"/>
      <c r="K596" s="11">
        <f>IF(B596="","",MAX(0,IFERROR(I596,0)*IFERROR(H596,0)-IFERROR(J596,0)))</f>
        <v/>
      </c>
      <c r="L596" s="8" t="n"/>
      <c r="M596" s="11">
        <f>IF(B596="","",MAX(0,K596-L596))</f>
        <v/>
      </c>
      <c r="N596" s="11">
        <f>IF(B596="","",IF(L596&gt;=K596,"Paid",IF(L596&gt;0,"Partial","Unpaid")))</f>
        <v/>
      </c>
      <c r="O596" s="5" t="n"/>
      <c r="P596" s="8" t="n"/>
      <c r="Q596" s="8" t="n"/>
      <c r="R596" s="11">
        <f>IF(B596="","",IFERROR(K596,0)+IFERROR(P596,0)-IFERROR(Q596,0))</f>
        <v/>
      </c>
      <c r="S596" s="5" t="n"/>
      <c r="T596" s="5" t="n"/>
      <c r="U596" s="11">
        <f>IF(B596="","",TRIM(LOWER(C596)&amp;"|"&amp;LOWER(D596)))</f>
        <v/>
      </c>
    </row>
    <row r="597">
      <c r="A597" s="11">
        <f>IF(B597="","",TEXT(ROW()-3,"""DC-""0000"))</f>
        <v/>
      </c>
      <c r="B597" s="5" t="n"/>
      <c r="C597" s="5" t="n"/>
      <c r="D597" s="5" t="n"/>
      <c r="E597" s="5" t="n"/>
      <c r="F597" s="5" t="n"/>
      <c r="G597" s="5" t="n"/>
      <c r="H597" s="8" t="n"/>
      <c r="I597" s="8" t="n"/>
      <c r="J597" s="8" t="n"/>
      <c r="K597" s="11">
        <f>IF(B597="","",MAX(0,IFERROR(I597,0)*IFERROR(H597,0)-IFERROR(J597,0)))</f>
        <v/>
      </c>
      <c r="L597" s="8" t="n"/>
      <c r="M597" s="11">
        <f>IF(B597="","",MAX(0,K597-L597))</f>
        <v/>
      </c>
      <c r="N597" s="11">
        <f>IF(B597="","",IF(L597&gt;=K597,"Paid",IF(L597&gt;0,"Partial","Unpaid")))</f>
        <v/>
      </c>
      <c r="O597" s="5" t="n"/>
      <c r="P597" s="8" t="n"/>
      <c r="Q597" s="8" t="n"/>
      <c r="R597" s="11">
        <f>IF(B597="","",IFERROR(K597,0)+IFERROR(P597,0)-IFERROR(Q597,0))</f>
        <v/>
      </c>
      <c r="S597" s="5" t="n"/>
      <c r="T597" s="5" t="n"/>
      <c r="U597" s="11">
        <f>IF(B597="","",TRIM(LOWER(C597)&amp;"|"&amp;LOWER(D597)))</f>
        <v/>
      </c>
    </row>
    <row r="598">
      <c r="A598" s="11">
        <f>IF(B598="","",TEXT(ROW()-3,"""DC-""0000"))</f>
        <v/>
      </c>
      <c r="B598" s="5" t="n"/>
      <c r="C598" s="5" t="n"/>
      <c r="D598" s="5" t="n"/>
      <c r="E598" s="5" t="n"/>
      <c r="F598" s="5" t="n"/>
      <c r="G598" s="5" t="n"/>
      <c r="H598" s="8" t="n"/>
      <c r="I598" s="8" t="n"/>
      <c r="J598" s="8" t="n"/>
      <c r="K598" s="11">
        <f>IF(B598="","",MAX(0,IFERROR(I598,0)*IFERROR(H598,0)-IFERROR(J598,0)))</f>
        <v/>
      </c>
      <c r="L598" s="8" t="n"/>
      <c r="M598" s="11">
        <f>IF(B598="","",MAX(0,K598-L598))</f>
        <v/>
      </c>
      <c r="N598" s="11">
        <f>IF(B598="","",IF(L598&gt;=K598,"Paid",IF(L598&gt;0,"Partial","Unpaid")))</f>
        <v/>
      </c>
      <c r="O598" s="5" t="n"/>
      <c r="P598" s="8" t="n"/>
      <c r="Q598" s="8" t="n"/>
      <c r="R598" s="11">
        <f>IF(B598="","",IFERROR(K598,0)+IFERROR(P598,0)-IFERROR(Q598,0))</f>
        <v/>
      </c>
      <c r="S598" s="5" t="n"/>
      <c r="T598" s="5" t="n"/>
      <c r="U598" s="11">
        <f>IF(B598="","",TRIM(LOWER(C598)&amp;"|"&amp;LOWER(D598)))</f>
        <v/>
      </c>
    </row>
    <row r="599">
      <c r="A599" s="11">
        <f>IF(B599="","",TEXT(ROW()-3,"""DC-""0000"))</f>
        <v/>
      </c>
      <c r="B599" s="5" t="n"/>
      <c r="C599" s="5" t="n"/>
      <c r="D599" s="5" t="n"/>
      <c r="E599" s="5" t="n"/>
      <c r="F599" s="5" t="n"/>
      <c r="G599" s="5" t="n"/>
      <c r="H599" s="8" t="n"/>
      <c r="I599" s="8" t="n"/>
      <c r="J599" s="8" t="n"/>
      <c r="K599" s="11">
        <f>IF(B599="","",MAX(0,IFERROR(I599,0)*IFERROR(H599,0)-IFERROR(J599,0)))</f>
        <v/>
      </c>
      <c r="L599" s="8" t="n"/>
      <c r="M599" s="11">
        <f>IF(B599="","",MAX(0,K599-L599))</f>
        <v/>
      </c>
      <c r="N599" s="11">
        <f>IF(B599="","",IF(L599&gt;=K599,"Paid",IF(L599&gt;0,"Partial","Unpaid")))</f>
        <v/>
      </c>
      <c r="O599" s="5" t="n"/>
      <c r="P599" s="8" t="n"/>
      <c r="Q599" s="8" t="n"/>
      <c r="R599" s="11">
        <f>IF(B599="","",IFERROR(K599,0)+IFERROR(P599,0)-IFERROR(Q599,0))</f>
        <v/>
      </c>
      <c r="S599" s="5" t="n"/>
      <c r="T599" s="5" t="n"/>
      <c r="U599" s="11">
        <f>IF(B599="","",TRIM(LOWER(C599)&amp;"|"&amp;LOWER(D599)))</f>
        <v/>
      </c>
    </row>
    <row r="600">
      <c r="A600" s="11">
        <f>IF(B600="","",TEXT(ROW()-3,"""DC-""0000"))</f>
        <v/>
      </c>
      <c r="B600" s="5" t="n"/>
      <c r="C600" s="5" t="n"/>
      <c r="D600" s="5" t="n"/>
      <c r="E600" s="5" t="n"/>
      <c r="F600" s="5" t="n"/>
      <c r="G600" s="5" t="n"/>
      <c r="H600" s="8" t="n"/>
      <c r="I600" s="8" t="n"/>
      <c r="J600" s="8" t="n"/>
      <c r="K600" s="11">
        <f>IF(B600="","",MAX(0,IFERROR(I600,0)*IFERROR(H600,0)-IFERROR(J600,0)))</f>
        <v/>
      </c>
      <c r="L600" s="8" t="n"/>
      <c r="M600" s="11">
        <f>IF(B600="","",MAX(0,K600-L600))</f>
        <v/>
      </c>
      <c r="N600" s="11">
        <f>IF(B600="","",IF(L600&gt;=K600,"Paid",IF(L600&gt;0,"Partial","Unpaid")))</f>
        <v/>
      </c>
      <c r="O600" s="5" t="n"/>
      <c r="P600" s="8" t="n"/>
      <c r="Q600" s="8" t="n"/>
      <c r="R600" s="11">
        <f>IF(B600="","",IFERROR(K600,0)+IFERROR(P600,0)-IFERROR(Q600,0))</f>
        <v/>
      </c>
      <c r="S600" s="5" t="n"/>
      <c r="T600" s="5" t="n"/>
      <c r="U600" s="11">
        <f>IF(B600="","",TRIM(LOWER(C600)&amp;"|"&amp;LOWER(D600)))</f>
        <v/>
      </c>
    </row>
    <row r="601">
      <c r="A601" s="11">
        <f>IF(B601="","",TEXT(ROW()-3,"""DC-""0000"))</f>
        <v/>
      </c>
      <c r="B601" s="5" t="n"/>
      <c r="C601" s="5" t="n"/>
      <c r="D601" s="5" t="n"/>
      <c r="E601" s="5" t="n"/>
      <c r="F601" s="5" t="n"/>
      <c r="G601" s="5" t="n"/>
      <c r="H601" s="8" t="n"/>
      <c r="I601" s="8" t="n"/>
      <c r="J601" s="8" t="n"/>
      <c r="K601" s="11">
        <f>IF(B601="","",MAX(0,IFERROR(I601,0)*IFERROR(H601,0)-IFERROR(J601,0)))</f>
        <v/>
      </c>
      <c r="L601" s="8" t="n"/>
      <c r="M601" s="11">
        <f>IF(B601="","",MAX(0,K601-L601))</f>
        <v/>
      </c>
      <c r="N601" s="11">
        <f>IF(B601="","",IF(L601&gt;=K601,"Paid",IF(L601&gt;0,"Partial","Unpaid")))</f>
        <v/>
      </c>
      <c r="O601" s="5" t="n"/>
      <c r="P601" s="8" t="n"/>
      <c r="Q601" s="8" t="n"/>
      <c r="R601" s="11">
        <f>IF(B601="","",IFERROR(K601,0)+IFERROR(P601,0)-IFERROR(Q601,0))</f>
        <v/>
      </c>
      <c r="S601" s="5" t="n"/>
      <c r="T601" s="5" t="n"/>
      <c r="U601" s="11">
        <f>IF(B601="","",TRIM(LOWER(C601)&amp;"|"&amp;LOWER(D601)))</f>
        <v/>
      </c>
    </row>
    <row r="602">
      <c r="A602" s="11">
        <f>IF(B602="","",TEXT(ROW()-3,"""DC-""0000"))</f>
        <v/>
      </c>
      <c r="B602" s="5" t="n"/>
      <c r="C602" s="5" t="n"/>
      <c r="D602" s="5" t="n"/>
      <c r="E602" s="5" t="n"/>
      <c r="F602" s="5" t="n"/>
      <c r="G602" s="5" t="n"/>
      <c r="H602" s="8" t="n"/>
      <c r="I602" s="8" t="n"/>
      <c r="J602" s="8" t="n"/>
      <c r="K602" s="11">
        <f>IF(B602="","",MAX(0,IFERROR(I602,0)*IFERROR(H602,0)-IFERROR(J602,0)))</f>
        <v/>
      </c>
      <c r="L602" s="8" t="n"/>
      <c r="M602" s="11">
        <f>IF(B602="","",MAX(0,K602-L602))</f>
        <v/>
      </c>
      <c r="N602" s="11">
        <f>IF(B602="","",IF(L602&gt;=K602,"Paid",IF(L602&gt;0,"Partial","Unpaid")))</f>
        <v/>
      </c>
      <c r="O602" s="5" t="n"/>
      <c r="P602" s="8" t="n"/>
      <c r="Q602" s="8" t="n"/>
      <c r="R602" s="11">
        <f>IF(B602="","",IFERROR(K602,0)+IFERROR(P602,0)-IFERROR(Q602,0))</f>
        <v/>
      </c>
      <c r="S602" s="5" t="n"/>
      <c r="T602" s="5" t="n"/>
      <c r="U602" s="11">
        <f>IF(B602="","",TRIM(LOWER(C602)&amp;"|"&amp;LOWER(D602)))</f>
        <v/>
      </c>
    </row>
    <row r="603">
      <c r="A603" s="11">
        <f>IF(B603="","",TEXT(ROW()-3,"""DC-""0000"))</f>
        <v/>
      </c>
      <c r="B603" s="5" t="n"/>
      <c r="C603" s="5" t="n"/>
      <c r="D603" s="5" t="n"/>
      <c r="E603" s="5" t="n"/>
      <c r="F603" s="5" t="n"/>
      <c r="G603" s="5" t="n"/>
      <c r="H603" s="8" t="n"/>
      <c r="I603" s="8" t="n"/>
      <c r="J603" s="8" t="n"/>
      <c r="K603" s="11">
        <f>IF(B603="","",MAX(0,IFERROR(I603,0)*IFERROR(H603,0)-IFERROR(J603,0)))</f>
        <v/>
      </c>
      <c r="L603" s="8" t="n"/>
      <c r="M603" s="11">
        <f>IF(B603="","",MAX(0,K603-L603))</f>
        <v/>
      </c>
      <c r="N603" s="11">
        <f>IF(B603="","",IF(L603&gt;=K603,"Paid",IF(L603&gt;0,"Partial","Unpaid")))</f>
        <v/>
      </c>
      <c r="O603" s="5" t="n"/>
      <c r="P603" s="8" t="n"/>
      <c r="Q603" s="8" t="n"/>
      <c r="R603" s="11">
        <f>IF(B603="","",IFERROR(K603,0)+IFERROR(P603,0)-IFERROR(Q603,0))</f>
        <v/>
      </c>
      <c r="S603" s="5" t="n"/>
      <c r="T603" s="5" t="n"/>
      <c r="U603" s="11">
        <f>IF(B603="","",TRIM(LOWER(C603)&amp;"|"&amp;LOWER(D603)))</f>
        <v/>
      </c>
    </row>
    <row r="604">
      <c r="A604" s="11">
        <f>IF(B604="","",TEXT(ROW()-3,"""DC-""0000"))</f>
        <v/>
      </c>
      <c r="B604" s="5" t="n"/>
      <c r="C604" s="5" t="n"/>
      <c r="D604" s="5" t="n"/>
      <c r="E604" s="5" t="n"/>
      <c r="F604" s="5" t="n"/>
      <c r="G604" s="5" t="n"/>
      <c r="H604" s="8" t="n"/>
      <c r="I604" s="8" t="n"/>
      <c r="J604" s="8" t="n"/>
      <c r="K604" s="11">
        <f>IF(B604="","",MAX(0,IFERROR(I604,0)*IFERROR(H604,0)-IFERROR(J604,0)))</f>
        <v/>
      </c>
      <c r="L604" s="8" t="n"/>
      <c r="M604" s="11">
        <f>IF(B604="","",MAX(0,K604-L604))</f>
        <v/>
      </c>
      <c r="N604" s="11">
        <f>IF(B604="","",IF(L604&gt;=K604,"Paid",IF(L604&gt;0,"Partial","Unpaid")))</f>
        <v/>
      </c>
      <c r="O604" s="5" t="n"/>
      <c r="P604" s="8" t="n"/>
      <c r="Q604" s="8" t="n"/>
      <c r="R604" s="11">
        <f>IF(B604="","",IFERROR(K604,0)+IFERROR(P604,0)-IFERROR(Q604,0))</f>
        <v/>
      </c>
      <c r="S604" s="5" t="n"/>
      <c r="T604" s="5" t="n"/>
      <c r="U604" s="11">
        <f>IF(B604="","",TRIM(LOWER(C604)&amp;"|"&amp;LOWER(D604)))</f>
        <v/>
      </c>
    </row>
    <row r="605">
      <c r="A605" s="11">
        <f>IF(B605="","",TEXT(ROW()-3,"""DC-""0000"))</f>
        <v/>
      </c>
      <c r="B605" s="5" t="n"/>
      <c r="C605" s="5" t="n"/>
      <c r="D605" s="5" t="n"/>
      <c r="E605" s="5" t="n"/>
      <c r="F605" s="5" t="n"/>
      <c r="G605" s="5" t="n"/>
      <c r="H605" s="8" t="n"/>
      <c r="I605" s="8" t="n"/>
      <c r="J605" s="8" t="n"/>
      <c r="K605" s="11">
        <f>IF(B605="","",MAX(0,IFERROR(I605,0)*IFERROR(H605,0)-IFERROR(J605,0)))</f>
        <v/>
      </c>
      <c r="L605" s="8" t="n"/>
      <c r="M605" s="11">
        <f>IF(B605="","",MAX(0,K605-L605))</f>
        <v/>
      </c>
      <c r="N605" s="11">
        <f>IF(B605="","",IF(L605&gt;=K605,"Paid",IF(L605&gt;0,"Partial","Unpaid")))</f>
        <v/>
      </c>
      <c r="O605" s="5" t="n"/>
      <c r="P605" s="8" t="n"/>
      <c r="Q605" s="8" t="n"/>
      <c r="R605" s="11">
        <f>IF(B605="","",IFERROR(K605,0)+IFERROR(P605,0)-IFERROR(Q605,0))</f>
        <v/>
      </c>
      <c r="S605" s="5" t="n"/>
      <c r="T605" s="5" t="n"/>
      <c r="U605" s="11">
        <f>IF(B605="","",TRIM(LOWER(C605)&amp;"|"&amp;LOWER(D605)))</f>
        <v/>
      </c>
    </row>
    <row r="606">
      <c r="A606" s="11">
        <f>IF(B606="","",TEXT(ROW()-3,"""DC-""0000"))</f>
        <v/>
      </c>
      <c r="B606" s="5" t="n"/>
      <c r="C606" s="5" t="n"/>
      <c r="D606" s="5" t="n"/>
      <c r="E606" s="5" t="n"/>
      <c r="F606" s="5" t="n"/>
      <c r="G606" s="5" t="n"/>
      <c r="H606" s="8" t="n"/>
      <c r="I606" s="8" t="n"/>
      <c r="J606" s="8" t="n"/>
      <c r="K606" s="11">
        <f>IF(B606="","",MAX(0,IFERROR(I606,0)*IFERROR(H606,0)-IFERROR(J606,0)))</f>
        <v/>
      </c>
      <c r="L606" s="8" t="n"/>
      <c r="M606" s="11">
        <f>IF(B606="","",MAX(0,K606-L606))</f>
        <v/>
      </c>
      <c r="N606" s="11">
        <f>IF(B606="","",IF(L606&gt;=K606,"Paid",IF(L606&gt;0,"Partial","Unpaid")))</f>
        <v/>
      </c>
      <c r="O606" s="5" t="n"/>
      <c r="P606" s="8" t="n"/>
      <c r="Q606" s="8" t="n"/>
      <c r="R606" s="11">
        <f>IF(B606="","",IFERROR(K606,0)+IFERROR(P606,0)-IFERROR(Q606,0))</f>
        <v/>
      </c>
      <c r="S606" s="5" t="n"/>
      <c r="T606" s="5" t="n"/>
      <c r="U606" s="11">
        <f>IF(B606="","",TRIM(LOWER(C606)&amp;"|"&amp;LOWER(D606)))</f>
        <v/>
      </c>
    </row>
    <row r="607">
      <c r="A607" s="11">
        <f>IF(B607="","",TEXT(ROW()-3,"""DC-""0000"))</f>
        <v/>
      </c>
      <c r="B607" s="5" t="n"/>
      <c r="C607" s="5" t="n"/>
      <c r="D607" s="5" t="n"/>
      <c r="E607" s="5" t="n"/>
      <c r="F607" s="5" t="n"/>
      <c r="G607" s="5" t="n"/>
      <c r="H607" s="8" t="n"/>
      <c r="I607" s="8" t="n"/>
      <c r="J607" s="8" t="n"/>
      <c r="K607" s="11">
        <f>IF(B607="","",MAX(0,IFERROR(I607,0)*IFERROR(H607,0)-IFERROR(J607,0)))</f>
        <v/>
      </c>
      <c r="L607" s="8" t="n"/>
      <c r="M607" s="11">
        <f>IF(B607="","",MAX(0,K607-L607))</f>
        <v/>
      </c>
      <c r="N607" s="11">
        <f>IF(B607="","",IF(L607&gt;=K607,"Paid",IF(L607&gt;0,"Partial","Unpaid")))</f>
        <v/>
      </c>
      <c r="O607" s="5" t="n"/>
      <c r="P607" s="8" t="n"/>
      <c r="Q607" s="8" t="n"/>
      <c r="R607" s="11">
        <f>IF(B607="","",IFERROR(K607,0)+IFERROR(P607,0)-IFERROR(Q607,0))</f>
        <v/>
      </c>
      <c r="S607" s="5" t="n"/>
      <c r="T607" s="5" t="n"/>
      <c r="U607" s="11">
        <f>IF(B607="","",TRIM(LOWER(C607)&amp;"|"&amp;LOWER(D607)))</f>
        <v/>
      </c>
    </row>
    <row r="608">
      <c r="A608" s="11">
        <f>IF(B608="","",TEXT(ROW()-3,"""DC-""0000"))</f>
        <v/>
      </c>
      <c r="B608" s="5" t="n"/>
      <c r="C608" s="5" t="n"/>
      <c r="D608" s="5" t="n"/>
      <c r="E608" s="5" t="n"/>
      <c r="F608" s="5" t="n"/>
      <c r="G608" s="5" t="n"/>
      <c r="H608" s="8" t="n"/>
      <c r="I608" s="8" t="n"/>
      <c r="J608" s="8" t="n"/>
      <c r="K608" s="11">
        <f>IF(B608="","",MAX(0,IFERROR(I608,0)*IFERROR(H608,0)-IFERROR(J608,0)))</f>
        <v/>
      </c>
      <c r="L608" s="8" t="n"/>
      <c r="M608" s="11">
        <f>IF(B608="","",MAX(0,K608-L608))</f>
        <v/>
      </c>
      <c r="N608" s="11">
        <f>IF(B608="","",IF(L608&gt;=K608,"Paid",IF(L608&gt;0,"Partial","Unpaid")))</f>
        <v/>
      </c>
      <c r="O608" s="5" t="n"/>
      <c r="P608" s="8" t="n"/>
      <c r="Q608" s="8" t="n"/>
      <c r="R608" s="11">
        <f>IF(B608="","",IFERROR(K608,0)+IFERROR(P608,0)-IFERROR(Q608,0))</f>
        <v/>
      </c>
      <c r="S608" s="5" t="n"/>
      <c r="T608" s="5" t="n"/>
      <c r="U608" s="11">
        <f>IF(B608="","",TRIM(LOWER(C608)&amp;"|"&amp;LOWER(D608)))</f>
        <v/>
      </c>
    </row>
    <row r="609">
      <c r="A609" s="11">
        <f>IF(B609="","",TEXT(ROW()-3,"""DC-""0000"))</f>
        <v/>
      </c>
      <c r="B609" s="5" t="n"/>
      <c r="C609" s="5" t="n"/>
      <c r="D609" s="5" t="n"/>
      <c r="E609" s="5" t="n"/>
      <c r="F609" s="5" t="n"/>
      <c r="G609" s="5" t="n"/>
      <c r="H609" s="8" t="n"/>
      <c r="I609" s="8" t="n"/>
      <c r="J609" s="8" t="n"/>
      <c r="K609" s="11">
        <f>IF(B609="","",MAX(0,IFERROR(I609,0)*IFERROR(H609,0)-IFERROR(J609,0)))</f>
        <v/>
      </c>
      <c r="L609" s="8" t="n"/>
      <c r="M609" s="11">
        <f>IF(B609="","",MAX(0,K609-L609))</f>
        <v/>
      </c>
      <c r="N609" s="11">
        <f>IF(B609="","",IF(L609&gt;=K609,"Paid",IF(L609&gt;0,"Partial","Unpaid")))</f>
        <v/>
      </c>
      <c r="O609" s="5" t="n"/>
      <c r="P609" s="8" t="n"/>
      <c r="Q609" s="8" t="n"/>
      <c r="R609" s="11">
        <f>IF(B609="","",IFERROR(K609,0)+IFERROR(P609,0)-IFERROR(Q609,0))</f>
        <v/>
      </c>
      <c r="S609" s="5" t="n"/>
      <c r="T609" s="5" t="n"/>
      <c r="U609" s="11">
        <f>IF(B609="","",TRIM(LOWER(C609)&amp;"|"&amp;LOWER(D609)))</f>
        <v/>
      </c>
    </row>
    <row r="610">
      <c r="A610" s="11">
        <f>IF(B610="","",TEXT(ROW()-3,"""DC-""0000"))</f>
        <v/>
      </c>
      <c r="B610" s="5" t="n"/>
      <c r="C610" s="5" t="n"/>
      <c r="D610" s="5" t="n"/>
      <c r="E610" s="5" t="n"/>
      <c r="F610" s="5" t="n"/>
      <c r="G610" s="5" t="n"/>
      <c r="H610" s="8" t="n"/>
      <c r="I610" s="8" t="n"/>
      <c r="J610" s="8" t="n"/>
      <c r="K610" s="11">
        <f>IF(B610="","",MAX(0,IFERROR(I610,0)*IFERROR(H610,0)-IFERROR(J610,0)))</f>
        <v/>
      </c>
      <c r="L610" s="8" t="n"/>
      <c r="M610" s="11">
        <f>IF(B610="","",MAX(0,K610-L610))</f>
        <v/>
      </c>
      <c r="N610" s="11">
        <f>IF(B610="","",IF(L610&gt;=K610,"Paid",IF(L610&gt;0,"Partial","Unpaid")))</f>
        <v/>
      </c>
      <c r="O610" s="5" t="n"/>
      <c r="P610" s="8" t="n"/>
      <c r="Q610" s="8" t="n"/>
      <c r="R610" s="11">
        <f>IF(B610="","",IFERROR(K610,0)+IFERROR(P610,0)-IFERROR(Q610,0))</f>
        <v/>
      </c>
      <c r="S610" s="5" t="n"/>
      <c r="T610" s="5" t="n"/>
      <c r="U610" s="11">
        <f>IF(B610="","",TRIM(LOWER(C610)&amp;"|"&amp;LOWER(D610)))</f>
        <v/>
      </c>
    </row>
    <row r="611">
      <c r="A611" s="11">
        <f>IF(B611="","",TEXT(ROW()-3,"""DC-""0000"))</f>
        <v/>
      </c>
      <c r="B611" s="5" t="n"/>
      <c r="C611" s="5" t="n"/>
      <c r="D611" s="5" t="n"/>
      <c r="E611" s="5" t="n"/>
      <c r="F611" s="5" t="n"/>
      <c r="G611" s="5" t="n"/>
      <c r="H611" s="8" t="n"/>
      <c r="I611" s="8" t="n"/>
      <c r="J611" s="8" t="n"/>
      <c r="K611" s="11">
        <f>IF(B611="","",MAX(0,IFERROR(I611,0)*IFERROR(H611,0)-IFERROR(J611,0)))</f>
        <v/>
      </c>
      <c r="L611" s="8" t="n"/>
      <c r="M611" s="11">
        <f>IF(B611="","",MAX(0,K611-L611))</f>
        <v/>
      </c>
      <c r="N611" s="11">
        <f>IF(B611="","",IF(L611&gt;=K611,"Paid",IF(L611&gt;0,"Partial","Unpaid")))</f>
        <v/>
      </c>
      <c r="O611" s="5" t="n"/>
      <c r="P611" s="8" t="n"/>
      <c r="Q611" s="8" t="n"/>
      <c r="R611" s="11">
        <f>IF(B611="","",IFERROR(K611,0)+IFERROR(P611,0)-IFERROR(Q611,0))</f>
        <v/>
      </c>
      <c r="S611" s="5" t="n"/>
      <c r="T611" s="5" t="n"/>
      <c r="U611" s="11">
        <f>IF(B611="","",TRIM(LOWER(C611)&amp;"|"&amp;LOWER(D611)))</f>
        <v/>
      </c>
    </row>
    <row r="612">
      <c r="A612" s="11">
        <f>IF(B612="","",TEXT(ROW()-3,"""DC-""0000"))</f>
        <v/>
      </c>
      <c r="B612" s="5" t="n"/>
      <c r="C612" s="5" t="n"/>
      <c r="D612" s="5" t="n"/>
      <c r="E612" s="5" t="n"/>
      <c r="F612" s="5" t="n"/>
      <c r="G612" s="5" t="n"/>
      <c r="H612" s="8" t="n"/>
      <c r="I612" s="8" t="n"/>
      <c r="J612" s="8" t="n"/>
      <c r="K612" s="11">
        <f>IF(B612="","",MAX(0,IFERROR(I612,0)*IFERROR(H612,0)-IFERROR(J612,0)))</f>
        <v/>
      </c>
      <c r="L612" s="8" t="n"/>
      <c r="M612" s="11">
        <f>IF(B612="","",MAX(0,K612-L612))</f>
        <v/>
      </c>
      <c r="N612" s="11">
        <f>IF(B612="","",IF(L612&gt;=K612,"Paid",IF(L612&gt;0,"Partial","Unpaid")))</f>
        <v/>
      </c>
      <c r="O612" s="5" t="n"/>
      <c r="P612" s="8" t="n"/>
      <c r="Q612" s="8" t="n"/>
      <c r="R612" s="11">
        <f>IF(B612="","",IFERROR(K612,0)+IFERROR(P612,0)-IFERROR(Q612,0))</f>
        <v/>
      </c>
      <c r="S612" s="5" t="n"/>
      <c r="T612" s="5" t="n"/>
      <c r="U612" s="11">
        <f>IF(B612="","",TRIM(LOWER(C612)&amp;"|"&amp;LOWER(D612)))</f>
        <v/>
      </c>
    </row>
    <row r="613">
      <c r="A613" s="11">
        <f>IF(B613="","",TEXT(ROW()-3,"""DC-""0000"))</f>
        <v/>
      </c>
      <c r="B613" s="5" t="n"/>
      <c r="C613" s="5" t="n"/>
      <c r="D613" s="5" t="n"/>
      <c r="E613" s="5" t="n"/>
      <c r="F613" s="5" t="n"/>
      <c r="G613" s="5" t="n"/>
      <c r="H613" s="8" t="n"/>
      <c r="I613" s="8" t="n"/>
      <c r="J613" s="8" t="n"/>
      <c r="K613" s="11">
        <f>IF(B613="","",MAX(0,IFERROR(I613,0)*IFERROR(H613,0)-IFERROR(J613,0)))</f>
        <v/>
      </c>
      <c r="L613" s="8" t="n"/>
      <c r="M613" s="11">
        <f>IF(B613="","",MAX(0,K613-L613))</f>
        <v/>
      </c>
      <c r="N613" s="11">
        <f>IF(B613="","",IF(L613&gt;=K613,"Paid",IF(L613&gt;0,"Partial","Unpaid")))</f>
        <v/>
      </c>
      <c r="O613" s="5" t="n"/>
      <c r="P613" s="8" t="n"/>
      <c r="Q613" s="8" t="n"/>
      <c r="R613" s="11">
        <f>IF(B613="","",IFERROR(K613,0)+IFERROR(P613,0)-IFERROR(Q613,0))</f>
        <v/>
      </c>
      <c r="S613" s="5" t="n"/>
      <c r="T613" s="5" t="n"/>
      <c r="U613" s="11">
        <f>IF(B613="","",TRIM(LOWER(C613)&amp;"|"&amp;LOWER(D613)))</f>
        <v/>
      </c>
    </row>
    <row r="614">
      <c r="A614" s="11">
        <f>IF(B614="","",TEXT(ROW()-3,"""DC-""0000"))</f>
        <v/>
      </c>
      <c r="B614" s="5" t="n"/>
      <c r="C614" s="5" t="n"/>
      <c r="D614" s="5" t="n"/>
      <c r="E614" s="5" t="n"/>
      <c r="F614" s="5" t="n"/>
      <c r="G614" s="5" t="n"/>
      <c r="H614" s="8" t="n"/>
      <c r="I614" s="8" t="n"/>
      <c r="J614" s="8" t="n"/>
      <c r="K614" s="11">
        <f>IF(B614="","",MAX(0,IFERROR(I614,0)*IFERROR(H614,0)-IFERROR(J614,0)))</f>
        <v/>
      </c>
      <c r="L614" s="8" t="n"/>
      <c r="M614" s="11">
        <f>IF(B614="","",MAX(0,K614-L614))</f>
        <v/>
      </c>
      <c r="N614" s="11">
        <f>IF(B614="","",IF(L614&gt;=K614,"Paid",IF(L614&gt;0,"Partial","Unpaid")))</f>
        <v/>
      </c>
      <c r="O614" s="5" t="n"/>
      <c r="P614" s="8" t="n"/>
      <c r="Q614" s="8" t="n"/>
      <c r="R614" s="11">
        <f>IF(B614="","",IFERROR(K614,0)+IFERROR(P614,0)-IFERROR(Q614,0))</f>
        <v/>
      </c>
      <c r="S614" s="5" t="n"/>
      <c r="T614" s="5" t="n"/>
      <c r="U614" s="11">
        <f>IF(B614="","",TRIM(LOWER(C614)&amp;"|"&amp;LOWER(D614)))</f>
        <v/>
      </c>
    </row>
    <row r="615">
      <c r="A615" s="11">
        <f>IF(B615="","",TEXT(ROW()-3,"""DC-""0000"))</f>
        <v/>
      </c>
      <c r="B615" s="5" t="n"/>
      <c r="C615" s="5" t="n"/>
      <c r="D615" s="5" t="n"/>
      <c r="E615" s="5" t="n"/>
      <c r="F615" s="5" t="n"/>
      <c r="G615" s="5" t="n"/>
      <c r="H615" s="8" t="n"/>
      <c r="I615" s="8" t="n"/>
      <c r="J615" s="8" t="n"/>
      <c r="K615" s="11">
        <f>IF(B615="","",MAX(0,IFERROR(I615,0)*IFERROR(H615,0)-IFERROR(J615,0)))</f>
        <v/>
      </c>
      <c r="L615" s="8" t="n"/>
      <c r="M615" s="11">
        <f>IF(B615="","",MAX(0,K615-L615))</f>
        <v/>
      </c>
      <c r="N615" s="11">
        <f>IF(B615="","",IF(L615&gt;=K615,"Paid",IF(L615&gt;0,"Partial","Unpaid")))</f>
        <v/>
      </c>
      <c r="O615" s="5" t="n"/>
      <c r="P615" s="8" t="n"/>
      <c r="Q615" s="8" t="n"/>
      <c r="R615" s="11">
        <f>IF(B615="","",IFERROR(K615,0)+IFERROR(P615,0)-IFERROR(Q615,0))</f>
        <v/>
      </c>
      <c r="S615" s="5" t="n"/>
      <c r="T615" s="5" t="n"/>
      <c r="U615" s="11">
        <f>IF(B615="","",TRIM(LOWER(C615)&amp;"|"&amp;LOWER(D615)))</f>
        <v/>
      </c>
    </row>
    <row r="616">
      <c r="A616" s="11">
        <f>IF(B616="","",TEXT(ROW()-3,"""DC-""0000"))</f>
        <v/>
      </c>
      <c r="B616" s="5" t="n"/>
      <c r="C616" s="5" t="n"/>
      <c r="D616" s="5" t="n"/>
      <c r="E616" s="5" t="n"/>
      <c r="F616" s="5" t="n"/>
      <c r="G616" s="5" t="n"/>
      <c r="H616" s="8" t="n"/>
      <c r="I616" s="8" t="n"/>
      <c r="J616" s="8" t="n"/>
      <c r="K616" s="11">
        <f>IF(B616="","",MAX(0,IFERROR(I616,0)*IFERROR(H616,0)-IFERROR(J616,0)))</f>
        <v/>
      </c>
      <c r="L616" s="8" t="n"/>
      <c r="M616" s="11">
        <f>IF(B616="","",MAX(0,K616-L616))</f>
        <v/>
      </c>
      <c r="N616" s="11">
        <f>IF(B616="","",IF(L616&gt;=K616,"Paid",IF(L616&gt;0,"Partial","Unpaid")))</f>
        <v/>
      </c>
      <c r="O616" s="5" t="n"/>
      <c r="P616" s="8" t="n"/>
      <c r="Q616" s="8" t="n"/>
      <c r="R616" s="11">
        <f>IF(B616="","",IFERROR(K616,0)+IFERROR(P616,0)-IFERROR(Q616,0))</f>
        <v/>
      </c>
      <c r="S616" s="5" t="n"/>
      <c r="T616" s="5" t="n"/>
      <c r="U616" s="11">
        <f>IF(B616="","",TRIM(LOWER(C616)&amp;"|"&amp;LOWER(D616)))</f>
        <v/>
      </c>
    </row>
    <row r="617">
      <c r="A617" s="11">
        <f>IF(B617="","",TEXT(ROW()-3,"""DC-""0000"))</f>
        <v/>
      </c>
      <c r="B617" s="5" t="n"/>
      <c r="C617" s="5" t="n"/>
      <c r="D617" s="5" t="n"/>
      <c r="E617" s="5" t="n"/>
      <c r="F617" s="5" t="n"/>
      <c r="G617" s="5" t="n"/>
      <c r="H617" s="8" t="n"/>
      <c r="I617" s="8" t="n"/>
      <c r="J617" s="8" t="n"/>
      <c r="K617" s="11">
        <f>IF(B617="","",MAX(0,IFERROR(I617,0)*IFERROR(H617,0)-IFERROR(J617,0)))</f>
        <v/>
      </c>
      <c r="L617" s="8" t="n"/>
      <c r="M617" s="11">
        <f>IF(B617="","",MAX(0,K617-L617))</f>
        <v/>
      </c>
      <c r="N617" s="11">
        <f>IF(B617="","",IF(L617&gt;=K617,"Paid",IF(L617&gt;0,"Partial","Unpaid")))</f>
        <v/>
      </c>
      <c r="O617" s="5" t="n"/>
      <c r="P617" s="8" t="n"/>
      <c r="Q617" s="8" t="n"/>
      <c r="R617" s="11">
        <f>IF(B617="","",IFERROR(K617,0)+IFERROR(P617,0)-IFERROR(Q617,0))</f>
        <v/>
      </c>
      <c r="S617" s="5" t="n"/>
      <c r="T617" s="5" t="n"/>
      <c r="U617" s="11">
        <f>IF(B617="","",TRIM(LOWER(C617)&amp;"|"&amp;LOWER(D617)))</f>
        <v/>
      </c>
    </row>
    <row r="618">
      <c r="A618" s="11">
        <f>IF(B618="","",TEXT(ROW()-3,"""DC-""0000"))</f>
        <v/>
      </c>
      <c r="B618" s="5" t="n"/>
      <c r="C618" s="5" t="n"/>
      <c r="D618" s="5" t="n"/>
      <c r="E618" s="5" t="n"/>
      <c r="F618" s="5" t="n"/>
      <c r="G618" s="5" t="n"/>
      <c r="H618" s="8" t="n"/>
      <c r="I618" s="8" t="n"/>
      <c r="J618" s="8" t="n"/>
      <c r="K618" s="11">
        <f>IF(B618="","",MAX(0,IFERROR(I618,0)*IFERROR(H618,0)-IFERROR(J618,0)))</f>
        <v/>
      </c>
      <c r="L618" s="8" t="n"/>
      <c r="M618" s="11">
        <f>IF(B618="","",MAX(0,K618-L618))</f>
        <v/>
      </c>
      <c r="N618" s="11">
        <f>IF(B618="","",IF(L618&gt;=K618,"Paid",IF(L618&gt;0,"Partial","Unpaid")))</f>
        <v/>
      </c>
      <c r="O618" s="5" t="n"/>
      <c r="P618" s="8" t="n"/>
      <c r="Q618" s="8" t="n"/>
      <c r="R618" s="11">
        <f>IF(B618="","",IFERROR(K618,0)+IFERROR(P618,0)-IFERROR(Q618,0))</f>
        <v/>
      </c>
      <c r="S618" s="5" t="n"/>
      <c r="T618" s="5" t="n"/>
      <c r="U618" s="11">
        <f>IF(B618="","",TRIM(LOWER(C618)&amp;"|"&amp;LOWER(D618)))</f>
        <v/>
      </c>
    </row>
    <row r="619">
      <c r="A619" s="11">
        <f>IF(B619="","",TEXT(ROW()-3,"""DC-""0000"))</f>
        <v/>
      </c>
      <c r="B619" s="5" t="n"/>
      <c r="C619" s="5" t="n"/>
      <c r="D619" s="5" t="n"/>
      <c r="E619" s="5" t="n"/>
      <c r="F619" s="5" t="n"/>
      <c r="G619" s="5" t="n"/>
      <c r="H619" s="8" t="n"/>
      <c r="I619" s="8" t="n"/>
      <c r="J619" s="8" t="n"/>
      <c r="K619" s="11">
        <f>IF(B619="","",MAX(0,IFERROR(I619,0)*IFERROR(H619,0)-IFERROR(J619,0)))</f>
        <v/>
      </c>
      <c r="L619" s="8" t="n"/>
      <c r="M619" s="11">
        <f>IF(B619="","",MAX(0,K619-L619))</f>
        <v/>
      </c>
      <c r="N619" s="11">
        <f>IF(B619="","",IF(L619&gt;=K619,"Paid",IF(L619&gt;0,"Partial","Unpaid")))</f>
        <v/>
      </c>
      <c r="O619" s="5" t="n"/>
      <c r="P619" s="8" t="n"/>
      <c r="Q619" s="8" t="n"/>
      <c r="R619" s="11">
        <f>IF(B619="","",IFERROR(K619,0)+IFERROR(P619,0)-IFERROR(Q619,0))</f>
        <v/>
      </c>
      <c r="S619" s="5" t="n"/>
      <c r="T619" s="5" t="n"/>
      <c r="U619" s="11">
        <f>IF(B619="","",TRIM(LOWER(C619)&amp;"|"&amp;LOWER(D619)))</f>
        <v/>
      </c>
    </row>
    <row r="620">
      <c r="A620" s="11">
        <f>IF(B620="","",TEXT(ROW()-3,"""DC-""0000"))</f>
        <v/>
      </c>
      <c r="B620" s="5" t="n"/>
      <c r="C620" s="5" t="n"/>
      <c r="D620" s="5" t="n"/>
      <c r="E620" s="5" t="n"/>
      <c r="F620" s="5" t="n"/>
      <c r="G620" s="5" t="n"/>
      <c r="H620" s="8" t="n"/>
      <c r="I620" s="8" t="n"/>
      <c r="J620" s="8" t="n"/>
      <c r="K620" s="11">
        <f>IF(B620="","",MAX(0,IFERROR(I620,0)*IFERROR(H620,0)-IFERROR(J620,0)))</f>
        <v/>
      </c>
      <c r="L620" s="8" t="n"/>
      <c r="M620" s="11">
        <f>IF(B620="","",MAX(0,K620-L620))</f>
        <v/>
      </c>
      <c r="N620" s="11">
        <f>IF(B620="","",IF(L620&gt;=K620,"Paid",IF(L620&gt;0,"Partial","Unpaid")))</f>
        <v/>
      </c>
      <c r="O620" s="5" t="n"/>
      <c r="P620" s="8" t="n"/>
      <c r="Q620" s="8" t="n"/>
      <c r="R620" s="11">
        <f>IF(B620="","",IFERROR(K620,0)+IFERROR(P620,0)-IFERROR(Q620,0))</f>
        <v/>
      </c>
      <c r="S620" s="5" t="n"/>
      <c r="T620" s="5" t="n"/>
      <c r="U620" s="11">
        <f>IF(B620="","",TRIM(LOWER(C620)&amp;"|"&amp;LOWER(D620)))</f>
        <v/>
      </c>
    </row>
    <row r="621">
      <c r="A621" s="11">
        <f>IF(B621="","",TEXT(ROW()-3,"""DC-""0000"))</f>
        <v/>
      </c>
      <c r="B621" s="5" t="n"/>
      <c r="C621" s="5" t="n"/>
      <c r="D621" s="5" t="n"/>
      <c r="E621" s="5" t="n"/>
      <c r="F621" s="5" t="n"/>
      <c r="G621" s="5" t="n"/>
      <c r="H621" s="8" t="n"/>
      <c r="I621" s="8" t="n"/>
      <c r="J621" s="8" t="n"/>
      <c r="K621" s="11">
        <f>IF(B621="","",MAX(0,IFERROR(I621,0)*IFERROR(H621,0)-IFERROR(J621,0)))</f>
        <v/>
      </c>
      <c r="L621" s="8" t="n"/>
      <c r="M621" s="11">
        <f>IF(B621="","",MAX(0,K621-L621))</f>
        <v/>
      </c>
      <c r="N621" s="11">
        <f>IF(B621="","",IF(L621&gt;=K621,"Paid",IF(L621&gt;0,"Partial","Unpaid")))</f>
        <v/>
      </c>
      <c r="O621" s="5" t="n"/>
      <c r="P621" s="8" t="n"/>
      <c r="Q621" s="8" t="n"/>
      <c r="R621" s="11">
        <f>IF(B621="","",IFERROR(K621,0)+IFERROR(P621,0)-IFERROR(Q621,0))</f>
        <v/>
      </c>
      <c r="S621" s="5" t="n"/>
      <c r="T621" s="5" t="n"/>
      <c r="U621" s="11">
        <f>IF(B621="","",TRIM(LOWER(C621)&amp;"|"&amp;LOWER(D621)))</f>
        <v/>
      </c>
    </row>
    <row r="622">
      <c r="A622" s="11">
        <f>IF(B622="","",TEXT(ROW()-3,"""DC-""0000"))</f>
        <v/>
      </c>
      <c r="B622" s="5" t="n"/>
      <c r="C622" s="5" t="n"/>
      <c r="D622" s="5" t="n"/>
      <c r="E622" s="5" t="n"/>
      <c r="F622" s="5" t="n"/>
      <c r="G622" s="5" t="n"/>
      <c r="H622" s="8" t="n"/>
      <c r="I622" s="8" t="n"/>
      <c r="J622" s="8" t="n"/>
      <c r="K622" s="11">
        <f>IF(B622="","",MAX(0,IFERROR(I622,0)*IFERROR(H622,0)-IFERROR(J622,0)))</f>
        <v/>
      </c>
      <c r="L622" s="8" t="n"/>
      <c r="M622" s="11">
        <f>IF(B622="","",MAX(0,K622-L622))</f>
        <v/>
      </c>
      <c r="N622" s="11">
        <f>IF(B622="","",IF(L622&gt;=K622,"Paid",IF(L622&gt;0,"Partial","Unpaid")))</f>
        <v/>
      </c>
      <c r="O622" s="5" t="n"/>
      <c r="P622" s="8" t="n"/>
      <c r="Q622" s="8" t="n"/>
      <c r="R622" s="11">
        <f>IF(B622="","",IFERROR(K622,0)+IFERROR(P622,0)-IFERROR(Q622,0))</f>
        <v/>
      </c>
      <c r="S622" s="5" t="n"/>
      <c r="T622" s="5" t="n"/>
      <c r="U622" s="11">
        <f>IF(B622="","",TRIM(LOWER(C622)&amp;"|"&amp;LOWER(D622)))</f>
        <v/>
      </c>
    </row>
    <row r="623">
      <c r="A623" s="11">
        <f>IF(B623="","",TEXT(ROW()-3,"""DC-""0000"))</f>
        <v/>
      </c>
      <c r="B623" s="5" t="n"/>
      <c r="C623" s="5" t="n"/>
      <c r="D623" s="5" t="n"/>
      <c r="E623" s="5" t="n"/>
      <c r="F623" s="5" t="n"/>
      <c r="G623" s="5" t="n"/>
      <c r="H623" s="8" t="n"/>
      <c r="I623" s="8" t="n"/>
      <c r="J623" s="8" t="n"/>
      <c r="K623" s="11">
        <f>IF(B623="","",MAX(0,IFERROR(I623,0)*IFERROR(H623,0)-IFERROR(J623,0)))</f>
        <v/>
      </c>
      <c r="L623" s="8" t="n"/>
      <c r="M623" s="11">
        <f>IF(B623="","",MAX(0,K623-L623))</f>
        <v/>
      </c>
      <c r="N623" s="11">
        <f>IF(B623="","",IF(L623&gt;=K623,"Paid",IF(L623&gt;0,"Partial","Unpaid")))</f>
        <v/>
      </c>
      <c r="O623" s="5" t="n"/>
      <c r="P623" s="8" t="n"/>
      <c r="Q623" s="8" t="n"/>
      <c r="R623" s="11">
        <f>IF(B623="","",IFERROR(K623,0)+IFERROR(P623,0)-IFERROR(Q623,0))</f>
        <v/>
      </c>
      <c r="S623" s="5" t="n"/>
      <c r="T623" s="5" t="n"/>
      <c r="U623" s="11">
        <f>IF(B623="","",TRIM(LOWER(C623)&amp;"|"&amp;LOWER(D623)))</f>
        <v/>
      </c>
    </row>
    <row r="624">
      <c r="A624" s="11">
        <f>IF(B624="","",TEXT(ROW()-3,"""DC-""0000"))</f>
        <v/>
      </c>
      <c r="B624" s="5" t="n"/>
      <c r="C624" s="5" t="n"/>
      <c r="D624" s="5" t="n"/>
      <c r="E624" s="5" t="n"/>
      <c r="F624" s="5" t="n"/>
      <c r="G624" s="5" t="n"/>
      <c r="H624" s="8" t="n"/>
      <c r="I624" s="8" t="n"/>
      <c r="J624" s="8" t="n"/>
      <c r="K624" s="11">
        <f>IF(B624="","",MAX(0,IFERROR(I624,0)*IFERROR(H624,0)-IFERROR(J624,0)))</f>
        <v/>
      </c>
      <c r="L624" s="8" t="n"/>
      <c r="M624" s="11">
        <f>IF(B624="","",MAX(0,K624-L624))</f>
        <v/>
      </c>
      <c r="N624" s="11">
        <f>IF(B624="","",IF(L624&gt;=K624,"Paid",IF(L624&gt;0,"Partial","Unpaid")))</f>
        <v/>
      </c>
      <c r="O624" s="5" t="n"/>
      <c r="P624" s="8" t="n"/>
      <c r="Q624" s="8" t="n"/>
      <c r="R624" s="11">
        <f>IF(B624="","",IFERROR(K624,0)+IFERROR(P624,0)-IFERROR(Q624,0))</f>
        <v/>
      </c>
      <c r="S624" s="5" t="n"/>
      <c r="T624" s="5" t="n"/>
      <c r="U624" s="11">
        <f>IF(B624="","",TRIM(LOWER(C624)&amp;"|"&amp;LOWER(D624)))</f>
        <v/>
      </c>
    </row>
    <row r="625">
      <c r="A625" s="11">
        <f>IF(B625="","",TEXT(ROW()-3,"""DC-""0000"))</f>
        <v/>
      </c>
      <c r="B625" s="5" t="n"/>
      <c r="C625" s="5" t="n"/>
      <c r="D625" s="5" t="n"/>
      <c r="E625" s="5" t="n"/>
      <c r="F625" s="5" t="n"/>
      <c r="G625" s="5" t="n"/>
      <c r="H625" s="8" t="n"/>
      <c r="I625" s="8" t="n"/>
      <c r="J625" s="8" t="n"/>
      <c r="K625" s="11">
        <f>IF(B625="","",MAX(0,IFERROR(I625,0)*IFERROR(H625,0)-IFERROR(J625,0)))</f>
        <v/>
      </c>
      <c r="L625" s="8" t="n"/>
      <c r="M625" s="11">
        <f>IF(B625="","",MAX(0,K625-L625))</f>
        <v/>
      </c>
      <c r="N625" s="11">
        <f>IF(B625="","",IF(L625&gt;=K625,"Paid",IF(L625&gt;0,"Partial","Unpaid")))</f>
        <v/>
      </c>
      <c r="O625" s="5" t="n"/>
      <c r="P625" s="8" t="n"/>
      <c r="Q625" s="8" t="n"/>
      <c r="R625" s="11">
        <f>IF(B625="","",IFERROR(K625,0)+IFERROR(P625,0)-IFERROR(Q625,0))</f>
        <v/>
      </c>
      <c r="S625" s="5" t="n"/>
      <c r="T625" s="5" t="n"/>
      <c r="U625" s="11">
        <f>IF(B625="","",TRIM(LOWER(C625)&amp;"|"&amp;LOWER(D625)))</f>
        <v/>
      </c>
    </row>
    <row r="626">
      <c r="A626" s="11">
        <f>IF(B626="","",TEXT(ROW()-3,"""DC-""0000"))</f>
        <v/>
      </c>
      <c r="B626" s="5" t="n"/>
      <c r="C626" s="5" t="n"/>
      <c r="D626" s="5" t="n"/>
      <c r="E626" s="5" t="n"/>
      <c r="F626" s="5" t="n"/>
      <c r="G626" s="5" t="n"/>
      <c r="H626" s="8" t="n"/>
      <c r="I626" s="8" t="n"/>
      <c r="J626" s="8" t="n"/>
      <c r="K626" s="11">
        <f>IF(B626="","",MAX(0,IFERROR(I626,0)*IFERROR(H626,0)-IFERROR(J626,0)))</f>
        <v/>
      </c>
      <c r="L626" s="8" t="n"/>
      <c r="M626" s="11">
        <f>IF(B626="","",MAX(0,K626-L626))</f>
        <v/>
      </c>
      <c r="N626" s="11">
        <f>IF(B626="","",IF(L626&gt;=K626,"Paid",IF(L626&gt;0,"Partial","Unpaid")))</f>
        <v/>
      </c>
      <c r="O626" s="5" t="n"/>
      <c r="P626" s="8" t="n"/>
      <c r="Q626" s="8" t="n"/>
      <c r="R626" s="11">
        <f>IF(B626="","",IFERROR(K626,0)+IFERROR(P626,0)-IFERROR(Q626,0))</f>
        <v/>
      </c>
      <c r="S626" s="5" t="n"/>
      <c r="T626" s="5" t="n"/>
      <c r="U626" s="11">
        <f>IF(B626="","",TRIM(LOWER(C626)&amp;"|"&amp;LOWER(D626)))</f>
        <v/>
      </c>
    </row>
    <row r="627">
      <c r="A627" s="11">
        <f>IF(B627="","",TEXT(ROW()-3,"""DC-""0000"))</f>
        <v/>
      </c>
      <c r="B627" s="5" t="n"/>
      <c r="C627" s="5" t="n"/>
      <c r="D627" s="5" t="n"/>
      <c r="E627" s="5" t="n"/>
      <c r="F627" s="5" t="n"/>
      <c r="G627" s="5" t="n"/>
      <c r="H627" s="8" t="n"/>
      <c r="I627" s="8" t="n"/>
      <c r="J627" s="8" t="n"/>
      <c r="K627" s="11">
        <f>IF(B627="","",MAX(0,IFERROR(I627,0)*IFERROR(H627,0)-IFERROR(J627,0)))</f>
        <v/>
      </c>
      <c r="L627" s="8" t="n"/>
      <c r="M627" s="11">
        <f>IF(B627="","",MAX(0,K627-L627))</f>
        <v/>
      </c>
      <c r="N627" s="11">
        <f>IF(B627="","",IF(L627&gt;=K627,"Paid",IF(L627&gt;0,"Partial","Unpaid")))</f>
        <v/>
      </c>
      <c r="O627" s="5" t="n"/>
      <c r="P627" s="8" t="n"/>
      <c r="Q627" s="8" t="n"/>
      <c r="R627" s="11">
        <f>IF(B627="","",IFERROR(K627,0)+IFERROR(P627,0)-IFERROR(Q627,0))</f>
        <v/>
      </c>
      <c r="S627" s="5" t="n"/>
      <c r="T627" s="5" t="n"/>
      <c r="U627" s="11">
        <f>IF(B627="","",TRIM(LOWER(C627)&amp;"|"&amp;LOWER(D627)))</f>
        <v/>
      </c>
    </row>
    <row r="628">
      <c r="A628" s="11">
        <f>IF(B628="","",TEXT(ROW()-3,"""DC-""0000"))</f>
        <v/>
      </c>
      <c r="B628" s="5" t="n"/>
      <c r="C628" s="5" t="n"/>
      <c r="D628" s="5" t="n"/>
      <c r="E628" s="5" t="n"/>
      <c r="F628" s="5" t="n"/>
      <c r="G628" s="5" t="n"/>
      <c r="H628" s="8" t="n"/>
      <c r="I628" s="8" t="n"/>
      <c r="J628" s="8" t="n"/>
      <c r="K628" s="11">
        <f>IF(B628="","",MAX(0,IFERROR(I628,0)*IFERROR(H628,0)-IFERROR(J628,0)))</f>
        <v/>
      </c>
      <c r="L628" s="8" t="n"/>
      <c r="M628" s="11">
        <f>IF(B628="","",MAX(0,K628-L628))</f>
        <v/>
      </c>
      <c r="N628" s="11">
        <f>IF(B628="","",IF(L628&gt;=K628,"Paid",IF(L628&gt;0,"Partial","Unpaid")))</f>
        <v/>
      </c>
      <c r="O628" s="5" t="n"/>
      <c r="P628" s="8" t="n"/>
      <c r="Q628" s="8" t="n"/>
      <c r="R628" s="11">
        <f>IF(B628="","",IFERROR(K628,0)+IFERROR(P628,0)-IFERROR(Q628,0))</f>
        <v/>
      </c>
      <c r="S628" s="5" t="n"/>
      <c r="T628" s="5" t="n"/>
      <c r="U628" s="11">
        <f>IF(B628="","",TRIM(LOWER(C628)&amp;"|"&amp;LOWER(D628)))</f>
        <v/>
      </c>
    </row>
    <row r="629">
      <c r="A629" s="11">
        <f>IF(B629="","",TEXT(ROW()-3,"""DC-""0000"))</f>
        <v/>
      </c>
      <c r="B629" s="5" t="n"/>
      <c r="C629" s="5" t="n"/>
      <c r="D629" s="5" t="n"/>
      <c r="E629" s="5" t="n"/>
      <c r="F629" s="5" t="n"/>
      <c r="G629" s="5" t="n"/>
      <c r="H629" s="8" t="n"/>
      <c r="I629" s="8" t="n"/>
      <c r="J629" s="8" t="n"/>
      <c r="K629" s="11">
        <f>IF(B629="","",MAX(0,IFERROR(I629,0)*IFERROR(H629,0)-IFERROR(J629,0)))</f>
        <v/>
      </c>
      <c r="L629" s="8" t="n"/>
      <c r="M629" s="11">
        <f>IF(B629="","",MAX(0,K629-L629))</f>
        <v/>
      </c>
      <c r="N629" s="11">
        <f>IF(B629="","",IF(L629&gt;=K629,"Paid",IF(L629&gt;0,"Partial","Unpaid")))</f>
        <v/>
      </c>
      <c r="O629" s="5" t="n"/>
      <c r="P629" s="8" t="n"/>
      <c r="Q629" s="8" t="n"/>
      <c r="R629" s="11">
        <f>IF(B629="","",IFERROR(K629,0)+IFERROR(P629,0)-IFERROR(Q629,0))</f>
        <v/>
      </c>
      <c r="S629" s="5" t="n"/>
      <c r="T629" s="5" t="n"/>
      <c r="U629" s="11">
        <f>IF(B629="","",TRIM(LOWER(C629)&amp;"|"&amp;LOWER(D629)))</f>
        <v/>
      </c>
    </row>
    <row r="630">
      <c r="A630" s="11">
        <f>IF(B630="","",TEXT(ROW()-3,"""DC-""0000"))</f>
        <v/>
      </c>
      <c r="B630" s="5" t="n"/>
      <c r="C630" s="5" t="n"/>
      <c r="D630" s="5" t="n"/>
      <c r="E630" s="5" t="n"/>
      <c r="F630" s="5" t="n"/>
      <c r="G630" s="5" t="n"/>
      <c r="H630" s="8" t="n"/>
      <c r="I630" s="8" t="n"/>
      <c r="J630" s="8" t="n"/>
      <c r="K630" s="11">
        <f>IF(B630="","",MAX(0,IFERROR(I630,0)*IFERROR(H630,0)-IFERROR(J630,0)))</f>
        <v/>
      </c>
      <c r="L630" s="8" t="n"/>
      <c r="M630" s="11">
        <f>IF(B630="","",MAX(0,K630-L630))</f>
        <v/>
      </c>
      <c r="N630" s="11">
        <f>IF(B630="","",IF(L630&gt;=K630,"Paid",IF(L630&gt;0,"Partial","Unpaid")))</f>
        <v/>
      </c>
      <c r="O630" s="5" t="n"/>
      <c r="P630" s="8" t="n"/>
      <c r="Q630" s="8" t="n"/>
      <c r="R630" s="11">
        <f>IF(B630="","",IFERROR(K630,0)+IFERROR(P630,0)-IFERROR(Q630,0))</f>
        <v/>
      </c>
      <c r="S630" s="5" t="n"/>
      <c r="T630" s="5" t="n"/>
      <c r="U630" s="11">
        <f>IF(B630="","",TRIM(LOWER(C630)&amp;"|"&amp;LOWER(D630)))</f>
        <v/>
      </c>
    </row>
    <row r="631">
      <c r="A631" s="11">
        <f>IF(B631="","",TEXT(ROW()-3,"""DC-""0000"))</f>
        <v/>
      </c>
      <c r="B631" s="5" t="n"/>
      <c r="C631" s="5" t="n"/>
      <c r="D631" s="5" t="n"/>
      <c r="E631" s="5" t="n"/>
      <c r="F631" s="5" t="n"/>
      <c r="G631" s="5" t="n"/>
      <c r="H631" s="8" t="n"/>
      <c r="I631" s="8" t="n"/>
      <c r="J631" s="8" t="n"/>
      <c r="K631" s="11">
        <f>IF(B631="","",MAX(0,IFERROR(I631,0)*IFERROR(H631,0)-IFERROR(J631,0)))</f>
        <v/>
      </c>
      <c r="L631" s="8" t="n"/>
      <c r="M631" s="11">
        <f>IF(B631="","",MAX(0,K631-L631))</f>
        <v/>
      </c>
      <c r="N631" s="11">
        <f>IF(B631="","",IF(L631&gt;=K631,"Paid",IF(L631&gt;0,"Partial","Unpaid")))</f>
        <v/>
      </c>
      <c r="O631" s="5" t="n"/>
      <c r="P631" s="8" t="n"/>
      <c r="Q631" s="8" t="n"/>
      <c r="R631" s="11">
        <f>IF(B631="","",IFERROR(K631,0)+IFERROR(P631,0)-IFERROR(Q631,0))</f>
        <v/>
      </c>
      <c r="S631" s="5" t="n"/>
      <c r="T631" s="5" t="n"/>
      <c r="U631" s="11">
        <f>IF(B631="","",TRIM(LOWER(C631)&amp;"|"&amp;LOWER(D631)))</f>
        <v/>
      </c>
    </row>
    <row r="632">
      <c r="A632" s="11">
        <f>IF(B632="","",TEXT(ROW()-3,"""DC-""0000"))</f>
        <v/>
      </c>
      <c r="B632" s="5" t="n"/>
      <c r="C632" s="5" t="n"/>
      <c r="D632" s="5" t="n"/>
      <c r="E632" s="5" t="n"/>
      <c r="F632" s="5" t="n"/>
      <c r="G632" s="5" t="n"/>
      <c r="H632" s="8" t="n"/>
      <c r="I632" s="8" t="n"/>
      <c r="J632" s="8" t="n"/>
      <c r="K632" s="11">
        <f>IF(B632="","",MAX(0,IFERROR(I632,0)*IFERROR(H632,0)-IFERROR(J632,0)))</f>
        <v/>
      </c>
      <c r="L632" s="8" t="n"/>
      <c r="M632" s="11">
        <f>IF(B632="","",MAX(0,K632-L632))</f>
        <v/>
      </c>
      <c r="N632" s="11">
        <f>IF(B632="","",IF(L632&gt;=K632,"Paid",IF(L632&gt;0,"Partial","Unpaid")))</f>
        <v/>
      </c>
      <c r="O632" s="5" t="n"/>
      <c r="P632" s="8" t="n"/>
      <c r="Q632" s="8" t="n"/>
      <c r="R632" s="11">
        <f>IF(B632="","",IFERROR(K632,0)+IFERROR(P632,0)-IFERROR(Q632,0))</f>
        <v/>
      </c>
      <c r="S632" s="5" t="n"/>
      <c r="T632" s="5" t="n"/>
      <c r="U632" s="11">
        <f>IF(B632="","",TRIM(LOWER(C632)&amp;"|"&amp;LOWER(D632)))</f>
        <v/>
      </c>
    </row>
    <row r="633">
      <c r="A633" s="11">
        <f>IF(B633="","",TEXT(ROW()-3,"""DC-""0000"))</f>
        <v/>
      </c>
      <c r="B633" s="5" t="n"/>
      <c r="C633" s="5" t="n"/>
      <c r="D633" s="5" t="n"/>
      <c r="E633" s="5" t="n"/>
      <c r="F633" s="5" t="n"/>
      <c r="G633" s="5" t="n"/>
      <c r="H633" s="8" t="n"/>
      <c r="I633" s="8" t="n"/>
      <c r="J633" s="8" t="n"/>
      <c r="K633" s="11">
        <f>IF(B633="","",MAX(0,IFERROR(I633,0)*IFERROR(H633,0)-IFERROR(J633,0)))</f>
        <v/>
      </c>
      <c r="L633" s="8" t="n"/>
      <c r="M633" s="11">
        <f>IF(B633="","",MAX(0,K633-L633))</f>
        <v/>
      </c>
      <c r="N633" s="11">
        <f>IF(B633="","",IF(L633&gt;=K633,"Paid",IF(L633&gt;0,"Partial","Unpaid")))</f>
        <v/>
      </c>
      <c r="O633" s="5" t="n"/>
      <c r="P633" s="8" t="n"/>
      <c r="Q633" s="8" t="n"/>
      <c r="R633" s="11">
        <f>IF(B633="","",IFERROR(K633,0)+IFERROR(P633,0)-IFERROR(Q633,0))</f>
        <v/>
      </c>
      <c r="S633" s="5" t="n"/>
      <c r="T633" s="5" t="n"/>
      <c r="U633" s="11">
        <f>IF(B633="","",TRIM(LOWER(C633)&amp;"|"&amp;LOWER(D633)))</f>
        <v/>
      </c>
    </row>
    <row r="634">
      <c r="A634" s="11">
        <f>IF(B634="","",TEXT(ROW()-3,"""DC-""0000"))</f>
        <v/>
      </c>
      <c r="B634" s="5" t="n"/>
      <c r="C634" s="5" t="n"/>
      <c r="D634" s="5" t="n"/>
      <c r="E634" s="5" t="n"/>
      <c r="F634" s="5" t="n"/>
      <c r="G634" s="5" t="n"/>
      <c r="H634" s="8" t="n"/>
      <c r="I634" s="8" t="n"/>
      <c r="J634" s="8" t="n"/>
      <c r="K634" s="11">
        <f>IF(B634="","",MAX(0,IFERROR(I634,0)*IFERROR(H634,0)-IFERROR(J634,0)))</f>
        <v/>
      </c>
      <c r="L634" s="8" t="n"/>
      <c r="M634" s="11">
        <f>IF(B634="","",MAX(0,K634-L634))</f>
        <v/>
      </c>
      <c r="N634" s="11">
        <f>IF(B634="","",IF(L634&gt;=K634,"Paid",IF(L634&gt;0,"Partial","Unpaid")))</f>
        <v/>
      </c>
      <c r="O634" s="5" t="n"/>
      <c r="P634" s="8" t="n"/>
      <c r="Q634" s="8" t="n"/>
      <c r="R634" s="11">
        <f>IF(B634="","",IFERROR(K634,0)+IFERROR(P634,0)-IFERROR(Q634,0))</f>
        <v/>
      </c>
      <c r="S634" s="5" t="n"/>
      <c r="T634" s="5" t="n"/>
      <c r="U634" s="11">
        <f>IF(B634="","",TRIM(LOWER(C634)&amp;"|"&amp;LOWER(D634)))</f>
        <v/>
      </c>
    </row>
    <row r="635">
      <c r="A635" s="11">
        <f>IF(B635="","",TEXT(ROW()-3,"""DC-""0000"))</f>
        <v/>
      </c>
      <c r="B635" s="5" t="n"/>
      <c r="C635" s="5" t="n"/>
      <c r="D635" s="5" t="n"/>
      <c r="E635" s="5" t="n"/>
      <c r="F635" s="5" t="n"/>
      <c r="G635" s="5" t="n"/>
      <c r="H635" s="8" t="n"/>
      <c r="I635" s="8" t="n"/>
      <c r="J635" s="8" t="n"/>
      <c r="K635" s="11">
        <f>IF(B635="","",MAX(0,IFERROR(I635,0)*IFERROR(H635,0)-IFERROR(J635,0)))</f>
        <v/>
      </c>
      <c r="L635" s="8" t="n"/>
      <c r="M635" s="11">
        <f>IF(B635="","",MAX(0,K635-L635))</f>
        <v/>
      </c>
      <c r="N635" s="11">
        <f>IF(B635="","",IF(L635&gt;=K635,"Paid",IF(L635&gt;0,"Partial","Unpaid")))</f>
        <v/>
      </c>
      <c r="O635" s="5" t="n"/>
      <c r="P635" s="8" t="n"/>
      <c r="Q635" s="8" t="n"/>
      <c r="R635" s="11">
        <f>IF(B635="","",IFERROR(K635,0)+IFERROR(P635,0)-IFERROR(Q635,0))</f>
        <v/>
      </c>
      <c r="S635" s="5" t="n"/>
      <c r="T635" s="5" t="n"/>
      <c r="U635" s="11">
        <f>IF(B635="","",TRIM(LOWER(C635)&amp;"|"&amp;LOWER(D635)))</f>
        <v/>
      </c>
    </row>
    <row r="636">
      <c r="A636" s="11">
        <f>IF(B636="","",TEXT(ROW()-3,"""DC-""0000"))</f>
        <v/>
      </c>
      <c r="B636" s="5" t="n"/>
      <c r="C636" s="5" t="n"/>
      <c r="D636" s="5" t="n"/>
      <c r="E636" s="5" t="n"/>
      <c r="F636" s="5" t="n"/>
      <c r="G636" s="5" t="n"/>
      <c r="H636" s="8" t="n"/>
      <c r="I636" s="8" t="n"/>
      <c r="J636" s="8" t="n"/>
      <c r="K636" s="11">
        <f>IF(B636="","",MAX(0,IFERROR(I636,0)*IFERROR(H636,0)-IFERROR(J636,0)))</f>
        <v/>
      </c>
      <c r="L636" s="8" t="n"/>
      <c r="M636" s="11">
        <f>IF(B636="","",MAX(0,K636-L636))</f>
        <v/>
      </c>
      <c r="N636" s="11">
        <f>IF(B636="","",IF(L636&gt;=K636,"Paid",IF(L636&gt;0,"Partial","Unpaid")))</f>
        <v/>
      </c>
      <c r="O636" s="5" t="n"/>
      <c r="P636" s="8" t="n"/>
      <c r="Q636" s="8" t="n"/>
      <c r="R636" s="11">
        <f>IF(B636="","",IFERROR(K636,0)+IFERROR(P636,0)-IFERROR(Q636,0))</f>
        <v/>
      </c>
      <c r="S636" s="5" t="n"/>
      <c r="T636" s="5" t="n"/>
      <c r="U636" s="11">
        <f>IF(B636="","",TRIM(LOWER(C636)&amp;"|"&amp;LOWER(D636)))</f>
        <v/>
      </c>
    </row>
    <row r="637">
      <c r="A637" s="11">
        <f>IF(B637="","",TEXT(ROW()-3,"""DC-""0000"))</f>
        <v/>
      </c>
      <c r="B637" s="5" t="n"/>
      <c r="C637" s="5" t="n"/>
      <c r="D637" s="5" t="n"/>
      <c r="E637" s="5" t="n"/>
      <c r="F637" s="5" t="n"/>
      <c r="G637" s="5" t="n"/>
      <c r="H637" s="8" t="n"/>
      <c r="I637" s="8" t="n"/>
      <c r="J637" s="8" t="n"/>
      <c r="K637" s="11">
        <f>IF(B637="","",MAX(0,IFERROR(I637,0)*IFERROR(H637,0)-IFERROR(J637,0)))</f>
        <v/>
      </c>
      <c r="L637" s="8" t="n"/>
      <c r="M637" s="11">
        <f>IF(B637="","",MAX(0,K637-L637))</f>
        <v/>
      </c>
      <c r="N637" s="11">
        <f>IF(B637="","",IF(L637&gt;=K637,"Paid",IF(L637&gt;0,"Partial","Unpaid")))</f>
        <v/>
      </c>
      <c r="O637" s="5" t="n"/>
      <c r="P637" s="8" t="n"/>
      <c r="Q637" s="8" t="n"/>
      <c r="R637" s="11">
        <f>IF(B637="","",IFERROR(K637,0)+IFERROR(P637,0)-IFERROR(Q637,0))</f>
        <v/>
      </c>
      <c r="S637" s="5" t="n"/>
      <c r="T637" s="5" t="n"/>
      <c r="U637" s="11">
        <f>IF(B637="","",TRIM(LOWER(C637)&amp;"|"&amp;LOWER(D637)))</f>
        <v/>
      </c>
    </row>
    <row r="638">
      <c r="A638" s="11">
        <f>IF(B638="","",TEXT(ROW()-3,"""DC-""0000"))</f>
        <v/>
      </c>
      <c r="B638" s="5" t="n"/>
      <c r="C638" s="5" t="n"/>
      <c r="D638" s="5" t="n"/>
      <c r="E638" s="5" t="n"/>
      <c r="F638" s="5" t="n"/>
      <c r="G638" s="5" t="n"/>
      <c r="H638" s="8" t="n"/>
      <c r="I638" s="8" t="n"/>
      <c r="J638" s="8" t="n"/>
      <c r="K638" s="11">
        <f>IF(B638="","",MAX(0,IFERROR(I638,0)*IFERROR(H638,0)-IFERROR(J638,0)))</f>
        <v/>
      </c>
      <c r="L638" s="8" t="n"/>
      <c r="M638" s="11">
        <f>IF(B638="","",MAX(0,K638-L638))</f>
        <v/>
      </c>
      <c r="N638" s="11">
        <f>IF(B638="","",IF(L638&gt;=K638,"Paid",IF(L638&gt;0,"Partial","Unpaid")))</f>
        <v/>
      </c>
      <c r="O638" s="5" t="n"/>
      <c r="P638" s="8" t="n"/>
      <c r="Q638" s="8" t="n"/>
      <c r="R638" s="11">
        <f>IF(B638="","",IFERROR(K638,0)+IFERROR(P638,0)-IFERROR(Q638,0))</f>
        <v/>
      </c>
      <c r="S638" s="5" t="n"/>
      <c r="T638" s="5" t="n"/>
      <c r="U638" s="11">
        <f>IF(B638="","",TRIM(LOWER(C638)&amp;"|"&amp;LOWER(D638)))</f>
        <v/>
      </c>
    </row>
    <row r="639">
      <c r="A639" s="11">
        <f>IF(B639="","",TEXT(ROW()-3,"""DC-""0000"))</f>
        <v/>
      </c>
      <c r="B639" s="5" t="n"/>
      <c r="C639" s="5" t="n"/>
      <c r="D639" s="5" t="n"/>
      <c r="E639" s="5" t="n"/>
      <c r="F639" s="5" t="n"/>
      <c r="G639" s="5" t="n"/>
      <c r="H639" s="8" t="n"/>
      <c r="I639" s="8" t="n"/>
      <c r="J639" s="8" t="n"/>
      <c r="K639" s="11">
        <f>IF(B639="","",MAX(0,IFERROR(I639,0)*IFERROR(H639,0)-IFERROR(J639,0)))</f>
        <v/>
      </c>
      <c r="L639" s="8" t="n"/>
      <c r="M639" s="11">
        <f>IF(B639="","",MAX(0,K639-L639))</f>
        <v/>
      </c>
      <c r="N639" s="11">
        <f>IF(B639="","",IF(L639&gt;=K639,"Paid",IF(L639&gt;0,"Partial","Unpaid")))</f>
        <v/>
      </c>
      <c r="O639" s="5" t="n"/>
      <c r="P639" s="8" t="n"/>
      <c r="Q639" s="8" t="n"/>
      <c r="R639" s="11">
        <f>IF(B639="","",IFERROR(K639,0)+IFERROR(P639,0)-IFERROR(Q639,0))</f>
        <v/>
      </c>
      <c r="S639" s="5" t="n"/>
      <c r="T639" s="5" t="n"/>
      <c r="U639" s="11">
        <f>IF(B639="","",TRIM(LOWER(C639)&amp;"|"&amp;LOWER(D639)))</f>
        <v/>
      </c>
    </row>
    <row r="640">
      <c r="A640" s="11">
        <f>IF(B640="","",TEXT(ROW()-3,"""DC-""0000"))</f>
        <v/>
      </c>
      <c r="B640" s="5" t="n"/>
      <c r="C640" s="5" t="n"/>
      <c r="D640" s="5" t="n"/>
      <c r="E640" s="5" t="n"/>
      <c r="F640" s="5" t="n"/>
      <c r="G640" s="5" t="n"/>
      <c r="H640" s="8" t="n"/>
      <c r="I640" s="8" t="n"/>
      <c r="J640" s="8" t="n"/>
      <c r="K640" s="11">
        <f>IF(B640="","",MAX(0,IFERROR(I640,0)*IFERROR(H640,0)-IFERROR(J640,0)))</f>
        <v/>
      </c>
      <c r="L640" s="8" t="n"/>
      <c r="M640" s="11">
        <f>IF(B640="","",MAX(0,K640-L640))</f>
        <v/>
      </c>
      <c r="N640" s="11">
        <f>IF(B640="","",IF(L640&gt;=K640,"Paid",IF(L640&gt;0,"Partial","Unpaid")))</f>
        <v/>
      </c>
      <c r="O640" s="5" t="n"/>
      <c r="P640" s="8" t="n"/>
      <c r="Q640" s="8" t="n"/>
      <c r="R640" s="11">
        <f>IF(B640="","",IFERROR(K640,0)+IFERROR(P640,0)-IFERROR(Q640,0))</f>
        <v/>
      </c>
      <c r="S640" s="5" t="n"/>
      <c r="T640" s="5" t="n"/>
      <c r="U640" s="11">
        <f>IF(B640="","",TRIM(LOWER(C640)&amp;"|"&amp;LOWER(D640)))</f>
        <v/>
      </c>
    </row>
    <row r="641">
      <c r="A641" s="11">
        <f>IF(B641="","",TEXT(ROW()-3,"""DC-""0000"))</f>
        <v/>
      </c>
      <c r="B641" s="5" t="n"/>
      <c r="C641" s="5" t="n"/>
      <c r="D641" s="5" t="n"/>
      <c r="E641" s="5" t="n"/>
      <c r="F641" s="5" t="n"/>
      <c r="G641" s="5" t="n"/>
      <c r="H641" s="8" t="n"/>
      <c r="I641" s="8" t="n"/>
      <c r="J641" s="8" t="n"/>
      <c r="K641" s="11">
        <f>IF(B641="","",MAX(0,IFERROR(I641,0)*IFERROR(H641,0)-IFERROR(J641,0)))</f>
        <v/>
      </c>
      <c r="L641" s="8" t="n"/>
      <c r="M641" s="11">
        <f>IF(B641="","",MAX(0,K641-L641))</f>
        <v/>
      </c>
      <c r="N641" s="11">
        <f>IF(B641="","",IF(L641&gt;=K641,"Paid",IF(L641&gt;0,"Partial","Unpaid")))</f>
        <v/>
      </c>
      <c r="O641" s="5" t="n"/>
      <c r="P641" s="8" t="n"/>
      <c r="Q641" s="8" t="n"/>
      <c r="R641" s="11">
        <f>IF(B641="","",IFERROR(K641,0)+IFERROR(P641,0)-IFERROR(Q641,0))</f>
        <v/>
      </c>
      <c r="S641" s="5" t="n"/>
      <c r="T641" s="5" t="n"/>
      <c r="U641" s="11">
        <f>IF(B641="","",TRIM(LOWER(C641)&amp;"|"&amp;LOWER(D641)))</f>
        <v/>
      </c>
    </row>
    <row r="642">
      <c r="A642" s="11">
        <f>IF(B642="","",TEXT(ROW()-3,"""DC-""0000"))</f>
        <v/>
      </c>
      <c r="B642" s="5" t="n"/>
      <c r="C642" s="5" t="n"/>
      <c r="D642" s="5" t="n"/>
      <c r="E642" s="5" t="n"/>
      <c r="F642" s="5" t="n"/>
      <c r="G642" s="5" t="n"/>
      <c r="H642" s="8" t="n"/>
      <c r="I642" s="8" t="n"/>
      <c r="J642" s="8" t="n"/>
      <c r="K642" s="11">
        <f>IF(B642="","",MAX(0,IFERROR(I642,0)*IFERROR(H642,0)-IFERROR(J642,0)))</f>
        <v/>
      </c>
      <c r="L642" s="8" t="n"/>
      <c r="M642" s="11">
        <f>IF(B642="","",MAX(0,K642-L642))</f>
        <v/>
      </c>
      <c r="N642" s="11">
        <f>IF(B642="","",IF(L642&gt;=K642,"Paid",IF(L642&gt;0,"Partial","Unpaid")))</f>
        <v/>
      </c>
      <c r="O642" s="5" t="n"/>
      <c r="P642" s="8" t="n"/>
      <c r="Q642" s="8" t="n"/>
      <c r="R642" s="11">
        <f>IF(B642="","",IFERROR(K642,0)+IFERROR(P642,0)-IFERROR(Q642,0))</f>
        <v/>
      </c>
      <c r="S642" s="5" t="n"/>
      <c r="T642" s="5" t="n"/>
      <c r="U642" s="11">
        <f>IF(B642="","",TRIM(LOWER(C642)&amp;"|"&amp;LOWER(D642)))</f>
        <v/>
      </c>
    </row>
    <row r="643">
      <c r="A643" s="11">
        <f>IF(B643="","",TEXT(ROW()-3,"""DC-""0000"))</f>
        <v/>
      </c>
      <c r="B643" s="5" t="n"/>
      <c r="C643" s="5" t="n"/>
      <c r="D643" s="5" t="n"/>
      <c r="E643" s="5" t="n"/>
      <c r="F643" s="5" t="n"/>
      <c r="G643" s="5" t="n"/>
      <c r="H643" s="8" t="n"/>
      <c r="I643" s="8" t="n"/>
      <c r="J643" s="8" t="n"/>
      <c r="K643" s="11">
        <f>IF(B643="","",MAX(0,IFERROR(I643,0)*IFERROR(H643,0)-IFERROR(J643,0)))</f>
        <v/>
      </c>
      <c r="L643" s="8" t="n"/>
      <c r="M643" s="11">
        <f>IF(B643="","",MAX(0,K643-L643))</f>
        <v/>
      </c>
      <c r="N643" s="11">
        <f>IF(B643="","",IF(L643&gt;=K643,"Paid",IF(L643&gt;0,"Partial","Unpaid")))</f>
        <v/>
      </c>
      <c r="O643" s="5" t="n"/>
      <c r="P643" s="8" t="n"/>
      <c r="Q643" s="8" t="n"/>
      <c r="R643" s="11">
        <f>IF(B643="","",IFERROR(K643,0)+IFERROR(P643,0)-IFERROR(Q643,0))</f>
        <v/>
      </c>
      <c r="S643" s="5" t="n"/>
      <c r="T643" s="5" t="n"/>
      <c r="U643" s="11">
        <f>IF(B643="","",TRIM(LOWER(C643)&amp;"|"&amp;LOWER(D643)))</f>
        <v/>
      </c>
    </row>
    <row r="644">
      <c r="A644" s="11">
        <f>IF(B644="","",TEXT(ROW()-3,"""DC-""0000"))</f>
        <v/>
      </c>
      <c r="B644" s="5" t="n"/>
      <c r="C644" s="5" t="n"/>
      <c r="D644" s="5" t="n"/>
      <c r="E644" s="5" t="n"/>
      <c r="F644" s="5" t="n"/>
      <c r="G644" s="5" t="n"/>
      <c r="H644" s="8" t="n"/>
      <c r="I644" s="8" t="n"/>
      <c r="J644" s="8" t="n"/>
      <c r="K644" s="11">
        <f>IF(B644="","",MAX(0,IFERROR(I644,0)*IFERROR(H644,0)-IFERROR(J644,0)))</f>
        <v/>
      </c>
      <c r="L644" s="8" t="n"/>
      <c r="M644" s="11">
        <f>IF(B644="","",MAX(0,K644-L644))</f>
        <v/>
      </c>
      <c r="N644" s="11">
        <f>IF(B644="","",IF(L644&gt;=K644,"Paid",IF(L644&gt;0,"Partial","Unpaid")))</f>
        <v/>
      </c>
      <c r="O644" s="5" t="n"/>
      <c r="P644" s="8" t="n"/>
      <c r="Q644" s="8" t="n"/>
      <c r="R644" s="11">
        <f>IF(B644="","",IFERROR(K644,0)+IFERROR(P644,0)-IFERROR(Q644,0))</f>
        <v/>
      </c>
      <c r="S644" s="5" t="n"/>
      <c r="T644" s="5" t="n"/>
      <c r="U644" s="11">
        <f>IF(B644="","",TRIM(LOWER(C644)&amp;"|"&amp;LOWER(D644)))</f>
        <v/>
      </c>
    </row>
    <row r="645">
      <c r="A645" s="11">
        <f>IF(B645="","",TEXT(ROW()-3,"""DC-""0000"))</f>
        <v/>
      </c>
      <c r="B645" s="5" t="n"/>
      <c r="C645" s="5" t="n"/>
      <c r="D645" s="5" t="n"/>
      <c r="E645" s="5" t="n"/>
      <c r="F645" s="5" t="n"/>
      <c r="G645" s="5" t="n"/>
      <c r="H645" s="8" t="n"/>
      <c r="I645" s="8" t="n"/>
      <c r="J645" s="8" t="n"/>
      <c r="K645" s="11">
        <f>IF(B645="","",MAX(0,IFERROR(I645,0)*IFERROR(H645,0)-IFERROR(J645,0)))</f>
        <v/>
      </c>
      <c r="L645" s="8" t="n"/>
      <c r="M645" s="11">
        <f>IF(B645="","",MAX(0,K645-L645))</f>
        <v/>
      </c>
      <c r="N645" s="11">
        <f>IF(B645="","",IF(L645&gt;=K645,"Paid",IF(L645&gt;0,"Partial","Unpaid")))</f>
        <v/>
      </c>
      <c r="O645" s="5" t="n"/>
      <c r="P645" s="8" t="n"/>
      <c r="Q645" s="8" t="n"/>
      <c r="R645" s="11">
        <f>IF(B645="","",IFERROR(K645,0)+IFERROR(P645,0)-IFERROR(Q645,0))</f>
        <v/>
      </c>
      <c r="S645" s="5" t="n"/>
      <c r="T645" s="5" t="n"/>
      <c r="U645" s="11">
        <f>IF(B645="","",TRIM(LOWER(C645)&amp;"|"&amp;LOWER(D645)))</f>
        <v/>
      </c>
    </row>
    <row r="646">
      <c r="A646" s="11">
        <f>IF(B646="","",TEXT(ROW()-3,"""DC-""0000"))</f>
        <v/>
      </c>
      <c r="B646" s="5" t="n"/>
      <c r="C646" s="5" t="n"/>
      <c r="D646" s="5" t="n"/>
      <c r="E646" s="5" t="n"/>
      <c r="F646" s="5" t="n"/>
      <c r="G646" s="5" t="n"/>
      <c r="H646" s="8" t="n"/>
      <c r="I646" s="8" t="n"/>
      <c r="J646" s="8" t="n"/>
      <c r="K646" s="11">
        <f>IF(B646="","",MAX(0,IFERROR(I646,0)*IFERROR(H646,0)-IFERROR(J646,0)))</f>
        <v/>
      </c>
      <c r="L646" s="8" t="n"/>
      <c r="M646" s="11">
        <f>IF(B646="","",MAX(0,K646-L646))</f>
        <v/>
      </c>
      <c r="N646" s="11">
        <f>IF(B646="","",IF(L646&gt;=K646,"Paid",IF(L646&gt;0,"Partial","Unpaid")))</f>
        <v/>
      </c>
      <c r="O646" s="5" t="n"/>
      <c r="P646" s="8" t="n"/>
      <c r="Q646" s="8" t="n"/>
      <c r="R646" s="11">
        <f>IF(B646="","",IFERROR(K646,0)+IFERROR(P646,0)-IFERROR(Q646,0))</f>
        <v/>
      </c>
      <c r="S646" s="5" t="n"/>
      <c r="T646" s="5" t="n"/>
      <c r="U646" s="11">
        <f>IF(B646="","",TRIM(LOWER(C646)&amp;"|"&amp;LOWER(D646)))</f>
        <v/>
      </c>
    </row>
    <row r="647">
      <c r="A647" s="11">
        <f>IF(B647="","",TEXT(ROW()-3,"""DC-""0000"))</f>
        <v/>
      </c>
      <c r="B647" s="5" t="n"/>
      <c r="C647" s="5" t="n"/>
      <c r="D647" s="5" t="n"/>
      <c r="E647" s="5" t="n"/>
      <c r="F647" s="5" t="n"/>
      <c r="G647" s="5" t="n"/>
      <c r="H647" s="8" t="n"/>
      <c r="I647" s="8" t="n"/>
      <c r="J647" s="8" t="n"/>
      <c r="K647" s="11">
        <f>IF(B647="","",MAX(0,IFERROR(I647,0)*IFERROR(H647,0)-IFERROR(J647,0)))</f>
        <v/>
      </c>
      <c r="L647" s="8" t="n"/>
      <c r="M647" s="11">
        <f>IF(B647="","",MAX(0,K647-L647))</f>
        <v/>
      </c>
      <c r="N647" s="11">
        <f>IF(B647="","",IF(L647&gt;=K647,"Paid",IF(L647&gt;0,"Partial","Unpaid")))</f>
        <v/>
      </c>
      <c r="O647" s="5" t="n"/>
      <c r="P647" s="8" t="n"/>
      <c r="Q647" s="8" t="n"/>
      <c r="R647" s="11">
        <f>IF(B647="","",IFERROR(K647,0)+IFERROR(P647,0)-IFERROR(Q647,0))</f>
        <v/>
      </c>
      <c r="S647" s="5" t="n"/>
      <c r="T647" s="5" t="n"/>
      <c r="U647" s="11">
        <f>IF(B647="","",TRIM(LOWER(C647)&amp;"|"&amp;LOWER(D647)))</f>
        <v/>
      </c>
    </row>
    <row r="648">
      <c r="A648" s="11">
        <f>IF(B648="","",TEXT(ROW()-3,"""DC-""0000"))</f>
        <v/>
      </c>
      <c r="B648" s="5" t="n"/>
      <c r="C648" s="5" t="n"/>
      <c r="D648" s="5" t="n"/>
      <c r="E648" s="5" t="n"/>
      <c r="F648" s="5" t="n"/>
      <c r="G648" s="5" t="n"/>
      <c r="H648" s="8" t="n"/>
      <c r="I648" s="8" t="n"/>
      <c r="J648" s="8" t="n"/>
      <c r="K648" s="11">
        <f>IF(B648="","",MAX(0,IFERROR(I648,0)*IFERROR(H648,0)-IFERROR(J648,0)))</f>
        <v/>
      </c>
      <c r="L648" s="8" t="n"/>
      <c r="M648" s="11">
        <f>IF(B648="","",MAX(0,K648-L648))</f>
        <v/>
      </c>
      <c r="N648" s="11">
        <f>IF(B648="","",IF(L648&gt;=K648,"Paid",IF(L648&gt;0,"Partial","Unpaid")))</f>
        <v/>
      </c>
      <c r="O648" s="5" t="n"/>
      <c r="P648" s="8" t="n"/>
      <c r="Q648" s="8" t="n"/>
      <c r="R648" s="11">
        <f>IF(B648="","",IFERROR(K648,0)+IFERROR(P648,0)-IFERROR(Q648,0))</f>
        <v/>
      </c>
      <c r="S648" s="5" t="n"/>
      <c r="T648" s="5" t="n"/>
      <c r="U648" s="11">
        <f>IF(B648="","",TRIM(LOWER(C648)&amp;"|"&amp;LOWER(D648)))</f>
        <v/>
      </c>
    </row>
    <row r="649">
      <c r="A649" s="11">
        <f>IF(B649="","",TEXT(ROW()-3,"""DC-""0000"))</f>
        <v/>
      </c>
      <c r="B649" s="5" t="n"/>
      <c r="C649" s="5" t="n"/>
      <c r="D649" s="5" t="n"/>
      <c r="E649" s="5" t="n"/>
      <c r="F649" s="5" t="n"/>
      <c r="G649" s="5" t="n"/>
      <c r="H649" s="8" t="n"/>
      <c r="I649" s="8" t="n"/>
      <c r="J649" s="8" t="n"/>
      <c r="K649" s="11">
        <f>IF(B649="","",MAX(0,IFERROR(I649,0)*IFERROR(H649,0)-IFERROR(J649,0)))</f>
        <v/>
      </c>
      <c r="L649" s="8" t="n"/>
      <c r="M649" s="11">
        <f>IF(B649="","",MAX(0,K649-L649))</f>
        <v/>
      </c>
      <c r="N649" s="11">
        <f>IF(B649="","",IF(L649&gt;=K649,"Paid",IF(L649&gt;0,"Partial","Unpaid")))</f>
        <v/>
      </c>
      <c r="O649" s="5" t="n"/>
      <c r="P649" s="8" t="n"/>
      <c r="Q649" s="8" t="n"/>
      <c r="R649" s="11">
        <f>IF(B649="","",IFERROR(K649,0)+IFERROR(P649,0)-IFERROR(Q649,0))</f>
        <v/>
      </c>
      <c r="S649" s="5" t="n"/>
      <c r="T649" s="5" t="n"/>
      <c r="U649" s="11">
        <f>IF(B649="","",TRIM(LOWER(C649)&amp;"|"&amp;LOWER(D649)))</f>
        <v/>
      </c>
    </row>
    <row r="650">
      <c r="A650" s="11">
        <f>IF(B650="","",TEXT(ROW()-3,"""DC-""0000"))</f>
        <v/>
      </c>
      <c r="B650" s="5" t="n"/>
      <c r="C650" s="5" t="n"/>
      <c r="D650" s="5" t="n"/>
      <c r="E650" s="5" t="n"/>
      <c r="F650" s="5" t="n"/>
      <c r="G650" s="5" t="n"/>
      <c r="H650" s="8" t="n"/>
      <c r="I650" s="8" t="n"/>
      <c r="J650" s="8" t="n"/>
      <c r="K650" s="11">
        <f>IF(B650="","",MAX(0,IFERROR(I650,0)*IFERROR(H650,0)-IFERROR(J650,0)))</f>
        <v/>
      </c>
      <c r="L650" s="8" t="n"/>
      <c r="M650" s="11">
        <f>IF(B650="","",MAX(0,K650-L650))</f>
        <v/>
      </c>
      <c r="N650" s="11">
        <f>IF(B650="","",IF(L650&gt;=K650,"Paid",IF(L650&gt;0,"Partial","Unpaid")))</f>
        <v/>
      </c>
      <c r="O650" s="5" t="n"/>
      <c r="P650" s="8" t="n"/>
      <c r="Q650" s="8" t="n"/>
      <c r="R650" s="11">
        <f>IF(B650="","",IFERROR(K650,0)+IFERROR(P650,0)-IFERROR(Q650,0))</f>
        <v/>
      </c>
      <c r="S650" s="5" t="n"/>
      <c r="T650" s="5" t="n"/>
      <c r="U650" s="11">
        <f>IF(B650="","",TRIM(LOWER(C650)&amp;"|"&amp;LOWER(D650)))</f>
        <v/>
      </c>
    </row>
    <row r="651">
      <c r="A651" s="11">
        <f>IF(B651="","",TEXT(ROW()-3,"""DC-""0000"))</f>
        <v/>
      </c>
      <c r="B651" s="5" t="n"/>
      <c r="C651" s="5" t="n"/>
      <c r="D651" s="5" t="n"/>
      <c r="E651" s="5" t="n"/>
      <c r="F651" s="5" t="n"/>
      <c r="G651" s="5" t="n"/>
      <c r="H651" s="8" t="n"/>
      <c r="I651" s="8" t="n"/>
      <c r="J651" s="8" t="n"/>
      <c r="K651" s="11">
        <f>IF(B651="","",MAX(0,IFERROR(I651,0)*IFERROR(H651,0)-IFERROR(J651,0)))</f>
        <v/>
      </c>
      <c r="L651" s="8" t="n"/>
      <c r="M651" s="11">
        <f>IF(B651="","",MAX(0,K651-L651))</f>
        <v/>
      </c>
      <c r="N651" s="11">
        <f>IF(B651="","",IF(L651&gt;=K651,"Paid",IF(L651&gt;0,"Partial","Unpaid")))</f>
        <v/>
      </c>
      <c r="O651" s="5" t="n"/>
      <c r="P651" s="8" t="n"/>
      <c r="Q651" s="8" t="n"/>
      <c r="R651" s="11">
        <f>IF(B651="","",IFERROR(K651,0)+IFERROR(P651,0)-IFERROR(Q651,0))</f>
        <v/>
      </c>
      <c r="S651" s="5" t="n"/>
      <c r="T651" s="5" t="n"/>
      <c r="U651" s="11">
        <f>IF(B651="","",TRIM(LOWER(C651)&amp;"|"&amp;LOWER(D651)))</f>
        <v/>
      </c>
    </row>
    <row r="652">
      <c r="A652" s="11">
        <f>IF(B652="","",TEXT(ROW()-3,"""DC-""0000"))</f>
        <v/>
      </c>
      <c r="B652" s="5" t="n"/>
      <c r="C652" s="5" t="n"/>
      <c r="D652" s="5" t="n"/>
      <c r="E652" s="5" t="n"/>
      <c r="F652" s="5" t="n"/>
      <c r="G652" s="5" t="n"/>
      <c r="H652" s="8" t="n"/>
      <c r="I652" s="8" t="n"/>
      <c r="J652" s="8" t="n"/>
      <c r="K652" s="11">
        <f>IF(B652="","",MAX(0,IFERROR(I652,0)*IFERROR(H652,0)-IFERROR(J652,0)))</f>
        <v/>
      </c>
      <c r="L652" s="8" t="n"/>
      <c r="M652" s="11">
        <f>IF(B652="","",MAX(0,K652-L652))</f>
        <v/>
      </c>
      <c r="N652" s="11">
        <f>IF(B652="","",IF(L652&gt;=K652,"Paid",IF(L652&gt;0,"Partial","Unpaid")))</f>
        <v/>
      </c>
      <c r="O652" s="5" t="n"/>
      <c r="P652" s="8" t="n"/>
      <c r="Q652" s="8" t="n"/>
      <c r="R652" s="11">
        <f>IF(B652="","",IFERROR(K652,0)+IFERROR(P652,0)-IFERROR(Q652,0))</f>
        <v/>
      </c>
      <c r="S652" s="5" t="n"/>
      <c r="T652" s="5" t="n"/>
      <c r="U652" s="11">
        <f>IF(B652="","",TRIM(LOWER(C652)&amp;"|"&amp;LOWER(D652)))</f>
        <v/>
      </c>
    </row>
    <row r="653">
      <c r="A653" s="11">
        <f>IF(B653="","",TEXT(ROW()-3,"""DC-""0000"))</f>
        <v/>
      </c>
      <c r="B653" s="5" t="n"/>
      <c r="C653" s="5" t="n"/>
      <c r="D653" s="5" t="n"/>
      <c r="E653" s="5" t="n"/>
      <c r="F653" s="5" t="n"/>
      <c r="G653" s="5" t="n"/>
      <c r="H653" s="8" t="n"/>
      <c r="I653" s="8" t="n"/>
      <c r="J653" s="8" t="n"/>
      <c r="K653" s="11">
        <f>IF(B653="","",MAX(0,IFERROR(I653,0)*IFERROR(H653,0)-IFERROR(J653,0)))</f>
        <v/>
      </c>
      <c r="L653" s="8" t="n"/>
      <c r="M653" s="11">
        <f>IF(B653="","",MAX(0,K653-L653))</f>
        <v/>
      </c>
      <c r="N653" s="11">
        <f>IF(B653="","",IF(L653&gt;=K653,"Paid",IF(L653&gt;0,"Partial","Unpaid")))</f>
        <v/>
      </c>
      <c r="O653" s="5" t="n"/>
      <c r="P653" s="8" t="n"/>
      <c r="Q653" s="8" t="n"/>
      <c r="R653" s="11">
        <f>IF(B653="","",IFERROR(K653,0)+IFERROR(P653,0)-IFERROR(Q653,0))</f>
        <v/>
      </c>
      <c r="S653" s="5" t="n"/>
      <c r="T653" s="5" t="n"/>
      <c r="U653" s="11">
        <f>IF(B653="","",TRIM(LOWER(C653)&amp;"|"&amp;LOWER(D653)))</f>
        <v/>
      </c>
    </row>
    <row r="654">
      <c r="A654" s="11">
        <f>IF(B654="","",TEXT(ROW()-3,"""DC-""0000"))</f>
        <v/>
      </c>
      <c r="B654" s="5" t="n"/>
      <c r="C654" s="5" t="n"/>
      <c r="D654" s="5" t="n"/>
      <c r="E654" s="5" t="n"/>
      <c r="F654" s="5" t="n"/>
      <c r="G654" s="5" t="n"/>
      <c r="H654" s="8" t="n"/>
      <c r="I654" s="8" t="n"/>
      <c r="J654" s="8" t="n"/>
      <c r="K654" s="11">
        <f>IF(B654="","",MAX(0,IFERROR(I654,0)*IFERROR(H654,0)-IFERROR(J654,0)))</f>
        <v/>
      </c>
      <c r="L654" s="8" t="n"/>
      <c r="M654" s="11">
        <f>IF(B654="","",MAX(0,K654-L654))</f>
        <v/>
      </c>
      <c r="N654" s="11">
        <f>IF(B654="","",IF(L654&gt;=K654,"Paid",IF(L654&gt;0,"Partial","Unpaid")))</f>
        <v/>
      </c>
      <c r="O654" s="5" t="n"/>
      <c r="P654" s="8" t="n"/>
      <c r="Q654" s="8" t="n"/>
      <c r="R654" s="11">
        <f>IF(B654="","",IFERROR(K654,0)+IFERROR(P654,0)-IFERROR(Q654,0))</f>
        <v/>
      </c>
      <c r="S654" s="5" t="n"/>
      <c r="T654" s="5" t="n"/>
      <c r="U654" s="11">
        <f>IF(B654="","",TRIM(LOWER(C654)&amp;"|"&amp;LOWER(D654)))</f>
        <v/>
      </c>
    </row>
    <row r="655">
      <c r="A655" s="11">
        <f>IF(B655="","",TEXT(ROW()-3,"""DC-""0000"))</f>
        <v/>
      </c>
      <c r="B655" s="5" t="n"/>
      <c r="C655" s="5" t="n"/>
      <c r="D655" s="5" t="n"/>
      <c r="E655" s="5" t="n"/>
      <c r="F655" s="5" t="n"/>
      <c r="G655" s="5" t="n"/>
      <c r="H655" s="8" t="n"/>
      <c r="I655" s="8" t="n"/>
      <c r="J655" s="8" t="n"/>
      <c r="K655" s="11">
        <f>IF(B655="","",MAX(0,IFERROR(I655,0)*IFERROR(H655,0)-IFERROR(J655,0)))</f>
        <v/>
      </c>
      <c r="L655" s="8" t="n"/>
      <c r="M655" s="11">
        <f>IF(B655="","",MAX(0,K655-L655))</f>
        <v/>
      </c>
      <c r="N655" s="11">
        <f>IF(B655="","",IF(L655&gt;=K655,"Paid",IF(L655&gt;0,"Partial","Unpaid")))</f>
        <v/>
      </c>
      <c r="O655" s="5" t="n"/>
      <c r="P655" s="8" t="n"/>
      <c r="Q655" s="8" t="n"/>
      <c r="R655" s="11">
        <f>IF(B655="","",IFERROR(K655,0)+IFERROR(P655,0)-IFERROR(Q655,0))</f>
        <v/>
      </c>
      <c r="S655" s="5" t="n"/>
      <c r="T655" s="5" t="n"/>
      <c r="U655" s="11">
        <f>IF(B655="","",TRIM(LOWER(C655)&amp;"|"&amp;LOWER(D655)))</f>
        <v/>
      </c>
    </row>
    <row r="656">
      <c r="A656" s="11">
        <f>IF(B656="","",TEXT(ROW()-3,"""DC-""0000"))</f>
        <v/>
      </c>
      <c r="B656" s="5" t="n"/>
      <c r="C656" s="5" t="n"/>
      <c r="D656" s="5" t="n"/>
      <c r="E656" s="5" t="n"/>
      <c r="F656" s="5" t="n"/>
      <c r="G656" s="5" t="n"/>
      <c r="H656" s="8" t="n"/>
      <c r="I656" s="8" t="n"/>
      <c r="J656" s="8" t="n"/>
      <c r="K656" s="11">
        <f>IF(B656="","",MAX(0,IFERROR(I656,0)*IFERROR(H656,0)-IFERROR(J656,0)))</f>
        <v/>
      </c>
      <c r="L656" s="8" t="n"/>
      <c r="M656" s="11">
        <f>IF(B656="","",MAX(0,K656-L656))</f>
        <v/>
      </c>
      <c r="N656" s="11">
        <f>IF(B656="","",IF(L656&gt;=K656,"Paid",IF(L656&gt;0,"Partial","Unpaid")))</f>
        <v/>
      </c>
      <c r="O656" s="5" t="n"/>
      <c r="P656" s="8" t="n"/>
      <c r="Q656" s="8" t="n"/>
      <c r="R656" s="11">
        <f>IF(B656="","",IFERROR(K656,0)+IFERROR(P656,0)-IFERROR(Q656,0))</f>
        <v/>
      </c>
      <c r="S656" s="5" t="n"/>
      <c r="T656" s="5" t="n"/>
      <c r="U656" s="11">
        <f>IF(B656="","",TRIM(LOWER(C656)&amp;"|"&amp;LOWER(D656)))</f>
        <v/>
      </c>
    </row>
    <row r="657">
      <c r="A657" s="11">
        <f>IF(B657="","",TEXT(ROW()-3,"""DC-""0000"))</f>
        <v/>
      </c>
      <c r="B657" s="5" t="n"/>
      <c r="C657" s="5" t="n"/>
      <c r="D657" s="5" t="n"/>
      <c r="E657" s="5" t="n"/>
      <c r="F657" s="5" t="n"/>
      <c r="G657" s="5" t="n"/>
      <c r="H657" s="8" t="n"/>
      <c r="I657" s="8" t="n"/>
      <c r="J657" s="8" t="n"/>
      <c r="K657" s="11">
        <f>IF(B657="","",MAX(0,IFERROR(I657,0)*IFERROR(H657,0)-IFERROR(J657,0)))</f>
        <v/>
      </c>
      <c r="L657" s="8" t="n"/>
      <c r="M657" s="11">
        <f>IF(B657="","",MAX(0,K657-L657))</f>
        <v/>
      </c>
      <c r="N657" s="11">
        <f>IF(B657="","",IF(L657&gt;=K657,"Paid",IF(L657&gt;0,"Partial","Unpaid")))</f>
        <v/>
      </c>
      <c r="O657" s="5" t="n"/>
      <c r="P657" s="8" t="n"/>
      <c r="Q657" s="8" t="n"/>
      <c r="R657" s="11">
        <f>IF(B657="","",IFERROR(K657,0)+IFERROR(P657,0)-IFERROR(Q657,0))</f>
        <v/>
      </c>
      <c r="S657" s="5" t="n"/>
      <c r="T657" s="5" t="n"/>
      <c r="U657" s="11">
        <f>IF(B657="","",TRIM(LOWER(C657)&amp;"|"&amp;LOWER(D657)))</f>
        <v/>
      </c>
    </row>
    <row r="658">
      <c r="A658" s="11">
        <f>IF(B658="","",TEXT(ROW()-3,"""DC-""0000"))</f>
        <v/>
      </c>
      <c r="B658" s="5" t="n"/>
      <c r="C658" s="5" t="n"/>
      <c r="D658" s="5" t="n"/>
      <c r="E658" s="5" t="n"/>
      <c r="F658" s="5" t="n"/>
      <c r="G658" s="5" t="n"/>
      <c r="H658" s="8" t="n"/>
      <c r="I658" s="8" t="n"/>
      <c r="J658" s="8" t="n"/>
      <c r="K658" s="11">
        <f>IF(B658="","",MAX(0,IFERROR(I658,0)*IFERROR(H658,0)-IFERROR(J658,0)))</f>
        <v/>
      </c>
      <c r="L658" s="8" t="n"/>
      <c r="M658" s="11">
        <f>IF(B658="","",MAX(0,K658-L658))</f>
        <v/>
      </c>
      <c r="N658" s="11">
        <f>IF(B658="","",IF(L658&gt;=K658,"Paid",IF(L658&gt;0,"Partial","Unpaid")))</f>
        <v/>
      </c>
      <c r="O658" s="5" t="n"/>
      <c r="P658" s="8" t="n"/>
      <c r="Q658" s="8" t="n"/>
      <c r="R658" s="11">
        <f>IF(B658="","",IFERROR(K658,0)+IFERROR(P658,0)-IFERROR(Q658,0))</f>
        <v/>
      </c>
      <c r="S658" s="5" t="n"/>
      <c r="T658" s="5" t="n"/>
      <c r="U658" s="11">
        <f>IF(B658="","",TRIM(LOWER(C658)&amp;"|"&amp;LOWER(D658)))</f>
        <v/>
      </c>
    </row>
    <row r="659">
      <c r="A659" s="11">
        <f>IF(B659="","",TEXT(ROW()-3,"""DC-""0000"))</f>
        <v/>
      </c>
      <c r="B659" s="5" t="n"/>
      <c r="C659" s="5" t="n"/>
      <c r="D659" s="5" t="n"/>
      <c r="E659" s="5" t="n"/>
      <c r="F659" s="5" t="n"/>
      <c r="G659" s="5" t="n"/>
      <c r="H659" s="8" t="n"/>
      <c r="I659" s="8" t="n"/>
      <c r="J659" s="8" t="n"/>
      <c r="K659" s="11">
        <f>IF(B659="","",MAX(0,IFERROR(I659,0)*IFERROR(H659,0)-IFERROR(J659,0)))</f>
        <v/>
      </c>
      <c r="L659" s="8" t="n"/>
      <c r="M659" s="11">
        <f>IF(B659="","",MAX(0,K659-L659))</f>
        <v/>
      </c>
      <c r="N659" s="11">
        <f>IF(B659="","",IF(L659&gt;=K659,"Paid",IF(L659&gt;0,"Partial","Unpaid")))</f>
        <v/>
      </c>
      <c r="O659" s="5" t="n"/>
      <c r="P659" s="8" t="n"/>
      <c r="Q659" s="8" t="n"/>
      <c r="R659" s="11">
        <f>IF(B659="","",IFERROR(K659,0)+IFERROR(P659,0)-IFERROR(Q659,0))</f>
        <v/>
      </c>
      <c r="S659" s="5" t="n"/>
      <c r="T659" s="5" t="n"/>
      <c r="U659" s="11">
        <f>IF(B659="","",TRIM(LOWER(C659)&amp;"|"&amp;LOWER(D659)))</f>
        <v/>
      </c>
    </row>
    <row r="660">
      <c r="A660" s="11">
        <f>IF(B660="","",TEXT(ROW()-3,"""DC-""0000"))</f>
        <v/>
      </c>
      <c r="B660" s="5" t="n"/>
      <c r="C660" s="5" t="n"/>
      <c r="D660" s="5" t="n"/>
      <c r="E660" s="5" t="n"/>
      <c r="F660" s="5" t="n"/>
      <c r="G660" s="5" t="n"/>
      <c r="H660" s="8" t="n"/>
      <c r="I660" s="8" t="n"/>
      <c r="J660" s="8" t="n"/>
      <c r="K660" s="11">
        <f>IF(B660="","",MAX(0,IFERROR(I660,0)*IFERROR(H660,0)-IFERROR(J660,0)))</f>
        <v/>
      </c>
      <c r="L660" s="8" t="n"/>
      <c r="M660" s="11">
        <f>IF(B660="","",MAX(0,K660-L660))</f>
        <v/>
      </c>
      <c r="N660" s="11">
        <f>IF(B660="","",IF(L660&gt;=K660,"Paid",IF(L660&gt;0,"Partial","Unpaid")))</f>
        <v/>
      </c>
      <c r="O660" s="5" t="n"/>
      <c r="P660" s="8" t="n"/>
      <c r="Q660" s="8" t="n"/>
      <c r="R660" s="11">
        <f>IF(B660="","",IFERROR(K660,0)+IFERROR(P660,0)-IFERROR(Q660,0))</f>
        <v/>
      </c>
      <c r="S660" s="5" t="n"/>
      <c r="T660" s="5" t="n"/>
      <c r="U660" s="11">
        <f>IF(B660="","",TRIM(LOWER(C660)&amp;"|"&amp;LOWER(D660)))</f>
        <v/>
      </c>
    </row>
    <row r="661">
      <c r="A661" s="11">
        <f>IF(B661="","",TEXT(ROW()-3,"""DC-""0000"))</f>
        <v/>
      </c>
      <c r="B661" s="5" t="n"/>
      <c r="C661" s="5" t="n"/>
      <c r="D661" s="5" t="n"/>
      <c r="E661" s="5" t="n"/>
      <c r="F661" s="5" t="n"/>
      <c r="G661" s="5" t="n"/>
      <c r="H661" s="8" t="n"/>
      <c r="I661" s="8" t="n"/>
      <c r="J661" s="8" t="n"/>
      <c r="K661" s="11">
        <f>IF(B661="","",MAX(0,IFERROR(I661,0)*IFERROR(H661,0)-IFERROR(J661,0)))</f>
        <v/>
      </c>
      <c r="L661" s="8" t="n"/>
      <c r="M661" s="11">
        <f>IF(B661="","",MAX(0,K661-L661))</f>
        <v/>
      </c>
      <c r="N661" s="11">
        <f>IF(B661="","",IF(L661&gt;=K661,"Paid",IF(L661&gt;0,"Partial","Unpaid")))</f>
        <v/>
      </c>
      <c r="O661" s="5" t="n"/>
      <c r="P661" s="8" t="n"/>
      <c r="Q661" s="8" t="n"/>
      <c r="R661" s="11">
        <f>IF(B661="","",IFERROR(K661,0)+IFERROR(P661,0)-IFERROR(Q661,0))</f>
        <v/>
      </c>
      <c r="S661" s="5" t="n"/>
      <c r="T661" s="5" t="n"/>
      <c r="U661" s="11">
        <f>IF(B661="","",TRIM(LOWER(C661)&amp;"|"&amp;LOWER(D661)))</f>
        <v/>
      </c>
    </row>
    <row r="662">
      <c r="A662" s="11">
        <f>IF(B662="","",TEXT(ROW()-3,"""DC-""0000"))</f>
        <v/>
      </c>
      <c r="B662" s="5" t="n"/>
      <c r="C662" s="5" t="n"/>
      <c r="D662" s="5" t="n"/>
      <c r="E662" s="5" t="n"/>
      <c r="F662" s="5" t="n"/>
      <c r="G662" s="5" t="n"/>
      <c r="H662" s="8" t="n"/>
      <c r="I662" s="8" t="n"/>
      <c r="J662" s="8" t="n"/>
      <c r="K662" s="11">
        <f>IF(B662="","",MAX(0,IFERROR(I662,0)*IFERROR(H662,0)-IFERROR(J662,0)))</f>
        <v/>
      </c>
      <c r="L662" s="8" t="n"/>
      <c r="M662" s="11">
        <f>IF(B662="","",MAX(0,K662-L662))</f>
        <v/>
      </c>
      <c r="N662" s="11">
        <f>IF(B662="","",IF(L662&gt;=K662,"Paid",IF(L662&gt;0,"Partial","Unpaid")))</f>
        <v/>
      </c>
      <c r="O662" s="5" t="n"/>
      <c r="P662" s="8" t="n"/>
      <c r="Q662" s="8" t="n"/>
      <c r="R662" s="11">
        <f>IF(B662="","",IFERROR(K662,0)+IFERROR(P662,0)-IFERROR(Q662,0))</f>
        <v/>
      </c>
      <c r="S662" s="5" t="n"/>
      <c r="T662" s="5" t="n"/>
      <c r="U662" s="11">
        <f>IF(B662="","",TRIM(LOWER(C662)&amp;"|"&amp;LOWER(D662)))</f>
        <v/>
      </c>
    </row>
    <row r="663">
      <c r="A663" s="11">
        <f>IF(B663="","",TEXT(ROW()-3,"""DC-""0000"))</f>
        <v/>
      </c>
      <c r="B663" s="5" t="n"/>
      <c r="C663" s="5" t="n"/>
      <c r="D663" s="5" t="n"/>
      <c r="E663" s="5" t="n"/>
      <c r="F663" s="5" t="n"/>
      <c r="G663" s="5" t="n"/>
      <c r="H663" s="8" t="n"/>
      <c r="I663" s="8" t="n"/>
      <c r="J663" s="8" t="n"/>
      <c r="K663" s="11">
        <f>IF(B663="","",MAX(0,IFERROR(I663,0)*IFERROR(H663,0)-IFERROR(J663,0)))</f>
        <v/>
      </c>
      <c r="L663" s="8" t="n"/>
      <c r="M663" s="11">
        <f>IF(B663="","",MAX(0,K663-L663))</f>
        <v/>
      </c>
      <c r="N663" s="11">
        <f>IF(B663="","",IF(L663&gt;=K663,"Paid",IF(L663&gt;0,"Partial","Unpaid")))</f>
        <v/>
      </c>
      <c r="O663" s="5" t="n"/>
      <c r="P663" s="8" t="n"/>
      <c r="Q663" s="8" t="n"/>
      <c r="R663" s="11">
        <f>IF(B663="","",IFERROR(K663,0)+IFERROR(P663,0)-IFERROR(Q663,0))</f>
        <v/>
      </c>
      <c r="S663" s="5" t="n"/>
      <c r="T663" s="5" t="n"/>
      <c r="U663" s="11">
        <f>IF(B663="","",TRIM(LOWER(C663)&amp;"|"&amp;LOWER(D663)))</f>
        <v/>
      </c>
    </row>
    <row r="664">
      <c r="A664" s="11">
        <f>IF(B664="","",TEXT(ROW()-3,"""DC-""0000"))</f>
        <v/>
      </c>
      <c r="B664" s="5" t="n"/>
      <c r="C664" s="5" t="n"/>
      <c r="D664" s="5" t="n"/>
      <c r="E664" s="5" t="n"/>
      <c r="F664" s="5" t="n"/>
      <c r="G664" s="5" t="n"/>
      <c r="H664" s="8" t="n"/>
      <c r="I664" s="8" t="n"/>
      <c r="J664" s="8" t="n"/>
      <c r="K664" s="11">
        <f>IF(B664="","",MAX(0,IFERROR(I664,0)*IFERROR(H664,0)-IFERROR(J664,0)))</f>
        <v/>
      </c>
      <c r="L664" s="8" t="n"/>
      <c r="M664" s="11">
        <f>IF(B664="","",MAX(0,K664-L664))</f>
        <v/>
      </c>
      <c r="N664" s="11">
        <f>IF(B664="","",IF(L664&gt;=K664,"Paid",IF(L664&gt;0,"Partial","Unpaid")))</f>
        <v/>
      </c>
      <c r="O664" s="5" t="n"/>
      <c r="P664" s="8" t="n"/>
      <c r="Q664" s="8" t="n"/>
      <c r="R664" s="11">
        <f>IF(B664="","",IFERROR(K664,0)+IFERROR(P664,0)-IFERROR(Q664,0))</f>
        <v/>
      </c>
      <c r="S664" s="5" t="n"/>
      <c r="T664" s="5" t="n"/>
      <c r="U664" s="11">
        <f>IF(B664="","",TRIM(LOWER(C664)&amp;"|"&amp;LOWER(D664)))</f>
        <v/>
      </c>
    </row>
    <row r="665">
      <c r="A665" s="11">
        <f>IF(B665="","",TEXT(ROW()-3,"""DC-""0000"))</f>
        <v/>
      </c>
      <c r="B665" s="5" t="n"/>
      <c r="C665" s="5" t="n"/>
      <c r="D665" s="5" t="n"/>
      <c r="E665" s="5" t="n"/>
      <c r="F665" s="5" t="n"/>
      <c r="G665" s="5" t="n"/>
      <c r="H665" s="8" t="n"/>
      <c r="I665" s="8" t="n"/>
      <c r="J665" s="8" t="n"/>
      <c r="K665" s="11">
        <f>IF(B665="","",MAX(0,IFERROR(I665,0)*IFERROR(H665,0)-IFERROR(J665,0)))</f>
        <v/>
      </c>
      <c r="L665" s="8" t="n"/>
      <c r="M665" s="11">
        <f>IF(B665="","",MAX(0,K665-L665))</f>
        <v/>
      </c>
      <c r="N665" s="11">
        <f>IF(B665="","",IF(L665&gt;=K665,"Paid",IF(L665&gt;0,"Partial","Unpaid")))</f>
        <v/>
      </c>
      <c r="O665" s="5" t="n"/>
      <c r="P665" s="8" t="n"/>
      <c r="Q665" s="8" t="n"/>
      <c r="R665" s="11">
        <f>IF(B665="","",IFERROR(K665,0)+IFERROR(P665,0)-IFERROR(Q665,0))</f>
        <v/>
      </c>
      <c r="S665" s="5" t="n"/>
      <c r="T665" s="5" t="n"/>
      <c r="U665" s="11">
        <f>IF(B665="","",TRIM(LOWER(C665)&amp;"|"&amp;LOWER(D665)))</f>
        <v/>
      </c>
    </row>
    <row r="666">
      <c r="A666" s="11">
        <f>IF(B666="","",TEXT(ROW()-3,"""DC-""0000"))</f>
        <v/>
      </c>
      <c r="B666" s="5" t="n"/>
      <c r="C666" s="5" t="n"/>
      <c r="D666" s="5" t="n"/>
      <c r="E666" s="5" t="n"/>
      <c r="F666" s="5" t="n"/>
      <c r="G666" s="5" t="n"/>
      <c r="H666" s="8" t="n"/>
      <c r="I666" s="8" t="n"/>
      <c r="J666" s="8" t="n"/>
      <c r="K666" s="11">
        <f>IF(B666="","",MAX(0,IFERROR(I666,0)*IFERROR(H666,0)-IFERROR(J666,0)))</f>
        <v/>
      </c>
      <c r="L666" s="8" t="n"/>
      <c r="M666" s="11">
        <f>IF(B666="","",MAX(0,K666-L666))</f>
        <v/>
      </c>
      <c r="N666" s="11">
        <f>IF(B666="","",IF(L666&gt;=K666,"Paid",IF(L666&gt;0,"Partial","Unpaid")))</f>
        <v/>
      </c>
      <c r="O666" s="5" t="n"/>
      <c r="P666" s="8" t="n"/>
      <c r="Q666" s="8" t="n"/>
      <c r="R666" s="11">
        <f>IF(B666="","",IFERROR(K666,0)+IFERROR(P666,0)-IFERROR(Q666,0))</f>
        <v/>
      </c>
      <c r="S666" s="5" t="n"/>
      <c r="T666" s="5" t="n"/>
      <c r="U666" s="11">
        <f>IF(B666="","",TRIM(LOWER(C666)&amp;"|"&amp;LOWER(D666)))</f>
        <v/>
      </c>
    </row>
    <row r="667">
      <c r="A667" s="11">
        <f>IF(B667="","",TEXT(ROW()-3,"""DC-""0000"))</f>
        <v/>
      </c>
      <c r="B667" s="5" t="n"/>
      <c r="C667" s="5" t="n"/>
      <c r="D667" s="5" t="n"/>
      <c r="E667" s="5" t="n"/>
      <c r="F667" s="5" t="n"/>
      <c r="G667" s="5" t="n"/>
      <c r="H667" s="8" t="n"/>
      <c r="I667" s="8" t="n"/>
      <c r="J667" s="8" t="n"/>
      <c r="K667" s="11">
        <f>IF(B667="","",MAX(0,IFERROR(I667,0)*IFERROR(H667,0)-IFERROR(J667,0)))</f>
        <v/>
      </c>
      <c r="L667" s="8" t="n"/>
      <c r="M667" s="11">
        <f>IF(B667="","",MAX(0,K667-L667))</f>
        <v/>
      </c>
      <c r="N667" s="11">
        <f>IF(B667="","",IF(L667&gt;=K667,"Paid",IF(L667&gt;0,"Partial","Unpaid")))</f>
        <v/>
      </c>
      <c r="O667" s="5" t="n"/>
      <c r="P667" s="8" t="n"/>
      <c r="Q667" s="8" t="n"/>
      <c r="R667" s="11">
        <f>IF(B667="","",IFERROR(K667,0)+IFERROR(P667,0)-IFERROR(Q667,0))</f>
        <v/>
      </c>
      <c r="S667" s="5" t="n"/>
      <c r="T667" s="5" t="n"/>
      <c r="U667" s="11">
        <f>IF(B667="","",TRIM(LOWER(C667)&amp;"|"&amp;LOWER(D667)))</f>
        <v/>
      </c>
    </row>
    <row r="668">
      <c r="A668" s="11">
        <f>IF(B668="","",TEXT(ROW()-3,"""DC-""0000"))</f>
        <v/>
      </c>
      <c r="B668" s="5" t="n"/>
      <c r="C668" s="5" t="n"/>
      <c r="D668" s="5" t="n"/>
      <c r="E668" s="5" t="n"/>
      <c r="F668" s="5" t="n"/>
      <c r="G668" s="5" t="n"/>
      <c r="H668" s="8" t="n"/>
      <c r="I668" s="8" t="n"/>
      <c r="J668" s="8" t="n"/>
      <c r="K668" s="11">
        <f>IF(B668="","",MAX(0,IFERROR(I668,0)*IFERROR(H668,0)-IFERROR(J668,0)))</f>
        <v/>
      </c>
      <c r="L668" s="8" t="n"/>
      <c r="M668" s="11">
        <f>IF(B668="","",MAX(0,K668-L668))</f>
        <v/>
      </c>
      <c r="N668" s="11">
        <f>IF(B668="","",IF(L668&gt;=K668,"Paid",IF(L668&gt;0,"Partial","Unpaid")))</f>
        <v/>
      </c>
      <c r="O668" s="5" t="n"/>
      <c r="P668" s="8" t="n"/>
      <c r="Q668" s="8" t="n"/>
      <c r="R668" s="11">
        <f>IF(B668="","",IFERROR(K668,0)+IFERROR(P668,0)-IFERROR(Q668,0))</f>
        <v/>
      </c>
      <c r="S668" s="5" t="n"/>
      <c r="T668" s="5" t="n"/>
      <c r="U668" s="11">
        <f>IF(B668="","",TRIM(LOWER(C668)&amp;"|"&amp;LOWER(D668)))</f>
        <v/>
      </c>
    </row>
    <row r="669">
      <c r="A669" s="11">
        <f>IF(B669="","",TEXT(ROW()-3,"""DC-""0000"))</f>
        <v/>
      </c>
      <c r="B669" s="5" t="n"/>
      <c r="C669" s="5" t="n"/>
      <c r="D669" s="5" t="n"/>
      <c r="E669" s="5" t="n"/>
      <c r="F669" s="5" t="n"/>
      <c r="G669" s="5" t="n"/>
      <c r="H669" s="8" t="n"/>
      <c r="I669" s="8" t="n"/>
      <c r="J669" s="8" t="n"/>
      <c r="K669" s="11">
        <f>IF(B669="","",MAX(0,IFERROR(I669,0)*IFERROR(H669,0)-IFERROR(J669,0)))</f>
        <v/>
      </c>
      <c r="L669" s="8" t="n"/>
      <c r="M669" s="11">
        <f>IF(B669="","",MAX(0,K669-L669))</f>
        <v/>
      </c>
      <c r="N669" s="11">
        <f>IF(B669="","",IF(L669&gt;=K669,"Paid",IF(L669&gt;0,"Partial","Unpaid")))</f>
        <v/>
      </c>
      <c r="O669" s="5" t="n"/>
      <c r="P669" s="8" t="n"/>
      <c r="Q669" s="8" t="n"/>
      <c r="R669" s="11">
        <f>IF(B669="","",IFERROR(K669,0)+IFERROR(P669,0)-IFERROR(Q669,0))</f>
        <v/>
      </c>
      <c r="S669" s="5" t="n"/>
      <c r="T669" s="5" t="n"/>
      <c r="U669" s="11">
        <f>IF(B669="","",TRIM(LOWER(C669)&amp;"|"&amp;LOWER(D669)))</f>
        <v/>
      </c>
    </row>
    <row r="670">
      <c r="A670" s="11">
        <f>IF(B670="","",TEXT(ROW()-3,"""DC-""0000"))</f>
        <v/>
      </c>
      <c r="B670" s="5" t="n"/>
      <c r="C670" s="5" t="n"/>
      <c r="D670" s="5" t="n"/>
      <c r="E670" s="5" t="n"/>
      <c r="F670" s="5" t="n"/>
      <c r="G670" s="5" t="n"/>
      <c r="H670" s="8" t="n"/>
      <c r="I670" s="8" t="n"/>
      <c r="J670" s="8" t="n"/>
      <c r="K670" s="11">
        <f>IF(B670="","",MAX(0,IFERROR(I670,0)*IFERROR(H670,0)-IFERROR(J670,0)))</f>
        <v/>
      </c>
      <c r="L670" s="8" t="n"/>
      <c r="M670" s="11">
        <f>IF(B670="","",MAX(0,K670-L670))</f>
        <v/>
      </c>
      <c r="N670" s="11">
        <f>IF(B670="","",IF(L670&gt;=K670,"Paid",IF(L670&gt;0,"Partial","Unpaid")))</f>
        <v/>
      </c>
      <c r="O670" s="5" t="n"/>
      <c r="P670" s="8" t="n"/>
      <c r="Q670" s="8" t="n"/>
      <c r="R670" s="11">
        <f>IF(B670="","",IFERROR(K670,0)+IFERROR(P670,0)-IFERROR(Q670,0))</f>
        <v/>
      </c>
      <c r="S670" s="5" t="n"/>
      <c r="T670" s="5" t="n"/>
      <c r="U670" s="11">
        <f>IF(B670="","",TRIM(LOWER(C670)&amp;"|"&amp;LOWER(D670)))</f>
        <v/>
      </c>
    </row>
    <row r="671">
      <c r="A671" s="11">
        <f>IF(B671="","",TEXT(ROW()-3,"""DC-""0000"))</f>
        <v/>
      </c>
      <c r="B671" s="5" t="n"/>
      <c r="C671" s="5" t="n"/>
      <c r="D671" s="5" t="n"/>
      <c r="E671" s="5" t="n"/>
      <c r="F671" s="5" t="n"/>
      <c r="G671" s="5" t="n"/>
      <c r="H671" s="8" t="n"/>
      <c r="I671" s="8" t="n"/>
      <c r="J671" s="8" t="n"/>
      <c r="K671" s="11">
        <f>IF(B671="","",MAX(0,IFERROR(I671,0)*IFERROR(H671,0)-IFERROR(J671,0)))</f>
        <v/>
      </c>
      <c r="L671" s="8" t="n"/>
      <c r="M671" s="11">
        <f>IF(B671="","",MAX(0,K671-L671))</f>
        <v/>
      </c>
      <c r="N671" s="11">
        <f>IF(B671="","",IF(L671&gt;=K671,"Paid",IF(L671&gt;0,"Partial","Unpaid")))</f>
        <v/>
      </c>
      <c r="O671" s="5" t="n"/>
      <c r="P671" s="8" t="n"/>
      <c r="Q671" s="8" t="n"/>
      <c r="R671" s="11">
        <f>IF(B671="","",IFERROR(K671,0)+IFERROR(P671,0)-IFERROR(Q671,0))</f>
        <v/>
      </c>
      <c r="S671" s="5" t="n"/>
      <c r="T671" s="5" t="n"/>
      <c r="U671" s="11">
        <f>IF(B671="","",TRIM(LOWER(C671)&amp;"|"&amp;LOWER(D671)))</f>
        <v/>
      </c>
    </row>
    <row r="672">
      <c r="A672" s="11">
        <f>IF(B672="","",TEXT(ROW()-3,"""DC-""0000"))</f>
        <v/>
      </c>
      <c r="B672" s="5" t="n"/>
      <c r="C672" s="5" t="n"/>
      <c r="D672" s="5" t="n"/>
      <c r="E672" s="5" t="n"/>
      <c r="F672" s="5" t="n"/>
      <c r="G672" s="5" t="n"/>
      <c r="H672" s="8" t="n"/>
      <c r="I672" s="8" t="n"/>
      <c r="J672" s="8" t="n"/>
      <c r="K672" s="11">
        <f>IF(B672="","",MAX(0,IFERROR(I672,0)*IFERROR(H672,0)-IFERROR(J672,0)))</f>
        <v/>
      </c>
      <c r="L672" s="8" t="n"/>
      <c r="M672" s="11">
        <f>IF(B672="","",MAX(0,K672-L672))</f>
        <v/>
      </c>
      <c r="N672" s="11">
        <f>IF(B672="","",IF(L672&gt;=K672,"Paid",IF(L672&gt;0,"Partial","Unpaid")))</f>
        <v/>
      </c>
      <c r="O672" s="5" t="n"/>
      <c r="P672" s="8" t="n"/>
      <c r="Q672" s="8" t="n"/>
      <c r="R672" s="11">
        <f>IF(B672="","",IFERROR(K672,0)+IFERROR(P672,0)-IFERROR(Q672,0))</f>
        <v/>
      </c>
      <c r="S672" s="5" t="n"/>
      <c r="T672" s="5" t="n"/>
      <c r="U672" s="11">
        <f>IF(B672="","",TRIM(LOWER(C672)&amp;"|"&amp;LOWER(D672)))</f>
        <v/>
      </c>
    </row>
    <row r="673">
      <c r="A673" s="11">
        <f>IF(B673="","",TEXT(ROW()-3,"""DC-""0000"))</f>
        <v/>
      </c>
      <c r="B673" s="5" t="n"/>
      <c r="C673" s="5" t="n"/>
      <c r="D673" s="5" t="n"/>
      <c r="E673" s="5" t="n"/>
      <c r="F673" s="5" t="n"/>
      <c r="G673" s="5" t="n"/>
      <c r="H673" s="8" t="n"/>
      <c r="I673" s="8" t="n"/>
      <c r="J673" s="8" t="n"/>
      <c r="K673" s="11">
        <f>IF(B673="","",MAX(0,IFERROR(I673,0)*IFERROR(H673,0)-IFERROR(J673,0)))</f>
        <v/>
      </c>
      <c r="L673" s="8" t="n"/>
      <c r="M673" s="11">
        <f>IF(B673="","",MAX(0,K673-L673))</f>
        <v/>
      </c>
      <c r="N673" s="11">
        <f>IF(B673="","",IF(L673&gt;=K673,"Paid",IF(L673&gt;0,"Partial","Unpaid")))</f>
        <v/>
      </c>
      <c r="O673" s="5" t="n"/>
      <c r="P673" s="8" t="n"/>
      <c r="Q673" s="8" t="n"/>
      <c r="R673" s="11">
        <f>IF(B673="","",IFERROR(K673,0)+IFERROR(P673,0)-IFERROR(Q673,0))</f>
        <v/>
      </c>
      <c r="S673" s="5" t="n"/>
      <c r="T673" s="5" t="n"/>
      <c r="U673" s="11">
        <f>IF(B673="","",TRIM(LOWER(C673)&amp;"|"&amp;LOWER(D673)))</f>
        <v/>
      </c>
    </row>
    <row r="674">
      <c r="A674" s="11">
        <f>IF(B674="","",TEXT(ROW()-3,"""DC-""0000"))</f>
        <v/>
      </c>
      <c r="B674" s="5" t="n"/>
      <c r="C674" s="5" t="n"/>
      <c r="D674" s="5" t="n"/>
      <c r="E674" s="5" t="n"/>
      <c r="F674" s="5" t="n"/>
      <c r="G674" s="5" t="n"/>
      <c r="H674" s="8" t="n"/>
      <c r="I674" s="8" t="n"/>
      <c r="J674" s="8" t="n"/>
      <c r="K674" s="11">
        <f>IF(B674="","",MAX(0,IFERROR(I674,0)*IFERROR(H674,0)-IFERROR(J674,0)))</f>
        <v/>
      </c>
      <c r="L674" s="8" t="n"/>
      <c r="M674" s="11">
        <f>IF(B674="","",MAX(0,K674-L674))</f>
        <v/>
      </c>
      <c r="N674" s="11">
        <f>IF(B674="","",IF(L674&gt;=K674,"Paid",IF(L674&gt;0,"Partial","Unpaid")))</f>
        <v/>
      </c>
      <c r="O674" s="5" t="n"/>
      <c r="P674" s="8" t="n"/>
      <c r="Q674" s="8" t="n"/>
      <c r="R674" s="11">
        <f>IF(B674="","",IFERROR(K674,0)+IFERROR(P674,0)-IFERROR(Q674,0))</f>
        <v/>
      </c>
      <c r="S674" s="5" t="n"/>
      <c r="T674" s="5" t="n"/>
      <c r="U674" s="11">
        <f>IF(B674="","",TRIM(LOWER(C674)&amp;"|"&amp;LOWER(D674)))</f>
        <v/>
      </c>
    </row>
    <row r="675">
      <c r="A675" s="11">
        <f>IF(B675="","",TEXT(ROW()-3,"""DC-""0000"))</f>
        <v/>
      </c>
      <c r="B675" s="5" t="n"/>
      <c r="C675" s="5" t="n"/>
      <c r="D675" s="5" t="n"/>
      <c r="E675" s="5" t="n"/>
      <c r="F675" s="5" t="n"/>
      <c r="G675" s="5" t="n"/>
      <c r="H675" s="8" t="n"/>
      <c r="I675" s="8" t="n"/>
      <c r="J675" s="8" t="n"/>
      <c r="K675" s="11">
        <f>IF(B675="","",MAX(0,IFERROR(I675,0)*IFERROR(H675,0)-IFERROR(J675,0)))</f>
        <v/>
      </c>
      <c r="L675" s="8" t="n"/>
      <c r="M675" s="11">
        <f>IF(B675="","",MAX(0,K675-L675))</f>
        <v/>
      </c>
      <c r="N675" s="11">
        <f>IF(B675="","",IF(L675&gt;=K675,"Paid",IF(L675&gt;0,"Partial","Unpaid")))</f>
        <v/>
      </c>
      <c r="O675" s="5" t="n"/>
      <c r="P675" s="8" t="n"/>
      <c r="Q675" s="8" t="n"/>
      <c r="R675" s="11">
        <f>IF(B675="","",IFERROR(K675,0)+IFERROR(P675,0)-IFERROR(Q675,0))</f>
        <v/>
      </c>
      <c r="S675" s="5" t="n"/>
      <c r="T675" s="5" t="n"/>
      <c r="U675" s="11">
        <f>IF(B675="","",TRIM(LOWER(C675)&amp;"|"&amp;LOWER(D675)))</f>
        <v/>
      </c>
    </row>
    <row r="676">
      <c r="A676" s="11">
        <f>IF(B676="","",TEXT(ROW()-3,"""DC-""0000"))</f>
        <v/>
      </c>
      <c r="B676" s="5" t="n"/>
      <c r="C676" s="5" t="n"/>
      <c r="D676" s="5" t="n"/>
      <c r="E676" s="5" t="n"/>
      <c r="F676" s="5" t="n"/>
      <c r="G676" s="5" t="n"/>
      <c r="H676" s="8" t="n"/>
      <c r="I676" s="8" t="n"/>
      <c r="J676" s="8" t="n"/>
      <c r="K676" s="11">
        <f>IF(B676="","",MAX(0,IFERROR(I676,0)*IFERROR(H676,0)-IFERROR(J676,0)))</f>
        <v/>
      </c>
      <c r="L676" s="8" t="n"/>
      <c r="M676" s="11">
        <f>IF(B676="","",MAX(0,K676-L676))</f>
        <v/>
      </c>
      <c r="N676" s="11">
        <f>IF(B676="","",IF(L676&gt;=K676,"Paid",IF(L676&gt;0,"Partial","Unpaid")))</f>
        <v/>
      </c>
      <c r="O676" s="5" t="n"/>
      <c r="P676" s="8" t="n"/>
      <c r="Q676" s="8" t="n"/>
      <c r="R676" s="11">
        <f>IF(B676="","",IFERROR(K676,0)+IFERROR(P676,0)-IFERROR(Q676,0))</f>
        <v/>
      </c>
      <c r="S676" s="5" t="n"/>
      <c r="T676" s="5" t="n"/>
      <c r="U676" s="11">
        <f>IF(B676="","",TRIM(LOWER(C676)&amp;"|"&amp;LOWER(D676)))</f>
        <v/>
      </c>
    </row>
    <row r="677">
      <c r="A677" s="11">
        <f>IF(B677="","",TEXT(ROW()-3,"""DC-""0000"))</f>
        <v/>
      </c>
      <c r="B677" s="5" t="n"/>
      <c r="C677" s="5" t="n"/>
      <c r="D677" s="5" t="n"/>
      <c r="E677" s="5" t="n"/>
      <c r="F677" s="5" t="n"/>
      <c r="G677" s="5" t="n"/>
      <c r="H677" s="8" t="n"/>
      <c r="I677" s="8" t="n"/>
      <c r="J677" s="8" t="n"/>
      <c r="K677" s="11">
        <f>IF(B677="","",MAX(0,IFERROR(I677,0)*IFERROR(H677,0)-IFERROR(J677,0)))</f>
        <v/>
      </c>
      <c r="L677" s="8" t="n"/>
      <c r="M677" s="11">
        <f>IF(B677="","",MAX(0,K677-L677))</f>
        <v/>
      </c>
      <c r="N677" s="11">
        <f>IF(B677="","",IF(L677&gt;=K677,"Paid",IF(L677&gt;0,"Partial","Unpaid")))</f>
        <v/>
      </c>
      <c r="O677" s="5" t="n"/>
      <c r="P677" s="8" t="n"/>
      <c r="Q677" s="8" t="n"/>
      <c r="R677" s="11">
        <f>IF(B677="","",IFERROR(K677,0)+IFERROR(P677,0)-IFERROR(Q677,0))</f>
        <v/>
      </c>
      <c r="S677" s="5" t="n"/>
      <c r="T677" s="5" t="n"/>
      <c r="U677" s="11">
        <f>IF(B677="","",TRIM(LOWER(C677)&amp;"|"&amp;LOWER(D677)))</f>
        <v/>
      </c>
    </row>
    <row r="678">
      <c r="A678" s="11">
        <f>IF(B678="","",TEXT(ROW()-3,"""DC-""0000"))</f>
        <v/>
      </c>
      <c r="B678" s="5" t="n"/>
      <c r="C678" s="5" t="n"/>
      <c r="D678" s="5" t="n"/>
      <c r="E678" s="5" t="n"/>
      <c r="F678" s="5" t="n"/>
      <c r="G678" s="5" t="n"/>
      <c r="H678" s="8" t="n"/>
      <c r="I678" s="8" t="n"/>
      <c r="J678" s="8" t="n"/>
      <c r="K678" s="11">
        <f>IF(B678="","",MAX(0,IFERROR(I678,0)*IFERROR(H678,0)-IFERROR(J678,0)))</f>
        <v/>
      </c>
      <c r="L678" s="8" t="n"/>
      <c r="M678" s="11">
        <f>IF(B678="","",MAX(0,K678-L678))</f>
        <v/>
      </c>
      <c r="N678" s="11">
        <f>IF(B678="","",IF(L678&gt;=K678,"Paid",IF(L678&gt;0,"Partial","Unpaid")))</f>
        <v/>
      </c>
      <c r="O678" s="5" t="n"/>
      <c r="P678" s="8" t="n"/>
      <c r="Q678" s="8" t="n"/>
      <c r="R678" s="11">
        <f>IF(B678="","",IFERROR(K678,0)+IFERROR(P678,0)-IFERROR(Q678,0))</f>
        <v/>
      </c>
      <c r="S678" s="5" t="n"/>
      <c r="T678" s="5" t="n"/>
      <c r="U678" s="11">
        <f>IF(B678="","",TRIM(LOWER(C678)&amp;"|"&amp;LOWER(D678)))</f>
        <v/>
      </c>
    </row>
    <row r="679">
      <c r="A679" s="11">
        <f>IF(B679="","",TEXT(ROW()-3,"""DC-""0000"))</f>
        <v/>
      </c>
      <c r="B679" s="5" t="n"/>
      <c r="C679" s="5" t="n"/>
      <c r="D679" s="5" t="n"/>
      <c r="E679" s="5" t="n"/>
      <c r="F679" s="5" t="n"/>
      <c r="G679" s="5" t="n"/>
      <c r="H679" s="8" t="n"/>
      <c r="I679" s="8" t="n"/>
      <c r="J679" s="8" t="n"/>
      <c r="K679" s="11">
        <f>IF(B679="","",MAX(0,IFERROR(I679,0)*IFERROR(H679,0)-IFERROR(J679,0)))</f>
        <v/>
      </c>
      <c r="L679" s="8" t="n"/>
      <c r="M679" s="11">
        <f>IF(B679="","",MAX(0,K679-L679))</f>
        <v/>
      </c>
      <c r="N679" s="11">
        <f>IF(B679="","",IF(L679&gt;=K679,"Paid",IF(L679&gt;0,"Partial","Unpaid")))</f>
        <v/>
      </c>
      <c r="O679" s="5" t="n"/>
      <c r="P679" s="8" t="n"/>
      <c r="Q679" s="8" t="n"/>
      <c r="R679" s="11">
        <f>IF(B679="","",IFERROR(K679,0)+IFERROR(P679,0)-IFERROR(Q679,0))</f>
        <v/>
      </c>
      <c r="S679" s="5" t="n"/>
      <c r="T679" s="5" t="n"/>
      <c r="U679" s="11">
        <f>IF(B679="","",TRIM(LOWER(C679)&amp;"|"&amp;LOWER(D679)))</f>
        <v/>
      </c>
    </row>
    <row r="680">
      <c r="A680" s="11">
        <f>IF(B680="","",TEXT(ROW()-3,"""DC-""0000"))</f>
        <v/>
      </c>
      <c r="B680" s="5" t="n"/>
      <c r="C680" s="5" t="n"/>
      <c r="D680" s="5" t="n"/>
      <c r="E680" s="5" t="n"/>
      <c r="F680" s="5" t="n"/>
      <c r="G680" s="5" t="n"/>
      <c r="H680" s="8" t="n"/>
      <c r="I680" s="8" t="n"/>
      <c r="J680" s="8" t="n"/>
      <c r="K680" s="11">
        <f>IF(B680="","",MAX(0,IFERROR(I680,0)*IFERROR(H680,0)-IFERROR(J680,0)))</f>
        <v/>
      </c>
      <c r="L680" s="8" t="n"/>
      <c r="M680" s="11">
        <f>IF(B680="","",MAX(0,K680-L680))</f>
        <v/>
      </c>
      <c r="N680" s="11">
        <f>IF(B680="","",IF(L680&gt;=K680,"Paid",IF(L680&gt;0,"Partial","Unpaid")))</f>
        <v/>
      </c>
      <c r="O680" s="5" t="n"/>
      <c r="P680" s="8" t="n"/>
      <c r="Q680" s="8" t="n"/>
      <c r="R680" s="11">
        <f>IF(B680="","",IFERROR(K680,0)+IFERROR(P680,0)-IFERROR(Q680,0))</f>
        <v/>
      </c>
      <c r="S680" s="5" t="n"/>
      <c r="T680" s="5" t="n"/>
      <c r="U680" s="11">
        <f>IF(B680="","",TRIM(LOWER(C680)&amp;"|"&amp;LOWER(D680)))</f>
        <v/>
      </c>
    </row>
    <row r="681">
      <c r="A681" s="11">
        <f>IF(B681="","",TEXT(ROW()-3,"""DC-""0000"))</f>
        <v/>
      </c>
      <c r="B681" s="5" t="n"/>
      <c r="C681" s="5" t="n"/>
      <c r="D681" s="5" t="n"/>
      <c r="E681" s="5" t="n"/>
      <c r="F681" s="5" t="n"/>
      <c r="G681" s="5" t="n"/>
      <c r="H681" s="8" t="n"/>
      <c r="I681" s="8" t="n"/>
      <c r="J681" s="8" t="n"/>
      <c r="K681" s="11">
        <f>IF(B681="","",MAX(0,IFERROR(I681,0)*IFERROR(H681,0)-IFERROR(J681,0)))</f>
        <v/>
      </c>
      <c r="L681" s="8" t="n"/>
      <c r="M681" s="11">
        <f>IF(B681="","",MAX(0,K681-L681))</f>
        <v/>
      </c>
      <c r="N681" s="11">
        <f>IF(B681="","",IF(L681&gt;=K681,"Paid",IF(L681&gt;0,"Partial","Unpaid")))</f>
        <v/>
      </c>
      <c r="O681" s="5" t="n"/>
      <c r="P681" s="8" t="n"/>
      <c r="Q681" s="8" t="n"/>
      <c r="R681" s="11">
        <f>IF(B681="","",IFERROR(K681,0)+IFERROR(P681,0)-IFERROR(Q681,0))</f>
        <v/>
      </c>
      <c r="S681" s="5" t="n"/>
      <c r="T681" s="5" t="n"/>
      <c r="U681" s="11">
        <f>IF(B681="","",TRIM(LOWER(C681)&amp;"|"&amp;LOWER(D681)))</f>
        <v/>
      </c>
    </row>
    <row r="682">
      <c r="A682" s="11">
        <f>IF(B682="","",TEXT(ROW()-3,"""DC-""0000"))</f>
        <v/>
      </c>
      <c r="B682" s="5" t="n"/>
      <c r="C682" s="5" t="n"/>
      <c r="D682" s="5" t="n"/>
      <c r="E682" s="5" t="n"/>
      <c r="F682" s="5" t="n"/>
      <c r="G682" s="5" t="n"/>
      <c r="H682" s="8" t="n"/>
      <c r="I682" s="8" t="n"/>
      <c r="J682" s="8" t="n"/>
      <c r="K682" s="11">
        <f>IF(B682="","",MAX(0,IFERROR(I682,0)*IFERROR(H682,0)-IFERROR(J682,0)))</f>
        <v/>
      </c>
      <c r="L682" s="8" t="n"/>
      <c r="M682" s="11">
        <f>IF(B682="","",MAX(0,K682-L682))</f>
        <v/>
      </c>
      <c r="N682" s="11">
        <f>IF(B682="","",IF(L682&gt;=K682,"Paid",IF(L682&gt;0,"Partial","Unpaid")))</f>
        <v/>
      </c>
      <c r="O682" s="5" t="n"/>
      <c r="P682" s="8" t="n"/>
      <c r="Q682" s="8" t="n"/>
      <c r="R682" s="11">
        <f>IF(B682="","",IFERROR(K682,0)+IFERROR(P682,0)-IFERROR(Q682,0))</f>
        <v/>
      </c>
      <c r="S682" s="5" t="n"/>
      <c r="T682" s="5" t="n"/>
      <c r="U682" s="11">
        <f>IF(B682="","",TRIM(LOWER(C682)&amp;"|"&amp;LOWER(D682)))</f>
        <v/>
      </c>
    </row>
    <row r="683">
      <c r="A683" s="11">
        <f>IF(B683="","",TEXT(ROW()-3,"""DC-""0000"))</f>
        <v/>
      </c>
      <c r="B683" s="5" t="n"/>
      <c r="C683" s="5" t="n"/>
      <c r="D683" s="5" t="n"/>
      <c r="E683" s="5" t="n"/>
      <c r="F683" s="5" t="n"/>
      <c r="G683" s="5" t="n"/>
      <c r="H683" s="8" t="n"/>
      <c r="I683" s="8" t="n"/>
      <c r="J683" s="8" t="n"/>
      <c r="K683" s="11">
        <f>IF(B683="","",MAX(0,IFERROR(I683,0)*IFERROR(H683,0)-IFERROR(J683,0)))</f>
        <v/>
      </c>
      <c r="L683" s="8" t="n"/>
      <c r="M683" s="11">
        <f>IF(B683="","",MAX(0,K683-L683))</f>
        <v/>
      </c>
      <c r="N683" s="11">
        <f>IF(B683="","",IF(L683&gt;=K683,"Paid",IF(L683&gt;0,"Partial","Unpaid")))</f>
        <v/>
      </c>
      <c r="O683" s="5" t="n"/>
      <c r="P683" s="8" t="n"/>
      <c r="Q683" s="8" t="n"/>
      <c r="R683" s="11">
        <f>IF(B683="","",IFERROR(K683,0)+IFERROR(P683,0)-IFERROR(Q683,0))</f>
        <v/>
      </c>
      <c r="S683" s="5" t="n"/>
      <c r="T683" s="5" t="n"/>
      <c r="U683" s="11">
        <f>IF(B683="","",TRIM(LOWER(C683)&amp;"|"&amp;LOWER(D683)))</f>
        <v/>
      </c>
    </row>
    <row r="684">
      <c r="A684" s="11">
        <f>IF(B684="","",TEXT(ROW()-3,"""DC-""0000"))</f>
        <v/>
      </c>
      <c r="B684" s="5" t="n"/>
      <c r="C684" s="5" t="n"/>
      <c r="D684" s="5" t="n"/>
      <c r="E684" s="5" t="n"/>
      <c r="F684" s="5" t="n"/>
      <c r="G684" s="5" t="n"/>
      <c r="H684" s="8" t="n"/>
      <c r="I684" s="8" t="n"/>
      <c r="J684" s="8" t="n"/>
      <c r="K684" s="11">
        <f>IF(B684="","",MAX(0,IFERROR(I684,0)*IFERROR(H684,0)-IFERROR(J684,0)))</f>
        <v/>
      </c>
      <c r="L684" s="8" t="n"/>
      <c r="M684" s="11">
        <f>IF(B684="","",MAX(0,K684-L684))</f>
        <v/>
      </c>
      <c r="N684" s="11">
        <f>IF(B684="","",IF(L684&gt;=K684,"Paid",IF(L684&gt;0,"Partial","Unpaid")))</f>
        <v/>
      </c>
      <c r="O684" s="5" t="n"/>
      <c r="P684" s="8" t="n"/>
      <c r="Q684" s="8" t="n"/>
      <c r="R684" s="11">
        <f>IF(B684="","",IFERROR(K684,0)+IFERROR(P684,0)-IFERROR(Q684,0))</f>
        <v/>
      </c>
      <c r="S684" s="5" t="n"/>
      <c r="T684" s="5" t="n"/>
      <c r="U684" s="11">
        <f>IF(B684="","",TRIM(LOWER(C684)&amp;"|"&amp;LOWER(D684)))</f>
        <v/>
      </c>
    </row>
    <row r="685">
      <c r="A685" s="11">
        <f>IF(B685="","",TEXT(ROW()-3,"""DC-""0000"))</f>
        <v/>
      </c>
      <c r="B685" s="5" t="n"/>
      <c r="C685" s="5" t="n"/>
      <c r="D685" s="5" t="n"/>
      <c r="E685" s="5" t="n"/>
      <c r="F685" s="5" t="n"/>
      <c r="G685" s="5" t="n"/>
      <c r="H685" s="8" t="n"/>
      <c r="I685" s="8" t="n"/>
      <c r="J685" s="8" t="n"/>
      <c r="K685" s="11">
        <f>IF(B685="","",MAX(0,IFERROR(I685,0)*IFERROR(H685,0)-IFERROR(J685,0)))</f>
        <v/>
      </c>
      <c r="L685" s="8" t="n"/>
      <c r="M685" s="11">
        <f>IF(B685="","",MAX(0,K685-L685))</f>
        <v/>
      </c>
      <c r="N685" s="11">
        <f>IF(B685="","",IF(L685&gt;=K685,"Paid",IF(L685&gt;0,"Partial","Unpaid")))</f>
        <v/>
      </c>
      <c r="O685" s="5" t="n"/>
      <c r="P685" s="8" t="n"/>
      <c r="Q685" s="8" t="n"/>
      <c r="R685" s="11">
        <f>IF(B685="","",IFERROR(K685,0)+IFERROR(P685,0)-IFERROR(Q685,0))</f>
        <v/>
      </c>
      <c r="S685" s="5" t="n"/>
      <c r="T685" s="5" t="n"/>
      <c r="U685" s="11">
        <f>IF(B685="","",TRIM(LOWER(C685)&amp;"|"&amp;LOWER(D685)))</f>
        <v/>
      </c>
    </row>
    <row r="686">
      <c r="A686" s="11">
        <f>IF(B686="","",TEXT(ROW()-3,"""DC-""0000"))</f>
        <v/>
      </c>
      <c r="B686" s="5" t="n"/>
      <c r="C686" s="5" t="n"/>
      <c r="D686" s="5" t="n"/>
      <c r="E686" s="5" t="n"/>
      <c r="F686" s="5" t="n"/>
      <c r="G686" s="5" t="n"/>
      <c r="H686" s="8" t="n"/>
      <c r="I686" s="8" t="n"/>
      <c r="J686" s="8" t="n"/>
      <c r="K686" s="11">
        <f>IF(B686="","",MAX(0,IFERROR(I686,0)*IFERROR(H686,0)-IFERROR(J686,0)))</f>
        <v/>
      </c>
      <c r="L686" s="8" t="n"/>
      <c r="M686" s="11">
        <f>IF(B686="","",MAX(0,K686-L686))</f>
        <v/>
      </c>
      <c r="N686" s="11">
        <f>IF(B686="","",IF(L686&gt;=K686,"Paid",IF(L686&gt;0,"Partial","Unpaid")))</f>
        <v/>
      </c>
      <c r="O686" s="5" t="n"/>
      <c r="P686" s="8" t="n"/>
      <c r="Q686" s="8" t="n"/>
      <c r="R686" s="11">
        <f>IF(B686="","",IFERROR(K686,0)+IFERROR(P686,0)-IFERROR(Q686,0))</f>
        <v/>
      </c>
      <c r="S686" s="5" t="n"/>
      <c r="T686" s="5" t="n"/>
      <c r="U686" s="11">
        <f>IF(B686="","",TRIM(LOWER(C686)&amp;"|"&amp;LOWER(D686)))</f>
        <v/>
      </c>
    </row>
    <row r="687">
      <c r="A687" s="11">
        <f>IF(B687="","",TEXT(ROW()-3,"""DC-""0000"))</f>
        <v/>
      </c>
      <c r="B687" s="5" t="n"/>
      <c r="C687" s="5" t="n"/>
      <c r="D687" s="5" t="n"/>
      <c r="E687" s="5" t="n"/>
      <c r="F687" s="5" t="n"/>
      <c r="G687" s="5" t="n"/>
      <c r="H687" s="8" t="n"/>
      <c r="I687" s="8" t="n"/>
      <c r="J687" s="8" t="n"/>
      <c r="K687" s="11">
        <f>IF(B687="","",MAX(0,IFERROR(I687,0)*IFERROR(H687,0)-IFERROR(J687,0)))</f>
        <v/>
      </c>
      <c r="L687" s="8" t="n"/>
      <c r="M687" s="11">
        <f>IF(B687="","",MAX(0,K687-L687))</f>
        <v/>
      </c>
      <c r="N687" s="11">
        <f>IF(B687="","",IF(L687&gt;=K687,"Paid",IF(L687&gt;0,"Partial","Unpaid")))</f>
        <v/>
      </c>
      <c r="O687" s="5" t="n"/>
      <c r="P687" s="8" t="n"/>
      <c r="Q687" s="8" t="n"/>
      <c r="R687" s="11">
        <f>IF(B687="","",IFERROR(K687,0)+IFERROR(P687,0)-IFERROR(Q687,0))</f>
        <v/>
      </c>
      <c r="S687" s="5" t="n"/>
      <c r="T687" s="5" t="n"/>
      <c r="U687" s="11">
        <f>IF(B687="","",TRIM(LOWER(C687)&amp;"|"&amp;LOWER(D687)))</f>
        <v/>
      </c>
    </row>
    <row r="688">
      <c r="A688" s="11">
        <f>IF(B688="","",TEXT(ROW()-3,"""DC-""0000"))</f>
        <v/>
      </c>
      <c r="B688" s="5" t="n"/>
      <c r="C688" s="5" t="n"/>
      <c r="D688" s="5" t="n"/>
      <c r="E688" s="5" t="n"/>
      <c r="F688" s="5" t="n"/>
      <c r="G688" s="5" t="n"/>
      <c r="H688" s="8" t="n"/>
      <c r="I688" s="8" t="n"/>
      <c r="J688" s="8" t="n"/>
      <c r="K688" s="11">
        <f>IF(B688="","",MAX(0,IFERROR(I688,0)*IFERROR(H688,0)-IFERROR(J688,0)))</f>
        <v/>
      </c>
      <c r="L688" s="8" t="n"/>
      <c r="M688" s="11">
        <f>IF(B688="","",MAX(0,K688-L688))</f>
        <v/>
      </c>
      <c r="N688" s="11">
        <f>IF(B688="","",IF(L688&gt;=K688,"Paid",IF(L688&gt;0,"Partial","Unpaid")))</f>
        <v/>
      </c>
      <c r="O688" s="5" t="n"/>
      <c r="P688" s="8" t="n"/>
      <c r="Q688" s="8" t="n"/>
      <c r="R688" s="11">
        <f>IF(B688="","",IFERROR(K688,0)+IFERROR(P688,0)-IFERROR(Q688,0))</f>
        <v/>
      </c>
      <c r="S688" s="5" t="n"/>
      <c r="T688" s="5" t="n"/>
      <c r="U688" s="11">
        <f>IF(B688="","",TRIM(LOWER(C688)&amp;"|"&amp;LOWER(D688)))</f>
        <v/>
      </c>
    </row>
    <row r="689">
      <c r="A689" s="11">
        <f>IF(B689="","",TEXT(ROW()-3,"""DC-""0000"))</f>
        <v/>
      </c>
      <c r="B689" s="5" t="n"/>
      <c r="C689" s="5" t="n"/>
      <c r="D689" s="5" t="n"/>
      <c r="E689" s="5" t="n"/>
      <c r="F689" s="5" t="n"/>
      <c r="G689" s="5" t="n"/>
      <c r="H689" s="8" t="n"/>
      <c r="I689" s="8" t="n"/>
      <c r="J689" s="8" t="n"/>
      <c r="K689" s="11">
        <f>IF(B689="","",MAX(0,IFERROR(I689,0)*IFERROR(H689,0)-IFERROR(J689,0)))</f>
        <v/>
      </c>
      <c r="L689" s="8" t="n"/>
      <c r="M689" s="11">
        <f>IF(B689="","",MAX(0,K689-L689))</f>
        <v/>
      </c>
      <c r="N689" s="11">
        <f>IF(B689="","",IF(L689&gt;=K689,"Paid",IF(L689&gt;0,"Partial","Unpaid")))</f>
        <v/>
      </c>
      <c r="O689" s="5" t="n"/>
      <c r="P689" s="8" t="n"/>
      <c r="Q689" s="8" t="n"/>
      <c r="R689" s="11">
        <f>IF(B689="","",IFERROR(K689,0)+IFERROR(P689,0)-IFERROR(Q689,0))</f>
        <v/>
      </c>
      <c r="S689" s="5" t="n"/>
      <c r="T689" s="5" t="n"/>
      <c r="U689" s="11">
        <f>IF(B689="","",TRIM(LOWER(C689)&amp;"|"&amp;LOWER(D689)))</f>
        <v/>
      </c>
    </row>
    <row r="690">
      <c r="A690" s="11">
        <f>IF(B690="","",TEXT(ROW()-3,"""DC-""0000"))</f>
        <v/>
      </c>
      <c r="B690" s="5" t="n"/>
      <c r="C690" s="5" t="n"/>
      <c r="D690" s="5" t="n"/>
      <c r="E690" s="5" t="n"/>
      <c r="F690" s="5" t="n"/>
      <c r="G690" s="5" t="n"/>
      <c r="H690" s="8" t="n"/>
      <c r="I690" s="8" t="n"/>
      <c r="J690" s="8" t="n"/>
      <c r="K690" s="11">
        <f>IF(B690="","",MAX(0,IFERROR(I690,0)*IFERROR(H690,0)-IFERROR(J690,0)))</f>
        <v/>
      </c>
      <c r="L690" s="8" t="n"/>
      <c r="M690" s="11">
        <f>IF(B690="","",MAX(0,K690-L690))</f>
        <v/>
      </c>
      <c r="N690" s="11">
        <f>IF(B690="","",IF(L690&gt;=K690,"Paid",IF(L690&gt;0,"Partial","Unpaid")))</f>
        <v/>
      </c>
      <c r="O690" s="5" t="n"/>
      <c r="P690" s="8" t="n"/>
      <c r="Q690" s="8" t="n"/>
      <c r="R690" s="11">
        <f>IF(B690="","",IFERROR(K690,0)+IFERROR(P690,0)-IFERROR(Q690,0))</f>
        <v/>
      </c>
      <c r="S690" s="5" t="n"/>
      <c r="T690" s="5" t="n"/>
      <c r="U690" s="11">
        <f>IF(B690="","",TRIM(LOWER(C690)&amp;"|"&amp;LOWER(D690)))</f>
        <v/>
      </c>
    </row>
    <row r="691">
      <c r="A691" s="11">
        <f>IF(B691="","",TEXT(ROW()-3,"""DC-""0000"))</f>
        <v/>
      </c>
      <c r="B691" s="5" t="n"/>
      <c r="C691" s="5" t="n"/>
      <c r="D691" s="5" t="n"/>
      <c r="E691" s="5" t="n"/>
      <c r="F691" s="5" t="n"/>
      <c r="G691" s="5" t="n"/>
      <c r="H691" s="8" t="n"/>
      <c r="I691" s="8" t="n"/>
      <c r="J691" s="8" t="n"/>
      <c r="K691" s="11">
        <f>IF(B691="","",MAX(0,IFERROR(I691,0)*IFERROR(H691,0)-IFERROR(J691,0)))</f>
        <v/>
      </c>
      <c r="L691" s="8" t="n"/>
      <c r="M691" s="11">
        <f>IF(B691="","",MAX(0,K691-L691))</f>
        <v/>
      </c>
      <c r="N691" s="11">
        <f>IF(B691="","",IF(L691&gt;=K691,"Paid",IF(L691&gt;0,"Partial","Unpaid")))</f>
        <v/>
      </c>
      <c r="O691" s="5" t="n"/>
      <c r="P691" s="8" t="n"/>
      <c r="Q691" s="8" t="n"/>
      <c r="R691" s="11">
        <f>IF(B691="","",IFERROR(K691,0)+IFERROR(P691,0)-IFERROR(Q691,0))</f>
        <v/>
      </c>
      <c r="S691" s="5" t="n"/>
      <c r="T691" s="5" t="n"/>
      <c r="U691" s="11">
        <f>IF(B691="","",TRIM(LOWER(C691)&amp;"|"&amp;LOWER(D691)))</f>
        <v/>
      </c>
    </row>
    <row r="692">
      <c r="A692" s="11">
        <f>IF(B692="","",TEXT(ROW()-3,"""DC-""0000"))</f>
        <v/>
      </c>
      <c r="B692" s="5" t="n"/>
      <c r="C692" s="5" t="n"/>
      <c r="D692" s="5" t="n"/>
      <c r="E692" s="5" t="n"/>
      <c r="F692" s="5" t="n"/>
      <c r="G692" s="5" t="n"/>
      <c r="H692" s="8" t="n"/>
      <c r="I692" s="8" t="n"/>
      <c r="J692" s="8" t="n"/>
      <c r="K692" s="11">
        <f>IF(B692="","",MAX(0,IFERROR(I692,0)*IFERROR(H692,0)-IFERROR(J692,0)))</f>
        <v/>
      </c>
      <c r="L692" s="8" t="n"/>
      <c r="M692" s="11">
        <f>IF(B692="","",MAX(0,K692-L692))</f>
        <v/>
      </c>
      <c r="N692" s="11">
        <f>IF(B692="","",IF(L692&gt;=K692,"Paid",IF(L692&gt;0,"Partial","Unpaid")))</f>
        <v/>
      </c>
      <c r="O692" s="5" t="n"/>
      <c r="P692" s="8" t="n"/>
      <c r="Q692" s="8" t="n"/>
      <c r="R692" s="11">
        <f>IF(B692="","",IFERROR(K692,0)+IFERROR(P692,0)-IFERROR(Q692,0))</f>
        <v/>
      </c>
      <c r="S692" s="5" t="n"/>
      <c r="T692" s="5" t="n"/>
      <c r="U692" s="11">
        <f>IF(B692="","",TRIM(LOWER(C692)&amp;"|"&amp;LOWER(D692)))</f>
        <v/>
      </c>
    </row>
    <row r="693">
      <c r="A693" s="11">
        <f>IF(B693="","",TEXT(ROW()-3,"""DC-""0000"))</f>
        <v/>
      </c>
      <c r="B693" s="5" t="n"/>
      <c r="C693" s="5" t="n"/>
      <c r="D693" s="5" t="n"/>
      <c r="E693" s="5" t="n"/>
      <c r="F693" s="5" t="n"/>
      <c r="G693" s="5" t="n"/>
      <c r="H693" s="8" t="n"/>
      <c r="I693" s="8" t="n"/>
      <c r="J693" s="8" t="n"/>
      <c r="K693" s="11">
        <f>IF(B693="","",MAX(0,IFERROR(I693,0)*IFERROR(H693,0)-IFERROR(J693,0)))</f>
        <v/>
      </c>
      <c r="L693" s="8" t="n"/>
      <c r="M693" s="11">
        <f>IF(B693="","",MAX(0,K693-L693))</f>
        <v/>
      </c>
      <c r="N693" s="11">
        <f>IF(B693="","",IF(L693&gt;=K693,"Paid",IF(L693&gt;0,"Partial","Unpaid")))</f>
        <v/>
      </c>
      <c r="O693" s="5" t="n"/>
      <c r="P693" s="8" t="n"/>
      <c r="Q693" s="8" t="n"/>
      <c r="R693" s="11">
        <f>IF(B693="","",IFERROR(K693,0)+IFERROR(P693,0)-IFERROR(Q693,0))</f>
        <v/>
      </c>
      <c r="S693" s="5" t="n"/>
      <c r="T693" s="5" t="n"/>
      <c r="U693" s="11">
        <f>IF(B693="","",TRIM(LOWER(C693)&amp;"|"&amp;LOWER(D693)))</f>
        <v/>
      </c>
    </row>
    <row r="694">
      <c r="A694" s="11">
        <f>IF(B694="","",TEXT(ROW()-3,"""DC-""0000"))</f>
        <v/>
      </c>
      <c r="B694" s="5" t="n"/>
      <c r="C694" s="5" t="n"/>
      <c r="D694" s="5" t="n"/>
      <c r="E694" s="5" t="n"/>
      <c r="F694" s="5" t="n"/>
      <c r="G694" s="5" t="n"/>
      <c r="H694" s="8" t="n"/>
      <c r="I694" s="8" t="n"/>
      <c r="J694" s="8" t="n"/>
      <c r="K694" s="11">
        <f>IF(B694="","",MAX(0,IFERROR(I694,0)*IFERROR(H694,0)-IFERROR(J694,0)))</f>
        <v/>
      </c>
      <c r="L694" s="8" t="n"/>
      <c r="M694" s="11">
        <f>IF(B694="","",MAX(0,K694-L694))</f>
        <v/>
      </c>
      <c r="N694" s="11">
        <f>IF(B694="","",IF(L694&gt;=K694,"Paid",IF(L694&gt;0,"Partial","Unpaid")))</f>
        <v/>
      </c>
      <c r="O694" s="5" t="n"/>
      <c r="P694" s="8" t="n"/>
      <c r="Q694" s="8" t="n"/>
      <c r="R694" s="11">
        <f>IF(B694="","",IFERROR(K694,0)+IFERROR(P694,0)-IFERROR(Q694,0))</f>
        <v/>
      </c>
      <c r="S694" s="5" t="n"/>
      <c r="T694" s="5" t="n"/>
      <c r="U694" s="11">
        <f>IF(B694="","",TRIM(LOWER(C694)&amp;"|"&amp;LOWER(D694)))</f>
        <v/>
      </c>
    </row>
    <row r="695">
      <c r="A695" s="11">
        <f>IF(B695="","",TEXT(ROW()-3,"""DC-""0000"))</f>
        <v/>
      </c>
      <c r="B695" s="5" t="n"/>
      <c r="C695" s="5" t="n"/>
      <c r="D695" s="5" t="n"/>
      <c r="E695" s="5" t="n"/>
      <c r="F695" s="5" t="n"/>
      <c r="G695" s="5" t="n"/>
      <c r="H695" s="8" t="n"/>
      <c r="I695" s="8" t="n"/>
      <c r="J695" s="8" t="n"/>
      <c r="K695" s="11">
        <f>IF(B695="","",MAX(0,IFERROR(I695,0)*IFERROR(H695,0)-IFERROR(J695,0)))</f>
        <v/>
      </c>
      <c r="L695" s="8" t="n"/>
      <c r="M695" s="11">
        <f>IF(B695="","",MAX(0,K695-L695))</f>
        <v/>
      </c>
      <c r="N695" s="11">
        <f>IF(B695="","",IF(L695&gt;=K695,"Paid",IF(L695&gt;0,"Partial","Unpaid")))</f>
        <v/>
      </c>
      <c r="O695" s="5" t="n"/>
      <c r="P695" s="8" t="n"/>
      <c r="Q695" s="8" t="n"/>
      <c r="R695" s="11">
        <f>IF(B695="","",IFERROR(K695,0)+IFERROR(P695,0)-IFERROR(Q695,0))</f>
        <v/>
      </c>
      <c r="S695" s="5" t="n"/>
      <c r="T695" s="5" t="n"/>
      <c r="U695" s="11">
        <f>IF(B695="","",TRIM(LOWER(C695)&amp;"|"&amp;LOWER(D695)))</f>
        <v/>
      </c>
    </row>
    <row r="696">
      <c r="A696" s="11">
        <f>IF(B696="","",TEXT(ROW()-3,"""DC-""0000"))</f>
        <v/>
      </c>
      <c r="B696" s="5" t="n"/>
      <c r="C696" s="5" t="n"/>
      <c r="D696" s="5" t="n"/>
      <c r="E696" s="5" t="n"/>
      <c r="F696" s="5" t="n"/>
      <c r="G696" s="5" t="n"/>
      <c r="H696" s="8" t="n"/>
      <c r="I696" s="8" t="n"/>
      <c r="J696" s="8" t="n"/>
      <c r="K696" s="11">
        <f>IF(B696="","",MAX(0,IFERROR(I696,0)*IFERROR(H696,0)-IFERROR(J696,0)))</f>
        <v/>
      </c>
      <c r="L696" s="8" t="n"/>
      <c r="M696" s="11">
        <f>IF(B696="","",MAX(0,K696-L696))</f>
        <v/>
      </c>
      <c r="N696" s="11">
        <f>IF(B696="","",IF(L696&gt;=K696,"Paid",IF(L696&gt;0,"Partial","Unpaid")))</f>
        <v/>
      </c>
      <c r="O696" s="5" t="n"/>
      <c r="P696" s="8" t="n"/>
      <c r="Q696" s="8" t="n"/>
      <c r="R696" s="11">
        <f>IF(B696="","",IFERROR(K696,0)+IFERROR(P696,0)-IFERROR(Q696,0))</f>
        <v/>
      </c>
      <c r="S696" s="5" t="n"/>
      <c r="T696" s="5" t="n"/>
      <c r="U696" s="11">
        <f>IF(B696="","",TRIM(LOWER(C696)&amp;"|"&amp;LOWER(D696)))</f>
        <v/>
      </c>
    </row>
    <row r="697">
      <c r="A697" s="11">
        <f>IF(B697="","",TEXT(ROW()-3,"""DC-""0000"))</f>
        <v/>
      </c>
      <c r="B697" s="5" t="n"/>
      <c r="C697" s="5" t="n"/>
      <c r="D697" s="5" t="n"/>
      <c r="E697" s="5" t="n"/>
      <c r="F697" s="5" t="n"/>
      <c r="G697" s="5" t="n"/>
      <c r="H697" s="8" t="n"/>
      <c r="I697" s="8" t="n"/>
      <c r="J697" s="8" t="n"/>
      <c r="K697" s="11">
        <f>IF(B697="","",MAX(0,IFERROR(I697,0)*IFERROR(H697,0)-IFERROR(J697,0)))</f>
        <v/>
      </c>
      <c r="L697" s="8" t="n"/>
      <c r="M697" s="11">
        <f>IF(B697="","",MAX(0,K697-L697))</f>
        <v/>
      </c>
      <c r="N697" s="11">
        <f>IF(B697="","",IF(L697&gt;=K697,"Paid",IF(L697&gt;0,"Partial","Unpaid")))</f>
        <v/>
      </c>
      <c r="O697" s="5" t="n"/>
      <c r="P697" s="8" t="n"/>
      <c r="Q697" s="8" t="n"/>
      <c r="R697" s="11">
        <f>IF(B697="","",IFERROR(K697,0)+IFERROR(P697,0)-IFERROR(Q697,0))</f>
        <v/>
      </c>
      <c r="S697" s="5" t="n"/>
      <c r="T697" s="5" t="n"/>
      <c r="U697" s="11">
        <f>IF(B697="","",TRIM(LOWER(C697)&amp;"|"&amp;LOWER(D697)))</f>
        <v/>
      </c>
    </row>
    <row r="698">
      <c r="A698" s="11">
        <f>IF(B698="","",TEXT(ROW()-3,"""DC-""0000"))</f>
        <v/>
      </c>
      <c r="B698" s="5" t="n"/>
      <c r="C698" s="5" t="n"/>
      <c r="D698" s="5" t="n"/>
      <c r="E698" s="5" t="n"/>
      <c r="F698" s="5" t="n"/>
      <c r="G698" s="5" t="n"/>
      <c r="H698" s="8" t="n"/>
      <c r="I698" s="8" t="n"/>
      <c r="J698" s="8" t="n"/>
      <c r="K698" s="11">
        <f>IF(B698="","",MAX(0,IFERROR(I698,0)*IFERROR(H698,0)-IFERROR(J698,0)))</f>
        <v/>
      </c>
      <c r="L698" s="8" t="n"/>
      <c r="M698" s="11">
        <f>IF(B698="","",MAX(0,K698-L698))</f>
        <v/>
      </c>
      <c r="N698" s="11">
        <f>IF(B698="","",IF(L698&gt;=K698,"Paid",IF(L698&gt;0,"Partial","Unpaid")))</f>
        <v/>
      </c>
      <c r="O698" s="5" t="n"/>
      <c r="P698" s="8" t="n"/>
      <c r="Q698" s="8" t="n"/>
      <c r="R698" s="11">
        <f>IF(B698="","",IFERROR(K698,0)+IFERROR(P698,0)-IFERROR(Q698,0))</f>
        <v/>
      </c>
      <c r="S698" s="5" t="n"/>
      <c r="T698" s="5" t="n"/>
      <c r="U698" s="11">
        <f>IF(B698="","",TRIM(LOWER(C698)&amp;"|"&amp;LOWER(D698)))</f>
        <v/>
      </c>
    </row>
    <row r="699">
      <c r="A699" s="11">
        <f>IF(B699="","",TEXT(ROW()-3,"""DC-""0000"))</f>
        <v/>
      </c>
      <c r="B699" s="5" t="n"/>
      <c r="C699" s="5" t="n"/>
      <c r="D699" s="5" t="n"/>
      <c r="E699" s="5" t="n"/>
      <c r="F699" s="5" t="n"/>
      <c r="G699" s="5" t="n"/>
      <c r="H699" s="8" t="n"/>
      <c r="I699" s="8" t="n"/>
      <c r="J699" s="8" t="n"/>
      <c r="K699" s="11">
        <f>IF(B699="","",MAX(0,IFERROR(I699,0)*IFERROR(H699,0)-IFERROR(J699,0)))</f>
        <v/>
      </c>
      <c r="L699" s="8" t="n"/>
      <c r="M699" s="11">
        <f>IF(B699="","",MAX(0,K699-L699))</f>
        <v/>
      </c>
      <c r="N699" s="11">
        <f>IF(B699="","",IF(L699&gt;=K699,"Paid",IF(L699&gt;0,"Partial","Unpaid")))</f>
        <v/>
      </c>
      <c r="O699" s="5" t="n"/>
      <c r="P699" s="8" t="n"/>
      <c r="Q699" s="8" t="n"/>
      <c r="R699" s="11">
        <f>IF(B699="","",IFERROR(K699,0)+IFERROR(P699,0)-IFERROR(Q699,0))</f>
        <v/>
      </c>
      <c r="S699" s="5" t="n"/>
      <c r="T699" s="5" t="n"/>
      <c r="U699" s="11">
        <f>IF(B699="","",TRIM(LOWER(C699)&amp;"|"&amp;LOWER(D699)))</f>
        <v/>
      </c>
    </row>
    <row r="700">
      <c r="A700" s="11">
        <f>IF(B700="","",TEXT(ROW()-3,"""DC-""0000"))</f>
        <v/>
      </c>
      <c r="B700" s="5" t="n"/>
      <c r="C700" s="5" t="n"/>
      <c r="D700" s="5" t="n"/>
      <c r="E700" s="5" t="n"/>
      <c r="F700" s="5" t="n"/>
      <c r="G700" s="5" t="n"/>
      <c r="H700" s="8" t="n"/>
      <c r="I700" s="8" t="n"/>
      <c r="J700" s="8" t="n"/>
      <c r="K700" s="11">
        <f>IF(B700="","",MAX(0,IFERROR(I700,0)*IFERROR(H700,0)-IFERROR(J700,0)))</f>
        <v/>
      </c>
      <c r="L700" s="8" t="n"/>
      <c r="M700" s="11">
        <f>IF(B700="","",MAX(0,K700-L700))</f>
        <v/>
      </c>
      <c r="N700" s="11">
        <f>IF(B700="","",IF(L700&gt;=K700,"Paid",IF(L700&gt;0,"Partial","Unpaid")))</f>
        <v/>
      </c>
      <c r="O700" s="5" t="n"/>
      <c r="P700" s="8" t="n"/>
      <c r="Q700" s="8" t="n"/>
      <c r="R700" s="11">
        <f>IF(B700="","",IFERROR(K700,0)+IFERROR(P700,0)-IFERROR(Q700,0))</f>
        <v/>
      </c>
      <c r="S700" s="5" t="n"/>
      <c r="T700" s="5" t="n"/>
      <c r="U700" s="11">
        <f>IF(B700="","",TRIM(LOWER(C700)&amp;"|"&amp;LOWER(D700)))</f>
        <v/>
      </c>
    </row>
    <row r="701">
      <c r="A701" s="11">
        <f>IF(B701="","",TEXT(ROW()-3,"""DC-""0000"))</f>
        <v/>
      </c>
      <c r="B701" s="5" t="n"/>
      <c r="C701" s="5" t="n"/>
      <c r="D701" s="5" t="n"/>
      <c r="E701" s="5" t="n"/>
      <c r="F701" s="5" t="n"/>
      <c r="G701" s="5" t="n"/>
      <c r="H701" s="8" t="n"/>
      <c r="I701" s="8" t="n"/>
      <c r="J701" s="8" t="n"/>
      <c r="K701" s="11">
        <f>IF(B701="","",MAX(0,IFERROR(I701,0)*IFERROR(H701,0)-IFERROR(J701,0)))</f>
        <v/>
      </c>
      <c r="L701" s="8" t="n"/>
      <c r="M701" s="11">
        <f>IF(B701="","",MAX(0,K701-L701))</f>
        <v/>
      </c>
      <c r="N701" s="11">
        <f>IF(B701="","",IF(L701&gt;=K701,"Paid",IF(L701&gt;0,"Partial","Unpaid")))</f>
        <v/>
      </c>
      <c r="O701" s="5" t="n"/>
      <c r="P701" s="8" t="n"/>
      <c r="Q701" s="8" t="n"/>
      <c r="R701" s="11">
        <f>IF(B701="","",IFERROR(K701,0)+IFERROR(P701,0)-IFERROR(Q701,0))</f>
        <v/>
      </c>
      <c r="S701" s="5" t="n"/>
      <c r="T701" s="5" t="n"/>
      <c r="U701" s="11">
        <f>IF(B701="","",TRIM(LOWER(C701)&amp;"|"&amp;LOWER(D701)))</f>
        <v/>
      </c>
    </row>
    <row r="702">
      <c r="A702" s="11">
        <f>IF(B702="","",TEXT(ROW()-3,"""DC-""0000"))</f>
        <v/>
      </c>
      <c r="B702" s="5" t="n"/>
      <c r="C702" s="5" t="n"/>
      <c r="D702" s="5" t="n"/>
      <c r="E702" s="5" t="n"/>
      <c r="F702" s="5" t="n"/>
      <c r="G702" s="5" t="n"/>
      <c r="H702" s="8" t="n"/>
      <c r="I702" s="8" t="n"/>
      <c r="J702" s="8" t="n"/>
      <c r="K702" s="11">
        <f>IF(B702="","",MAX(0,IFERROR(I702,0)*IFERROR(H702,0)-IFERROR(J702,0)))</f>
        <v/>
      </c>
      <c r="L702" s="8" t="n"/>
      <c r="M702" s="11">
        <f>IF(B702="","",MAX(0,K702-L702))</f>
        <v/>
      </c>
      <c r="N702" s="11">
        <f>IF(B702="","",IF(L702&gt;=K702,"Paid",IF(L702&gt;0,"Partial","Unpaid")))</f>
        <v/>
      </c>
      <c r="O702" s="5" t="n"/>
      <c r="P702" s="8" t="n"/>
      <c r="Q702" s="8" t="n"/>
      <c r="R702" s="11">
        <f>IF(B702="","",IFERROR(K702,0)+IFERROR(P702,0)-IFERROR(Q702,0))</f>
        <v/>
      </c>
      <c r="S702" s="5" t="n"/>
      <c r="T702" s="5" t="n"/>
      <c r="U702" s="11">
        <f>IF(B702="","",TRIM(LOWER(C702)&amp;"|"&amp;LOWER(D702)))</f>
        <v/>
      </c>
    </row>
    <row r="703">
      <c r="A703" s="11">
        <f>IF(B703="","",TEXT(ROW()-3,"""DC-""0000"))</f>
        <v/>
      </c>
      <c r="B703" s="5" t="n"/>
      <c r="C703" s="5" t="n"/>
      <c r="D703" s="5" t="n"/>
      <c r="E703" s="5" t="n"/>
      <c r="F703" s="5" t="n"/>
      <c r="G703" s="5" t="n"/>
      <c r="H703" s="8" t="n"/>
      <c r="I703" s="8" t="n"/>
      <c r="J703" s="8" t="n"/>
      <c r="K703" s="11">
        <f>IF(B703="","",MAX(0,IFERROR(I703,0)*IFERROR(H703,0)-IFERROR(J703,0)))</f>
        <v/>
      </c>
      <c r="L703" s="8" t="n"/>
      <c r="M703" s="11">
        <f>IF(B703="","",MAX(0,K703-L703))</f>
        <v/>
      </c>
      <c r="N703" s="11">
        <f>IF(B703="","",IF(L703&gt;=K703,"Paid",IF(L703&gt;0,"Partial","Unpaid")))</f>
        <v/>
      </c>
      <c r="O703" s="5" t="n"/>
      <c r="P703" s="8" t="n"/>
      <c r="Q703" s="8" t="n"/>
      <c r="R703" s="11">
        <f>IF(B703="","",IFERROR(K703,0)+IFERROR(P703,0)-IFERROR(Q703,0))</f>
        <v/>
      </c>
      <c r="S703" s="5" t="n"/>
      <c r="T703" s="5" t="n"/>
      <c r="U703" s="11">
        <f>IF(B703="","",TRIM(LOWER(C703)&amp;"|"&amp;LOWER(D703)))</f>
        <v/>
      </c>
    </row>
    <row r="704">
      <c r="A704" s="11">
        <f>IF(B704="","",TEXT(ROW()-3,"""DC-""0000"))</f>
        <v/>
      </c>
      <c r="B704" s="5" t="n"/>
      <c r="C704" s="5" t="n"/>
      <c r="D704" s="5" t="n"/>
      <c r="E704" s="5" t="n"/>
      <c r="F704" s="5" t="n"/>
      <c r="G704" s="5" t="n"/>
      <c r="H704" s="8" t="n"/>
      <c r="I704" s="8" t="n"/>
      <c r="J704" s="8" t="n"/>
      <c r="K704" s="11">
        <f>IF(B704="","",MAX(0,IFERROR(I704,0)*IFERROR(H704,0)-IFERROR(J704,0)))</f>
        <v/>
      </c>
      <c r="L704" s="8" t="n"/>
      <c r="M704" s="11">
        <f>IF(B704="","",MAX(0,K704-L704))</f>
        <v/>
      </c>
      <c r="N704" s="11">
        <f>IF(B704="","",IF(L704&gt;=K704,"Paid",IF(L704&gt;0,"Partial","Unpaid")))</f>
        <v/>
      </c>
      <c r="O704" s="5" t="n"/>
      <c r="P704" s="8" t="n"/>
      <c r="Q704" s="8" t="n"/>
      <c r="R704" s="11">
        <f>IF(B704="","",IFERROR(K704,0)+IFERROR(P704,0)-IFERROR(Q704,0))</f>
        <v/>
      </c>
      <c r="S704" s="5" t="n"/>
      <c r="T704" s="5" t="n"/>
      <c r="U704" s="11">
        <f>IF(B704="","",TRIM(LOWER(C704)&amp;"|"&amp;LOWER(D704)))</f>
        <v/>
      </c>
    </row>
    <row r="705">
      <c r="A705" s="11">
        <f>IF(B705="","",TEXT(ROW()-3,"""DC-""0000"))</f>
        <v/>
      </c>
      <c r="B705" s="5" t="n"/>
      <c r="C705" s="5" t="n"/>
      <c r="D705" s="5" t="n"/>
      <c r="E705" s="5" t="n"/>
      <c r="F705" s="5" t="n"/>
      <c r="G705" s="5" t="n"/>
      <c r="H705" s="8" t="n"/>
      <c r="I705" s="8" t="n"/>
      <c r="J705" s="8" t="n"/>
      <c r="K705" s="11">
        <f>IF(B705="","",MAX(0,IFERROR(I705,0)*IFERROR(H705,0)-IFERROR(J705,0)))</f>
        <v/>
      </c>
      <c r="L705" s="8" t="n"/>
      <c r="M705" s="11">
        <f>IF(B705="","",MAX(0,K705-L705))</f>
        <v/>
      </c>
      <c r="N705" s="11">
        <f>IF(B705="","",IF(L705&gt;=K705,"Paid",IF(L705&gt;0,"Partial","Unpaid")))</f>
        <v/>
      </c>
      <c r="O705" s="5" t="n"/>
      <c r="P705" s="8" t="n"/>
      <c r="Q705" s="8" t="n"/>
      <c r="R705" s="11">
        <f>IF(B705="","",IFERROR(K705,0)+IFERROR(P705,0)-IFERROR(Q705,0))</f>
        <v/>
      </c>
      <c r="S705" s="5" t="n"/>
      <c r="T705" s="5" t="n"/>
      <c r="U705" s="11">
        <f>IF(B705="","",TRIM(LOWER(C705)&amp;"|"&amp;LOWER(D705)))</f>
        <v/>
      </c>
    </row>
    <row r="706">
      <c r="A706" s="11">
        <f>IF(B706="","",TEXT(ROW()-3,"""DC-""0000"))</f>
        <v/>
      </c>
      <c r="B706" s="5" t="n"/>
      <c r="C706" s="5" t="n"/>
      <c r="D706" s="5" t="n"/>
      <c r="E706" s="5" t="n"/>
      <c r="F706" s="5" t="n"/>
      <c r="G706" s="5" t="n"/>
      <c r="H706" s="8" t="n"/>
      <c r="I706" s="8" t="n"/>
      <c r="J706" s="8" t="n"/>
      <c r="K706" s="11">
        <f>IF(B706="","",MAX(0,IFERROR(I706,0)*IFERROR(H706,0)-IFERROR(J706,0)))</f>
        <v/>
      </c>
      <c r="L706" s="8" t="n"/>
      <c r="M706" s="11">
        <f>IF(B706="","",MAX(0,K706-L706))</f>
        <v/>
      </c>
      <c r="N706" s="11">
        <f>IF(B706="","",IF(L706&gt;=K706,"Paid",IF(L706&gt;0,"Partial","Unpaid")))</f>
        <v/>
      </c>
      <c r="O706" s="5" t="n"/>
      <c r="P706" s="8" t="n"/>
      <c r="Q706" s="8" t="n"/>
      <c r="R706" s="11">
        <f>IF(B706="","",IFERROR(K706,0)+IFERROR(P706,0)-IFERROR(Q706,0))</f>
        <v/>
      </c>
      <c r="S706" s="5" t="n"/>
      <c r="T706" s="5" t="n"/>
      <c r="U706" s="11">
        <f>IF(B706="","",TRIM(LOWER(C706)&amp;"|"&amp;LOWER(D706)))</f>
        <v/>
      </c>
    </row>
    <row r="707">
      <c r="A707" s="11">
        <f>IF(B707="","",TEXT(ROW()-3,"""DC-""0000"))</f>
        <v/>
      </c>
      <c r="B707" s="5" t="n"/>
      <c r="C707" s="5" t="n"/>
      <c r="D707" s="5" t="n"/>
      <c r="E707" s="5" t="n"/>
      <c r="F707" s="5" t="n"/>
      <c r="G707" s="5" t="n"/>
      <c r="H707" s="8" t="n"/>
      <c r="I707" s="8" t="n"/>
      <c r="J707" s="8" t="n"/>
      <c r="K707" s="11">
        <f>IF(B707="","",MAX(0,IFERROR(I707,0)*IFERROR(H707,0)-IFERROR(J707,0)))</f>
        <v/>
      </c>
      <c r="L707" s="8" t="n"/>
      <c r="M707" s="11">
        <f>IF(B707="","",MAX(0,K707-L707))</f>
        <v/>
      </c>
      <c r="N707" s="11">
        <f>IF(B707="","",IF(L707&gt;=K707,"Paid",IF(L707&gt;0,"Partial","Unpaid")))</f>
        <v/>
      </c>
      <c r="O707" s="5" t="n"/>
      <c r="P707" s="8" t="n"/>
      <c r="Q707" s="8" t="n"/>
      <c r="R707" s="11">
        <f>IF(B707="","",IFERROR(K707,0)+IFERROR(P707,0)-IFERROR(Q707,0))</f>
        <v/>
      </c>
      <c r="S707" s="5" t="n"/>
      <c r="T707" s="5" t="n"/>
      <c r="U707" s="11">
        <f>IF(B707="","",TRIM(LOWER(C707)&amp;"|"&amp;LOWER(D707)))</f>
        <v/>
      </c>
    </row>
    <row r="708">
      <c r="A708" s="11">
        <f>IF(B708="","",TEXT(ROW()-3,"""DC-""0000"))</f>
        <v/>
      </c>
      <c r="B708" s="5" t="n"/>
      <c r="C708" s="5" t="n"/>
      <c r="D708" s="5" t="n"/>
      <c r="E708" s="5" t="n"/>
      <c r="F708" s="5" t="n"/>
      <c r="G708" s="5" t="n"/>
      <c r="H708" s="8" t="n"/>
      <c r="I708" s="8" t="n"/>
      <c r="J708" s="8" t="n"/>
      <c r="K708" s="11">
        <f>IF(B708="","",MAX(0,IFERROR(I708,0)*IFERROR(H708,0)-IFERROR(J708,0)))</f>
        <v/>
      </c>
      <c r="L708" s="8" t="n"/>
      <c r="M708" s="11">
        <f>IF(B708="","",MAX(0,K708-L708))</f>
        <v/>
      </c>
      <c r="N708" s="11">
        <f>IF(B708="","",IF(L708&gt;=K708,"Paid",IF(L708&gt;0,"Partial","Unpaid")))</f>
        <v/>
      </c>
      <c r="O708" s="5" t="n"/>
      <c r="P708" s="8" t="n"/>
      <c r="Q708" s="8" t="n"/>
      <c r="R708" s="11">
        <f>IF(B708="","",IFERROR(K708,0)+IFERROR(P708,0)-IFERROR(Q708,0))</f>
        <v/>
      </c>
      <c r="S708" s="5" t="n"/>
      <c r="T708" s="5" t="n"/>
      <c r="U708" s="11">
        <f>IF(B708="","",TRIM(LOWER(C708)&amp;"|"&amp;LOWER(D708)))</f>
        <v/>
      </c>
    </row>
    <row r="709">
      <c r="A709" s="11">
        <f>IF(B709="","",TEXT(ROW()-3,"""DC-""0000"))</f>
        <v/>
      </c>
      <c r="B709" s="5" t="n"/>
      <c r="C709" s="5" t="n"/>
      <c r="D709" s="5" t="n"/>
      <c r="E709" s="5" t="n"/>
      <c r="F709" s="5" t="n"/>
      <c r="G709" s="5" t="n"/>
      <c r="H709" s="8" t="n"/>
      <c r="I709" s="8" t="n"/>
      <c r="J709" s="8" t="n"/>
      <c r="K709" s="11">
        <f>IF(B709="","",MAX(0,IFERROR(I709,0)*IFERROR(H709,0)-IFERROR(J709,0)))</f>
        <v/>
      </c>
      <c r="L709" s="8" t="n"/>
      <c r="M709" s="11">
        <f>IF(B709="","",MAX(0,K709-L709))</f>
        <v/>
      </c>
      <c r="N709" s="11">
        <f>IF(B709="","",IF(L709&gt;=K709,"Paid",IF(L709&gt;0,"Partial","Unpaid")))</f>
        <v/>
      </c>
      <c r="O709" s="5" t="n"/>
      <c r="P709" s="8" t="n"/>
      <c r="Q709" s="8" t="n"/>
      <c r="R709" s="11">
        <f>IF(B709="","",IFERROR(K709,0)+IFERROR(P709,0)-IFERROR(Q709,0))</f>
        <v/>
      </c>
      <c r="S709" s="5" t="n"/>
      <c r="T709" s="5" t="n"/>
      <c r="U709" s="11">
        <f>IF(B709="","",TRIM(LOWER(C709)&amp;"|"&amp;LOWER(D709)))</f>
        <v/>
      </c>
    </row>
    <row r="710">
      <c r="A710" s="11">
        <f>IF(B710="","",TEXT(ROW()-3,"""DC-""0000"))</f>
        <v/>
      </c>
      <c r="B710" s="5" t="n"/>
      <c r="C710" s="5" t="n"/>
      <c r="D710" s="5" t="n"/>
      <c r="E710" s="5" t="n"/>
      <c r="F710" s="5" t="n"/>
      <c r="G710" s="5" t="n"/>
      <c r="H710" s="8" t="n"/>
      <c r="I710" s="8" t="n"/>
      <c r="J710" s="8" t="n"/>
      <c r="K710" s="11">
        <f>IF(B710="","",MAX(0,IFERROR(I710,0)*IFERROR(H710,0)-IFERROR(J710,0)))</f>
        <v/>
      </c>
      <c r="L710" s="8" t="n"/>
      <c r="M710" s="11">
        <f>IF(B710="","",MAX(0,K710-L710))</f>
        <v/>
      </c>
      <c r="N710" s="11">
        <f>IF(B710="","",IF(L710&gt;=K710,"Paid",IF(L710&gt;0,"Partial","Unpaid")))</f>
        <v/>
      </c>
      <c r="O710" s="5" t="n"/>
      <c r="P710" s="8" t="n"/>
      <c r="Q710" s="8" t="n"/>
      <c r="R710" s="11">
        <f>IF(B710="","",IFERROR(K710,0)+IFERROR(P710,0)-IFERROR(Q710,0))</f>
        <v/>
      </c>
      <c r="S710" s="5" t="n"/>
      <c r="T710" s="5" t="n"/>
      <c r="U710" s="11">
        <f>IF(B710="","",TRIM(LOWER(C710)&amp;"|"&amp;LOWER(D710)))</f>
        <v/>
      </c>
    </row>
    <row r="711">
      <c r="A711" s="11">
        <f>IF(B711="","",TEXT(ROW()-3,"""DC-""0000"))</f>
        <v/>
      </c>
      <c r="B711" s="5" t="n"/>
      <c r="C711" s="5" t="n"/>
      <c r="D711" s="5" t="n"/>
      <c r="E711" s="5" t="n"/>
      <c r="F711" s="5" t="n"/>
      <c r="G711" s="5" t="n"/>
      <c r="H711" s="8" t="n"/>
      <c r="I711" s="8" t="n"/>
      <c r="J711" s="8" t="n"/>
      <c r="K711" s="11">
        <f>IF(B711="","",MAX(0,IFERROR(I711,0)*IFERROR(H711,0)-IFERROR(J711,0)))</f>
        <v/>
      </c>
      <c r="L711" s="8" t="n"/>
      <c r="M711" s="11">
        <f>IF(B711="","",MAX(0,K711-L711))</f>
        <v/>
      </c>
      <c r="N711" s="11">
        <f>IF(B711="","",IF(L711&gt;=K711,"Paid",IF(L711&gt;0,"Partial","Unpaid")))</f>
        <v/>
      </c>
      <c r="O711" s="5" t="n"/>
      <c r="P711" s="8" t="n"/>
      <c r="Q711" s="8" t="n"/>
      <c r="R711" s="11">
        <f>IF(B711="","",IFERROR(K711,0)+IFERROR(P711,0)-IFERROR(Q711,0))</f>
        <v/>
      </c>
      <c r="S711" s="5" t="n"/>
      <c r="T711" s="5" t="n"/>
      <c r="U711" s="11">
        <f>IF(B711="","",TRIM(LOWER(C711)&amp;"|"&amp;LOWER(D711)))</f>
        <v/>
      </c>
    </row>
    <row r="712">
      <c r="A712" s="11">
        <f>IF(B712="","",TEXT(ROW()-3,"""DC-""0000"))</f>
        <v/>
      </c>
      <c r="B712" s="5" t="n"/>
      <c r="C712" s="5" t="n"/>
      <c r="D712" s="5" t="n"/>
      <c r="E712" s="5" t="n"/>
      <c r="F712" s="5" t="n"/>
      <c r="G712" s="5" t="n"/>
      <c r="H712" s="8" t="n"/>
      <c r="I712" s="8" t="n"/>
      <c r="J712" s="8" t="n"/>
      <c r="K712" s="11">
        <f>IF(B712="","",MAX(0,IFERROR(I712,0)*IFERROR(H712,0)-IFERROR(J712,0)))</f>
        <v/>
      </c>
      <c r="L712" s="8" t="n"/>
      <c r="M712" s="11">
        <f>IF(B712="","",MAX(0,K712-L712))</f>
        <v/>
      </c>
      <c r="N712" s="11">
        <f>IF(B712="","",IF(L712&gt;=K712,"Paid",IF(L712&gt;0,"Partial","Unpaid")))</f>
        <v/>
      </c>
      <c r="O712" s="5" t="n"/>
      <c r="P712" s="8" t="n"/>
      <c r="Q712" s="8" t="n"/>
      <c r="R712" s="11">
        <f>IF(B712="","",IFERROR(K712,0)+IFERROR(P712,0)-IFERROR(Q712,0))</f>
        <v/>
      </c>
      <c r="S712" s="5" t="n"/>
      <c r="T712" s="5" t="n"/>
      <c r="U712" s="11">
        <f>IF(B712="","",TRIM(LOWER(C712)&amp;"|"&amp;LOWER(D712)))</f>
        <v/>
      </c>
    </row>
    <row r="713">
      <c r="A713" s="11">
        <f>IF(B713="","",TEXT(ROW()-3,"""DC-""0000"))</f>
        <v/>
      </c>
      <c r="B713" s="5" t="n"/>
      <c r="C713" s="5" t="n"/>
      <c r="D713" s="5" t="n"/>
      <c r="E713" s="5" t="n"/>
      <c r="F713" s="5" t="n"/>
      <c r="G713" s="5" t="n"/>
      <c r="H713" s="8" t="n"/>
      <c r="I713" s="8" t="n"/>
      <c r="J713" s="8" t="n"/>
      <c r="K713" s="11">
        <f>IF(B713="","",MAX(0,IFERROR(I713,0)*IFERROR(H713,0)-IFERROR(J713,0)))</f>
        <v/>
      </c>
      <c r="L713" s="8" t="n"/>
      <c r="M713" s="11">
        <f>IF(B713="","",MAX(0,K713-L713))</f>
        <v/>
      </c>
      <c r="N713" s="11">
        <f>IF(B713="","",IF(L713&gt;=K713,"Paid",IF(L713&gt;0,"Partial","Unpaid")))</f>
        <v/>
      </c>
      <c r="O713" s="5" t="n"/>
      <c r="P713" s="8" t="n"/>
      <c r="Q713" s="8" t="n"/>
      <c r="R713" s="11">
        <f>IF(B713="","",IFERROR(K713,0)+IFERROR(P713,0)-IFERROR(Q713,0))</f>
        <v/>
      </c>
      <c r="S713" s="5" t="n"/>
      <c r="T713" s="5" t="n"/>
      <c r="U713" s="11">
        <f>IF(B713="","",TRIM(LOWER(C713)&amp;"|"&amp;LOWER(D713)))</f>
        <v/>
      </c>
    </row>
    <row r="714">
      <c r="A714" s="11">
        <f>IF(B714="","",TEXT(ROW()-3,"""DC-""0000"))</f>
        <v/>
      </c>
      <c r="B714" s="5" t="n"/>
      <c r="C714" s="5" t="n"/>
      <c r="D714" s="5" t="n"/>
      <c r="E714" s="5" t="n"/>
      <c r="F714" s="5" t="n"/>
      <c r="G714" s="5" t="n"/>
      <c r="H714" s="8" t="n"/>
      <c r="I714" s="8" t="n"/>
      <c r="J714" s="8" t="n"/>
      <c r="K714" s="11">
        <f>IF(B714="","",MAX(0,IFERROR(I714,0)*IFERROR(H714,0)-IFERROR(J714,0)))</f>
        <v/>
      </c>
      <c r="L714" s="8" t="n"/>
      <c r="M714" s="11">
        <f>IF(B714="","",MAX(0,K714-L714))</f>
        <v/>
      </c>
      <c r="N714" s="11">
        <f>IF(B714="","",IF(L714&gt;=K714,"Paid",IF(L714&gt;0,"Partial","Unpaid")))</f>
        <v/>
      </c>
      <c r="O714" s="5" t="n"/>
      <c r="P714" s="8" t="n"/>
      <c r="Q714" s="8" t="n"/>
      <c r="R714" s="11">
        <f>IF(B714="","",IFERROR(K714,0)+IFERROR(P714,0)-IFERROR(Q714,0))</f>
        <v/>
      </c>
      <c r="S714" s="5" t="n"/>
      <c r="T714" s="5" t="n"/>
      <c r="U714" s="11">
        <f>IF(B714="","",TRIM(LOWER(C714)&amp;"|"&amp;LOWER(D714)))</f>
        <v/>
      </c>
    </row>
    <row r="715">
      <c r="A715" s="11">
        <f>IF(B715="","",TEXT(ROW()-3,"""DC-""0000"))</f>
        <v/>
      </c>
      <c r="B715" s="5" t="n"/>
      <c r="C715" s="5" t="n"/>
      <c r="D715" s="5" t="n"/>
      <c r="E715" s="5" t="n"/>
      <c r="F715" s="5" t="n"/>
      <c r="G715" s="5" t="n"/>
      <c r="H715" s="8" t="n"/>
      <c r="I715" s="8" t="n"/>
      <c r="J715" s="8" t="n"/>
      <c r="K715" s="11">
        <f>IF(B715="","",MAX(0,IFERROR(I715,0)*IFERROR(H715,0)-IFERROR(J715,0)))</f>
        <v/>
      </c>
      <c r="L715" s="8" t="n"/>
      <c r="M715" s="11">
        <f>IF(B715="","",MAX(0,K715-L715))</f>
        <v/>
      </c>
      <c r="N715" s="11">
        <f>IF(B715="","",IF(L715&gt;=K715,"Paid",IF(L715&gt;0,"Partial","Unpaid")))</f>
        <v/>
      </c>
      <c r="O715" s="5" t="n"/>
      <c r="P715" s="8" t="n"/>
      <c r="Q715" s="8" t="n"/>
      <c r="R715" s="11">
        <f>IF(B715="","",IFERROR(K715,0)+IFERROR(P715,0)-IFERROR(Q715,0))</f>
        <v/>
      </c>
      <c r="S715" s="5" t="n"/>
      <c r="T715" s="5" t="n"/>
      <c r="U715" s="11">
        <f>IF(B715="","",TRIM(LOWER(C715)&amp;"|"&amp;LOWER(D715)))</f>
        <v/>
      </c>
    </row>
    <row r="716">
      <c r="A716" s="11">
        <f>IF(B716="","",TEXT(ROW()-3,"""DC-""0000"))</f>
        <v/>
      </c>
      <c r="B716" s="5" t="n"/>
      <c r="C716" s="5" t="n"/>
      <c r="D716" s="5" t="n"/>
      <c r="E716" s="5" t="n"/>
      <c r="F716" s="5" t="n"/>
      <c r="G716" s="5" t="n"/>
      <c r="H716" s="8" t="n"/>
      <c r="I716" s="8" t="n"/>
      <c r="J716" s="8" t="n"/>
      <c r="K716" s="11">
        <f>IF(B716="","",MAX(0,IFERROR(I716,0)*IFERROR(H716,0)-IFERROR(J716,0)))</f>
        <v/>
      </c>
      <c r="L716" s="8" t="n"/>
      <c r="M716" s="11">
        <f>IF(B716="","",MAX(0,K716-L716))</f>
        <v/>
      </c>
      <c r="N716" s="11">
        <f>IF(B716="","",IF(L716&gt;=K716,"Paid",IF(L716&gt;0,"Partial","Unpaid")))</f>
        <v/>
      </c>
      <c r="O716" s="5" t="n"/>
      <c r="P716" s="8" t="n"/>
      <c r="Q716" s="8" t="n"/>
      <c r="R716" s="11">
        <f>IF(B716="","",IFERROR(K716,0)+IFERROR(P716,0)-IFERROR(Q716,0))</f>
        <v/>
      </c>
      <c r="S716" s="5" t="n"/>
      <c r="T716" s="5" t="n"/>
      <c r="U716" s="11">
        <f>IF(B716="","",TRIM(LOWER(C716)&amp;"|"&amp;LOWER(D716)))</f>
        <v/>
      </c>
    </row>
    <row r="717">
      <c r="A717" s="11">
        <f>IF(B717="","",TEXT(ROW()-3,"""DC-""0000"))</f>
        <v/>
      </c>
      <c r="B717" s="5" t="n"/>
      <c r="C717" s="5" t="n"/>
      <c r="D717" s="5" t="n"/>
      <c r="E717" s="5" t="n"/>
      <c r="F717" s="5" t="n"/>
      <c r="G717" s="5" t="n"/>
      <c r="H717" s="8" t="n"/>
      <c r="I717" s="8" t="n"/>
      <c r="J717" s="8" t="n"/>
      <c r="K717" s="11">
        <f>IF(B717="","",MAX(0,IFERROR(I717,0)*IFERROR(H717,0)-IFERROR(J717,0)))</f>
        <v/>
      </c>
      <c r="L717" s="8" t="n"/>
      <c r="M717" s="11">
        <f>IF(B717="","",MAX(0,K717-L717))</f>
        <v/>
      </c>
      <c r="N717" s="11">
        <f>IF(B717="","",IF(L717&gt;=K717,"Paid",IF(L717&gt;0,"Partial","Unpaid")))</f>
        <v/>
      </c>
      <c r="O717" s="5" t="n"/>
      <c r="P717" s="8" t="n"/>
      <c r="Q717" s="8" t="n"/>
      <c r="R717" s="11">
        <f>IF(B717="","",IFERROR(K717,0)+IFERROR(P717,0)-IFERROR(Q717,0))</f>
        <v/>
      </c>
      <c r="S717" s="5" t="n"/>
      <c r="T717" s="5" t="n"/>
      <c r="U717" s="11">
        <f>IF(B717="","",TRIM(LOWER(C717)&amp;"|"&amp;LOWER(D717)))</f>
        <v/>
      </c>
    </row>
    <row r="718">
      <c r="A718" s="11">
        <f>IF(B718="","",TEXT(ROW()-3,"""DC-""0000"))</f>
        <v/>
      </c>
      <c r="B718" s="5" t="n"/>
      <c r="C718" s="5" t="n"/>
      <c r="D718" s="5" t="n"/>
      <c r="E718" s="5" t="n"/>
      <c r="F718" s="5" t="n"/>
      <c r="G718" s="5" t="n"/>
      <c r="H718" s="8" t="n"/>
      <c r="I718" s="8" t="n"/>
      <c r="J718" s="8" t="n"/>
      <c r="K718" s="11">
        <f>IF(B718="","",MAX(0,IFERROR(I718,0)*IFERROR(H718,0)-IFERROR(J718,0)))</f>
        <v/>
      </c>
      <c r="L718" s="8" t="n"/>
      <c r="M718" s="11">
        <f>IF(B718="","",MAX(0,K718-L718))</f>
        <v/>
      </c>
      <c r="N718" s="11">
        <f>IF(B718="","",IF(L718&gt;=K718,"Paid",IF(L718&gt;0,"Partial","Unpaid")))</f>
        <v/>
      </c>
      <c r="O718" s="5" t="n"/>
      <c r="P718" s="8" t="n"/>
      <c r="Q718" s="8" t="n"/>
      <c r="R718" s="11">
        <f>IF(B718="","",IFERROR(K718,0)+IFERROR(P718,0)-IFERROR(Q718,0))</f>
        <v/>
      </c>
      <c r="S718" s="5" t="n"/>
      <c r="T718" s="5" t="n"/>
      <c r="U718" s="11">
        <f>IF(B718="","",TRIM(LOWER(C718)&amp;"|"&amp;LOWER(D718)))</f>
        <v/>
      </c>
    </row>
    <row r="719">
      <c r="A719" s="11">
        <f>IF(B719="","",TEXT(ROW()-3,"""DC-""0000"))</f>
        <v/>
      </c>
      <c r="B719" s="5" t="n"/>
      <c r="C719" s="5" t="n"/>
      <c r="D719" s="5" t="n"/>
      <c r="E719" s="5" t="n"/>
      <c r="F719" s="5" t="n"/>
      <c r="G719" s="5" t="n"/>
      <c r="H719" s="8" t="n"/>
      <c r="I719" s="8" t="n"/>
      <c r="J719" s="8" t="n"/>
      <c r="K719" s="11">
        <f>IF(B719="","",MAX(0,IFERROR(I719,0)*IFERROR(H719,0)-IFERROR(J719,0)))</f>
        <v/>
      </c>
      <c r="L719" s="8" t="n"/>
      <c r="M719" s="11">
        <f>IF(B719="","",MAX(0,K719-L719))</f>
        <v/>
      </c>
      <c r="N719" s="11">
        <f>IF(B719="","",IF(L719&gt;=K719,"Paid",IF(L719&gt;0,"Partial","Unpaid")))</f>
        <v/>
      </c>
      <c r="O719" s="5" t="n"/>
      <c r="P719" s="8" t="n"/>
      <c r="Q719" s="8" t="n"/>
      <c r="R719" s="11">
        <f>IF(B719="","",IFERROR(K719,0)+IFERROR(P719,0)-IFERROR(Q719,0))</f>
        <v/>
      </c>
      <c r="S719" s="5" t="n"/>
      <c r="T719" s="5" t="n"/>
      <c r="U719" s="11">
        <f>IF(B719="","",TRIM(LOWER(C719)&amp;"|"&amp;LOWER(D719)))</f>
        <v/>
      </c>
    </row>
    <row r="720">
      <c r="A720" s="11">
        <f>IF(B720="","",TEXT(ROW()-3,"""DC-""0000"))</f>
        <v/>
      </c>
      <c r="B720" s="5" t="n"/>
      <c r="C720" s="5" t="n"/>
      <c r="D720" s="5" t="n"/>
      <c r="E720" s="5" t="n"/>
      <c r="F720" s="5" t="n"/>
      <c r="G720" s="5" t="n"/>
      <c r="H720" s="8" t="n"/>
      <c r="I720" s="8" t="n"/>
      <c r="J720" s="8" t="n"/>
      <c r="K720" s="11">
        <f>IF(B720="","",MAX(0,IFERROR(I720,0)*IFERROR(H720,0)-IFERROR(J720,0)))</f>
        <v/>
      </c>
      <c r="L720" s="8" t="n"/>
      <c r="M720" s="11">
        <f>IF(B720="","",MAX(0,K720-L720))</f>
        <v/>
      </c>
      <c r="N720" s="11">
        <f>IF(B720="","",IF(L720&gt;=K720,"Paid",IF(L720&gt;0,"Partial","Unpaid")))</f>
        <v/>
      </c>
      <c r="O720" s="5" t="n"/>
      <c r="P720" s="8" t="n"/>
      <c r="Q720" s="8" t="n"/>
      <c r="R720" s="11">
        <f>IF(B720="","",IFERROR(K720,0)+IFERROR(P720,0)-IFERROR(Q720,0))</f>
        <v/>
      </c>
      <c r="S720" s="5" t="n"/>
      <c r="T720" s="5" t="n"/>
      <c r="U720" s="11">
        <f>IF(B720="","",TRIM(LOWER(C720)&amp;"|"&amp;LOWER(D720)))</f>
        <v/>
      </c>
    </row>
    <row r="721">
      <c r="A721" s="11">
        <f>IF(B721="","",TEXT(ROW()-3,"""DC-""0000"))</f>
        <v/>
      </c>
      <c r="B721" s="5" t="n"/>
      <c r="C721" s="5" t="n"/>
      <c r="D721" s="5" t="n"/>
      <c r="E721" s="5" t="n"/>
      <c r="F721" s="5" t="n"/>
      <c r="G721" s="5" t="n"/>
      <c r="H721" s="8" t="n"/>
      <c r="I721" s="8" t="n"/>
      <c r="J721" s="8" t="n"/>
      <c r="K721" s="11">
        <f>IF(B721="","",MAX(0,IFERROR(I721,0)*IFERROR(H721,0)-IFERROR(J721,0)))</f>
        <v/>
      </c>
      <c r="L721" s="8" t="n"/>
      <c r="M721" s="11">
        <f>IF(B721="","",MAX(0,K721-L721))</f>
        <v/>
      </c>
      <c r="N721" s="11">
        <f>IF(B721="","",IF(L721&gt;=K721,"Paid",IF(L721&gt;0,"Partial","Unpaid")))</f>
        <v/>
      </c>
      <c r="O721" s="5" t="n"/>
      <c r="P721" s="8" t="n"/>
      <c r="Q721" s="8" t="n"/>
      <c r="R721" s="11">
        <f>IF(B721="","",IFERROR(K721,0)+IFERROR(P721,0)-IFERROR(Q721,0))</f>
        <v/>
      </c>
      <c r="S721" s="5" t="n"/>
      <c r="T721" s="5" t="n"/>
      <c r="U721" s="11">
        <f>IF(B721="","",TRIM(LOWER(C721)&amp;"|"&amp;LOWER(D721)))</f>
        <v/>
      </c>
    </row>
    <row r="722">
      <c r="A722" s="11">
        <f>IF(B722="","",TEXT(ROW()-3,"""DC-""0000"))</f>
        <v/>
      </c>
      <c r="B722" s="5" t="n"/>
      <c r="C722" s="5" t="n"/>
      <c r="D722" s="5" t="n"/>
      <c r="E722" s="5" t="n"/>
      <c r="F722" s="5" t="n"/>
      <c r="G722" s="5" t="n"/>
      <c r="H722" s="8" t="n"/>
      <c r="I722" s="8" t="n"/>
      <c r="J722" s="8" t="n"/>
      <c r="K722" s="11">
        <f>IF(B722="","",MAX(0,IFERROR(I722,0)*IFERROR(H722,0)-IFERROR(J722,0)))</f>
        <v/>
      </c>
      <c r="L722" s="8" t="n"/>
      <c r="M722" s="11">
        <f>IF(B722="","",MAX(0,K722-L722))</f>
        <v/>
      </c>
      <c r="N722" s="11">
        <f>IF(B722="","",IF(L722&gt;=K722,"Paid",IF(L722&gt;0,"Partial","Unpaid")))</f>
        <v/>
      </c>
      <c r="O722" s="5" t="n"/>
      <c r="P722" s="8" t="n"/>
      <c r="Q722" s="8" t="n"/>
      <c r="R722" s="11">
        <f>IF(B722="","",IFERROR(K722,0)+IFERROR(P722,0)-IFERROR(Q722,0))</f>
        <v/>
      </c>
      <c r="S722" s="5" t="n"/>
      <c r="T722" s="5" t="n"/>
      <c r="U722" s="11">
        <f>IF(B722="","",TRIM(LOWER(C722)&amp;"|"&amp;LOWER(D722)))</f>
        <v/>
      </c>
    </row>
    <row r="723">
      <c r="A723" s="11">
        <f>IF(B723="","",TEXT(ROW()-3,"""DC-""0000"))</f>
        <v/>
      </c>
      <c r="B723" s="5" t="n"/>
      <c r="C723" s="5" t="n"/>
      <c r="D723" s="5" t="n"/>
      <c r="E723" s="5" t="n"/>
      <c r="F723" s="5" t="n"/>
      <c r="G723" s="5" t="n"/>
      <c r="H723" s="8" t="n"/>
      <c r="I723" s="8" t="n"/>
      <c r="J723" s="8" t="n"/>
      <c r="K723" s="11">
        <f>IF(B723="","",MAX(0,IFERROR(I723,0)*IFERROR(H723,0)-IFERROR(J723,0)))</f>
        <v/>
      </c>
      <c r="L723" s="8" t="n"/>
      <c r="M723" s="11">
        <f>IF(B723="","",MAX(0,K723-L723))</f>
        <v/>
      </c>
      <c r="N723" s="11">
        <f>IF(B723="","",IF(L723&gt;=K723,"Paid",IF(L723&gt;0,"Partial","Unpaid")))</f>
        <v/>
      </c>
      <c r="O723" s="5" t="n"/>
      <c r="P723" s="8" t="n"/>
      <c r="Q723" s="8" t="n"/>
      <c r="R723" s="11">
        <f>IF(B723="","",IFERROR(K723,0)+IFERROR(P723,0)-IFERROR(Q723,0))</f>
        <v/>
      </c>
      <c r="S723" s="5" t="n"/>
      <c r="T723" s="5" t="n"/>
      <c r="U723" s="11">
        <f>IF(B723="","",TRIM(LOWER(C723)&amp;"|"&amp;LOWER(D723)))</f>
        <v/>
      </c>
    </row>
    <row r="724">
      <c r="A724" s="11">
        <f>IF(B724="","",TEXT(ROW()-3,"""DC-""0000"))</f>
        <v/>
      </c>
      <c r="B724" s="5" t="n"/>
      <c r="C724" s="5" t="n"/>
      <c r="D724" s="5" t="n"/>
      <c r="E724" s="5" t="n"/>
      <c r="F724" s="5" t="n"/>
      <c r="G724" s="5" t="n"/>
      <c r="H724" s="8" t="n"/>
      <c r="I724" s="8" t="n"/>
      <c r="J724" s="8" t="n"/>
      <c r="K724" s="11">
        <f>IF(B724="","",MAX(0,IFERROR(I724,0)*IFERROR(H724,0)-IFERROR(J724,0)))</f>
        <v/>
      </c>
      <c r="L724" s="8" t="n"/>
      <c r="M724" s="11">
        <f>IF(B724="","",MAX(0,K724-L724))</f>
        <v/>
      </c>
      <c r="N724" s="11">
        <f>IF(B724="","",IF(L724&gt;=K724,"Paid",IF(L724&gt;0,"Partial","Unpaid")))</f>
        <v/>
      </c>
      <c r="O724" s="5" t="n"/>
      <c r="P724" s="8" t="n"/>
      <c r="Q724" s="8" t="n"/>
      <c r="R724" s="11">
        <f>IF(B724="","",IFERROR(K724,0)+IFERROR(P724,0)-IFERROR(Q724,0))</f>
        <v/>
      </c>
      <c r="S724" s="5" t="n"/>
      <c r="T724" s="5" t="n"/>
      <c r="U724" s="11">
        <f>IF(B724="","",TRIM(LOWER(C724)&amp;"|"&amp;LOWER(D724)))</f>
        <v/>
      </c>
    </row>
    <row r="725">
      <c r="A725" s="11">
        <f>IF(B725="","",TEXT(ROW()-3,"""DC-""0000"))</f>
        <v/>
      </c>
      <c r="B725" s="5" t="n"/>
      <c r="C725" s="5" t="n"/>
      <c r="D725" s="5" t="n"/>
      <c r="E725" s="5" t="n"/>
      <c r="F725" s="5" t="n"/>
      <c r="G725" s="5" t="n"/>
      <c r="H725" s="8" t="n"/>
      <c r="I725" s="8" t="n"/>
      <c r="J725" s="8" t="n"/>
      <c r="K725" s="11">
        <f>IF(B725="","",MAX(0,IFERROR(I725,0)*IFERROR(H725,0)-IFERROR(J725,0)))</f>
        <v/>
      </c>
      <c r="L725" s="8" t="n"/>
      <c r="M725" s="11">
        <f>IF(B725="","",MAX(0,K725-L725))</f>
        <v/>
      </c>
      <c r="N725" s="11">
        <f>IF(B725="","",IF(L725&gt;=K725,"Paid",IF(L725&gt;0,"Partial","Unpaid")))</f>
        <v/>
      </c>
      <c r="O725" s="5" t="n"/>
      <c r="P725" s="8" t="n"/>
      <c r="Q725" s="8" t="n"/>
      <c r="R725" s="11">
        <f>IF(B725="","",IFERROR(K725,0)+IFERROR(P725,0)-IFERROR(Q725,0))</f>
        <v/>
      </c>
      <c r="S725" s="5" t="n"/>
      <c r="T725" s="5" t="n"/>
      <c r="U725" s="11">
        <f>IF(B725="","",TRIM(LOWER(C725)&amp;"|"&amp;LOWER(D725)))</f>
        <v/>
      </c>
    </row>
    <row r="726">
      <c r="A726" s="11">
        <f>IF(B726="","",TEXT(ROW()-3,"""DC-""0000"))</f>
        <v/>
      </c>
      <c r="B726" s="5" t="n"/>
      <c r="C726" s="5" t="n"/>
      <c r="D726" s="5" t="n"/>
      <c r="E726" s="5" t="n"/>
      <c r="F726" s="5" t="n"/>
      <c r="G726" s="5" t="n"/>
      <c r="H726" s="8" t="n"/>
      <c r="I726" s="8" t="n"/>
      <c r="J726" s="8" t="n"/>
      <c r="K726" s="11">
        <f>IF(B726="","",MAX(0,IFERROR(I726,0)*IFERROR(H726,0)-IFERROR(J726,0)))</f>
        <v/>
      </c>
      <c r="L726" s="8" t="n"/>
      <c r="M726" s="11">
        <f>IF(B726="","",MAX(0,K726-L726))</f>
        <v/>
      </c>
      <c r="N726" s="11">
        <f>IF(B726="","",IF(L726&gt;=K726,"Paid",IF(L726&gt;0,"Partial","Unpaid")))</f>
        <v/>
      </c>
      <c r="O726" s="5" t="n"/>
      <c r="P726" s="8" t="n"/>
      <c r="Q726" s="8" t="n"/>
      <c r="R726" s="11">
        <f>IF(B726="","",IFERROR(K726,0)+IFERROR(P726,0)-IFERROR(Q726,0))</f>
        <v/>
      </c>
      <c r="S726" s="5" t="n"/>
      <c r="T726" s="5" t="n"/>
      <c r="U726" s="11">
        <f>IF(B726="","",TRIM(LOWER(C726)&amp;"|"&amp;LOWER(D726)))</f>
        <v/>
      </c>
    </row>
    <row r="727">
      <c r="A727" s="11">
        <f>IF(B727="","",TEXT(ROW()-3,"""DC-""0000"))</f>
        <v/>
      </c>
      <c r="B727" s="5" t="n"/>
      <c r="C727" s="5" t="n"/>
      <c r="D727" s="5" t="n"/>
      <c r="E727" s="5" t="n"/>
      <c r="F727" s="5" t="n"/>
      <c r="G727" s="5" t="n"/>
      <c r="H727" s="8" t="n"/>
      <c r="I727" s="8" t="n"/>
      <c r="J727" s="8" t="n"/>
      <c r="K727" s="11">
        <f>IF(B727="","",MAX(0,IFERROR(I727,0)*IFERROR(H727,0)-IFERROR(J727,0)))</f>
        <v/>
      </c>
      <c r="L727" s="8" t="n"/>
      <c r="M727" s="11">
        <f>IF(B727="","",MAX(0,K727-L727))</f>
        <v/>
      </c>
      <c r="N727" s="11">
        <f>IF(B727="","",IF(L727&gt;=K727,"Paid",IF(L727&gt;0,"Partial","Unpaid")))</f>
        <v/>
      </c>
      <c r="O727" s="5" t="n"/>
      <c r="P727" s="8" t="n"/>
      <c r="Q727" s="8" t="n"/>
      <c r="R727" s="11">
        <f>IF(B727="","",IFERROR(K727,0)+IFERROR(P727,0)-IFERROR(Q727,0))</f>
        <v/>
      </c>
      <c r="S727" s="5" t="n"/>
      <c r="T727" s="5" t="n"/>
      <c r="U727" s="11">
        <f>IF(B727="","",TRIM(LOWER(C727)&amp;"|"&amp;LOWER(D727)))</f>
        <v/>
      </c>
    </row>
    <row r="728">
      <c r="A728" s="11">
        <f>IF(B728="","",TEXT(ROW()-3,"""DC-""0000"))</f>
        <v/>
      </c>
      <c r="B728" s="5" t="n"/>
      <c r="C728" s="5" t="n"/>
      <c r="D728" s="5" t="n"/>
      <c r="E728" s="5" t="n"/>
      <c r="F728" s="5" t="n"/>
      <c r="G728" s="5" t="n"/>
      <c r="H728" s="8" t="n"/>
      <c r="I728" s="8" t="n"/>
      <c r="J728" s="8" t="n"/>
      <c r="K728" s="11">
        <f>IF(B728="","",MAX(0,IFERROR(I728,0)*IFERROR(H728,0)-IFERROR(J728,0)))</f>
        <v/>
      </c>
      <c r="L728" s="8" t="n"/>
      <c r="M728" s="11">
        <f>IF(B728="","",MAX(0,K728-L728))</f>
        <v/>
      </c>
      <c r="N728" s="11">
        <f>IF(B728="","",IF(L728&gt;=K728,"Paid",IF(L728&gt;0,"Partial","Unpaid")))</f>
        <v/>
      </c>
      <c r="O728" s="5" t="n"/>
      <c r="P728" s="8" t="n"/>
      <c r="Q728" s="8" t="n"/>
      <c r="R728" s="11">
        <f>IF(B728="","",IFERROR(K728,0)+IFERROR(P728,0)-IFERROR(Q728,0))</f>
        <v/>
      </c>
      <c r="S728" s="5" t="n"/>
      <c r="T728" s="5" t="n"/>
      <c r="U728" s="11">
        <f>IF(B728="","",TRIM(LOWER(C728)&amp;"|"&amp;LOWER(D728)))</f>
        <v/>
      </c>
    </row>
    <row r="729">
      <c r="A729" s="11">
        <f>IF(B729="","",TEXT(ROW()-3,"""DC-""0000"))</f>
        <v/>
      </c>
      <c r="B729" s="5" t="n"/>
      <c r="C729" s="5" t="n"/>
      <c r="D729" s="5" t="n"/>
      <c r="E729" s="5" t="n"/>
      <c r="F729" s="5" t="n"/>
      <c r="G729" s="5" t="n"/>
      <c r="H729" s="8" t="n"/>
      <c r="I729" s="8" t="n"/>
      <c r="J729" s="8" t="n"/>
      <c r="K729" s="11">
        <f>IF(B729="","",MAX(0,IFERROR(I729,0)*IFERROR(H729,0)-IFERROR(J729,0)))</f>
        <v/>
      </c>
      <c r="L729" s="8" t="n"/>
      <c r="M729" s="11">
        <f>IF(B729="","",MAX(0,K729-L729))</f>
        <v/>
      </c>
      <c r="N729" s="11">
        <f>IF(B729="","",IF(L729&gt;=K729,"Paid",IF(L729&gt;0,"Partial","Unpaid")))</f>
        <v/>
      </c>
      <c r="O729" s="5" t="n"/>
      <c r="P729" s="8" t="n"/>
      <c r="Q729" s="8" t="n"/>
      <c r="R729" s="11">
        <f>IF(B729="","",IFERROR(K729,0)+IFERROR(P729,0)-IFERROR(Q729,0))</f>
        <v/>
      </c>
      <c r="S729" s="5" t="n"/>
      <c r="T729" s="5" t="n"/>
      <c r="U729" s="11">
        <f>IF(B729="","",TRIM(LOWER(C729)&amp;"|"&amp;LOWER(D729)))</f>
        <v/>
      </c>
    </row>
    <row r="730">
      <c r="A730" s="11">
        <f>IF(B730="","",TEXT(ROW()-3,"""DC-""0000"))</f>
        <v/>
      </c>
      <c r="B730" s="5" t="n"/>
      <c r="C730" s="5" t="n"/>
      <c r="D730" s="5" t="n"/>
      <c r="E730" s="5" t="n"/>
      <c r="F730" s="5" t="n"/>
      <c r="G730" s="5" t="n"/>
      <c r="H730" s="8" t="n"/>
      <c r="I730" s="8" t="n"/>
      <c r="J730" s="8" t="n"/>
      <c r="K730" s="11">
        <f>IF(B730="","",MAX(0,IFERROR(I730,0)*IFERROR(H730,0)-IFERROR(J730,0)))</f>
        <v/>
      </c>
      <c r="L730" s="8" t="n"/>
      <c r="M730" s="11">
        <f>IF(B730="","",MAX(0,K730-L730))</f>
        <v/>
      </c>
      <c r="N730" s="11">
        <f>IF(B730="","",IF(L730&gt;=K730,"Paid",IF(L730&gt;0,"Partial","Unpaid")))</f>
        <v/>
      </c>
      <c r="O730" s="5" t="n"/>
      <c r="P730" s="8" t="n"/>
      <c r="Q730" s="8" t="n"/>
      <c r="R730" s="11">
        <f>IF(B730="","",IFERROR(K730,0)+IFERROR(P730,0)-IFERROR(Q730,0))</f>
        <v/>
      </c>
      <c r="S730" s="5" t="n"/>
      <c r="T730" s="5" t="n"/>
      <c r="U730" s="11">
        <f>IF(B730="","",TRIM(LOWER(C730)&amp;"|"&amp;LOWER(D730)))</f>
        <v/>
      </c>
    </row>
    <row r="731">
      <c r="A731" s="11">
        <f>IF(B731="","",TEXT(ROW()-3,"""DC-""0000"))</f>
        <v/>
      </c>
      <c r="B731" s="5" t="n"/>
      <c r="C731" s="5" t="n"/>
      <c r="D731" s="5" t="n"/>
      <c r="E731" s="5" t="n"/>
      <c r="F731" s="5" t="n"/>
      <c r="G731" s="5" t="n"/>
      <c r="H731" s="8" t="n"/>
      <c r="I731" s="8" t="n"/>
      <c r="J731" s="8" t="n"/>
      <c r="K731" s="11">
        <f>IF(B731="","",MAX(0,IFERROR(I731,0)*IFERROR(H731,0)-IFERROR(J731,0)))</f>
        <v/>
      </c>
      <c r="L731" s="8" t="n"/>
      <c r="M731" s="11">
        <f>IF(B731="","",MAX(0,K731-L731))</f>
        <v/>
      </c>
      <c r="N731" s="11">
        <f>IF(B731="","",IF(L731&gt;=K731,"Paid",IF(L731&gt;0,"Partial","Unpaid")))</f>
        <v/>
      </c>
      <c r="O731" s="5" t="n"/>
      <c r="P731" s="8" t="n"/>
      <c r="Q731" s="8" t="n"/>
      <c r="R731" s="11">
        <f>IF(B731="","",IFERROR(K731,0)+IFERROR(P731,0)-IFERROR(Q731,0))</f>
        <v/>
      </c>
      <c r="S731" s="5" t="n"/>
      <c r="T731" s="5" t="n"/>
      <c r="U731" s="11">
        <f>IF(B731="","",TRIM(LOWER(C731)&amp;"|"&amp;LOWER(D731)))</f>
        <v/>
      </c>
    </row>
    <row r="732">
      <c r="A732" s="11">
        <f>IF(B732="","",TEXT(ROW()-3,"""DC-""0000"))</f>
        <v/>
      </c>
      <c r="B732" s="5" t="n"/>
      <c r="C732" s="5" t="n"/>
      <c r="D732" s="5" t="n"/>
      <c r="E732" s="5" t="n"/>
      <c r="F732" s="5" t="n"/>
      <c r="G732" s="5" t="n"/>
      <c r="H732" s="8" t="n"/>
      <c r="I732" s="8" t="n"/>
      <c r="J732" s="8" t="n"/>
      <c r="K732" s="11">
        <f>IF(B732="","",MAX(0,IFERROR(I732,0)*IFERROR(H732,0)-IFERROR(J732,0)))</f>
        <v/>
      </c>
      <c r="L732" s="8" t="n"/>
      <c r="M732" s="11">
        <f>IF(B732="","",MAX(0,K732-L732))</f>
        <v/>
      </c>
      <c r="N732" s="11">
        <f>IF(B732="","",IF(L732&gt;=K732,"Paid",IF(L732&gt;0,"Partial","Unpaid")))</f>
        <v/>
      </c>
      <c r="O732" s="5" t="n"/>
      <c r="P732" s="8" t="n"/>
      <c r="Q732" s="8" t="n"/>
      <c r="R732" s="11">
        <f>IF(B732="","",IFERROR(K732,0)+IFERROR(P732,0)-IFERROR(Q732,0))</f>
        <v/>
      </c>
      <c r="S732" s="5" t="n"/>
      <c r="T732" s="5" t="n"/>
      <c r="U732" s="11">
        <f>IF(B732="","",TRIM(LOWER(C732)&amp;"|"&amp;LOWER(D732)))</f>
        <v/>
      </c>
    </row>
    <row r="733">
      <c r="A733" s="11">
        <f>IF(B733="","",TEXT(ROW()-3,"""DC-""0000"))</f>
        <v/>
      </c>
      <c r="B733" s="5" t="n"/>
      <c r="C733" s="5" t="n"/>
      <c r="D733" s="5" t="n"/>
      <c r="E733" s="5" t="n"/>
      <c r="F733" s="5" t="n"/>
      <c r="G733" s="5" t="n"/>
      <c r="H733" s="8" t="n"/>
      <c r="I733" s="8" t="n"/>
      <c r="J733" s="8" t="n"/>
      <c r="K733" s="11">
        <f>IF(B733="","",MAX(0,IFERROR(I733,0)*IFERROR(H733,0)-IFERROR(J733,0)))</f>
        <v/>
      </c>
      <c r="L733" s="8" t="n"/>
      <c r="M733" s="11">
        <f>IF(B733="","",MAX(0,K733-L733))</f>
        <v/>
      </c>
      <c r="N733" s="11">
        <f>IF(B733="","",IF(L733&gt;=K733,"Paid",IF(L733&gt;0,"Partial","Unpaid")))</f>
        <v/>
      </c>
      <c r="O733" s="5" t="n"/>
      <c r="P733" s="8" t="n"/>
      <c r="Q733" s="8" t="n"/>
      <c r="R733" s="11">
        <f>IF(B733="","",IFERROR(K733,0)+IFERROR(P733,0)-IFERROR(Q733,0))</f>
        <v/>
      </c>
      <c r="S733" s="5" t="n"/>
      <c r="T733" s="5" t="n"/>
      <c r="U733" s="11">
        <f>IF(B733="","",TRIM(LOWER(C733)&amp;"|"&amp;LOWER(D733)))</f>
        <v/>
      </c>
    </row>
    <row r="734">
      <c r="A734" s="11">
        <f>IF(B734="","",TEXT(ROW()-3,"""DC-""0000"))</f>
        <v/>
      </c>
      <c r="B734" s="5" t="n"/>
      <c r="C734" s="5" t="n"/>
      <c r="D734" s="5" t="n"/>
      <c r="E734" s="5" t="n"/>
      <c r="F734" s="5" t="n"/>
      <c r="G734" s="5" t="n"/>
      <c r="H734" s="8" t="n"/>
      <c r="I734" s="8" t="n"/>
      <c r="J734" s="8" t="n"/>
      <c r="K734" s="11">
        <f>IF(B734="","",MAX(0,IFERROR(I734,0)*IFERROR(H734,0)-IFERROR(J734,0)))</f>
        <v/>
      </c>
      <c r="L734" s="8" t="n"/>
      <c r="M734" s="11">
        <f>IF(B734="","",MAX(0,K734-L734))</f>
        <v/>
      </c>
      <c r="N734" s="11">
        <f>IF(B734="","",IF(L734&gt;=K734,"Paid",IF(L734&gt;0,"Partial","Unpaid")))</f>
        <v/>
      </c>
      <c r="O734" s="5" t="n"/>
      <c r="P734" s="8" t="n"/>
      <c r="Q734" s="8" t="n"/>
      <c r="R734" s="11">
        <f>IF(B734="","",IFERROR(K734,0)+IFERROR(P734,0)-IFERROR(Q734,0))</f>
        <v/>
      </c>
      <c r="S734" s="5" t="n"/>
      <c r="T734" s="5" t="n"/>
      <c r="U734" s="11">
        <f>IF(B734="","",TRIM(LOWER(C734)&amp;"|"&amp;LOWER(D734)))</f>
        <v/>
      </c>
    </row>
    <row r="735">
      <c r="A735" s="11">
        <f>IF(B735="","",TEXT(ROW()-3,"""DC-""0000"))</f>
        <v/>
      </c>
      <c r="B735" s="5" t="n"/>
      <c r="C735" s="5" t="n"/>
      <c r="D735" s="5" t="n"/>
      <c r="E735" s="5" t="n"/>
      <c r="F735" s="5" t="n"/>
      <c r="G735" s="5" t="n"/>
      <c r="H735" s="8" t="n"/>
      <c r="I735" s="8" t="n"/>
      <c r="J735" s="8" t="n"/>
      <c r="K735" s="11">
        <f>IF(B735="","",MAX(0,IFERROR(I735,0)*IFERROR(H735,0)-IFERROR(J735,0)))</f>
        <v/>
      </c>
      <c r="L735" s="8" t="n"/>
      <c r="M735" s="11">
        <f>IF(B735="","",MAX(0,K735-L735))</f>
        <v/>
      </c>
      <c r="N735" s="11">
        <f>IF(B735="","",IF(L735&gt;=K735,"Paid",IF(L735&gt;0,"Partial","Unpaid")))</f>
        <v/>
      </c>
      <c r="O735" s="5" t="n"/>
      <c r="P735" s="8" t="n"/>
      <c r="Q735" s="8" t="n"/>
      <c r="R735" s="11">
        <f>IF(B735="","",IFERROR(K735,0)+IFERROR(P735,0)-IFERROR(Q735,0))</f>
        <v/>
      </c>
      <c r="S735" s="5" t="n"/>
      <c r="T735" s="5" t="n"/>
      <c r="U735" s="11">
        <f>IF(B735="","",TRIM(LOWER(C735)&amp;"|"&amp;LOWER(D735)))</f>
        <v/>
      </c>
    </row>
    <row r="736">
      <c r="A736" s="11">
        <f>IF(B736="","",TEXT(ROW()-3,"""DC-""0000"))</f>
        <v/>
      </c>
      <c r="B736" s="5" t="n"/>
      <c r="C736" s="5" t="n"/>
      <c r="D736" s="5" t="n"/>
      <c r="E736" s="5" t="n"/>
      <c r="F736" s="5" t="n"/>
      <c r="G736" s="5" t="n"/>
      <c r="H736" s="8" t="n"/>
      <c r="I736" s="8" t="n"/>
      <c r="J736" s="8" t="n"/>
      <c r="K736" s="11">
        <f>IF(B736="","",MAX(0,IFERROR(I736,0)*IFERROR(H736,0)-IFERROR(J736,0)))</f>
        <v/>
      </c>
      <c r="L736" s="8" t="n"/>
      <c r="M736" s="11">
        <f>IF(B736="","",MAX(0,K736-L736))</f>
        <v/>
      </c>
      <c r="N736" s="11">
        <f>IF(B736="","",IF(L736&gt;=K736,"Paid",IF(L736&gt;0,"Partial","Unpaid")))</f>
        <v/>
      </c>
      <c r="O736" s="5" t="n"/>
      <c r="P736" s="8" t="n"/>
      <c r="Q736" s="8" t="n"/>
      <c r="R736" s="11">
        <f>IF(B736="","",IFERROR(K736,0)+IFERROR(P736,0)-IFERROR(Q736,0))</f>
        <v/>
      </c>
      <c r="S736" s="5" t="n"/>
      <c r="T736" s="5" t="n"/>
      <c r="U736" s="11">
        <f>IF(B736="","",TRIM(LOWER(C736)&amp;"|"&amp;LOWER(D736)))</f>
        <v/>
      </c>
    </row>
    <row r="737">
      <c r="A737" s="11">
        <f>IF(B737="","",TEXT(ROW()-3,"""DC-""0000"))</f>
        <v/>
      </c>
      <c r="B737" s="5" t="n"/>
      <c r="C737" s="5" t="n"/>
      <c r="D737" s="5" t="n"/>
      <c r="E737" s="5" t="n"/>
      <c r="F737" s="5" t="n"/>
      <c r="G737" s="5" t="n"/>
      <c r="H737" s="8" t="n"/>
      <c r="I737" s="8" t="n"/>
      <c r="J737" s="8" t="n"/>
      <c r="K737" s="11">
        <f>IF(B737="","",MAX(0,IFERROR(I737,0)*IFERROR(H737,0)-IFERROR(J737,0)))</f>
        <v/>
      </c>
      <c r="L737" s="8" t="n"/>
      <c r="M737" s="11">
        <f>IF(B737="","",MAX(0,K737-L737))</f>
        <v/>
      </c>
      <c r="N737" s="11">
        <f>IF(B737="","",IF(L737&gt;=K737,"Paid",IF(L737&gt;0,"Partial","Unpaid")))</f>
        <v/>
      </c>
      <c r="O737" s="5" t="n"/>
      <c r="P737" s="8" t="n"/>
      <c r="Q737" s="8" t="n"/>
      <c r="R737" s="11">
        <f>IF(B737="","",IFERROR(K737,0)+IFERROR(P737,0)-IFERROR(Q737,0))</f>
        <v/>
      </c>
      <c r="S737" s="5" t="n"/>
      <c r="T737" s="5" t="n"/>
      <c r="U737" s="11">
        <f>IF(B737="","",TRIM(LOWER(C737)&amp;"|"&amp;LOWER(D737)))</f>
        <v/>
      </c>
    </row>
    <row r="738">
      <c r="A738" s="11">
        <f>IF(B738="","",TEXT(ROW()-3,"""DC-""0000"))</f>
        <v/>
      </c>
      <c r="B738" s="5" t="n"/>
      <c r="C738" s="5" t="n"/>
      <c r="D738" s="5" t="n"/>
      <c r="E738" s="5" t="n"/>
      <c r="F738" s="5" t="n"/>
      <c r="G738" s="5" t="n"/>
      <c r="H738" s="8" t="n"/>
      <c r="I738" s="8" t="n"/>
      <c r="J738" s="8" t="n"/>
      <c r="K738" s="11">
        <f>IF(B738="","",MAX(0,IFERROR(I738,0)*IFERROR(H738,0)-IFERROR(J738,0)))</f>
        <v/>
      </c>
      <c r="L738" s="8" t="n"/>
      <c r="M738" s="11">
        <f>IF(B738="","",MAX(0,K738-L738))</f>
        <v/>
      </c>
      <c r="N738" s="11">
        <f>IF(B738="","",IF(L738&gt;=K738,"Paid",IF(L738&gt;0,"Partial","Unpaid")))</f>
        <v/>
      </c>
      <c r="O738" s="5" t="n"/>
      <c r="P738" s="8" t="n"/>
      <c r="Q738" s="8" t="n"/>
      <c r="R738" s="11">
        <f>IF(B738="","",IFERROR(K738,0)+IFERROR(P738,0)-IFERROR(Q738,0))</f>
        <v/>
      </c>
      <c r="S738" s="5" t="n"/>
      <c r="T738" s="5" t="n"/>
      <c r="U738" s="11">
        <f>IF(B738="","",TRIM(LOWER(C738)&amp;"|"&amp;LOWER(D738)))</f>
        <v/>
      </c>
    </row>
    <row r="739">
      <c r="A739" s="11">
        <f>IF(B739="","",TEXT(ROW()-3,"""DC-""0000"))</f>
        <v/>
      </c>
      <c r="B739" s="5" t="n"/>
      <c r="C739" s="5" t="n"/>
      <c r="D739" s="5" t="n"/>
      <c r="E739" s="5" t="n"/>
      <c r="F739" s="5" t="n"/>
      <c r="G739" s="5" t="n"/>
      <c r="H739" s="8" t="n"/>
      <c r="I739" s="8" t="n"/>
      <c r="J739" s="8" t="n"/>
      <c r="K739" s="11">
        <f>IF(B739="","",MAX(0,IFERROR(I739,0)*IFERROR(H739,0)-IFERROR(J739,0)))</f>
        <v/>
      </c>
      <c r="L739" s="8" t="n"/>
      <c r="M739" s="11">
        <f>IF(B739="","",MAX(0,K739-L739))</f>
        <v/>
      </c>
      <c r="N739" s="11">
        <f>IF(B739="","",IF(L739&gt;=K739,"Paid",IF(L739&gt;0,"Partial","Unpaid")))</f>
        <v/>
      </c>
      <c r="O739" s="5" t="n"/>
      <c r="P739" s="8" t="n"/>
      <c r="Q739" s="8" t="n"/>
      <c r="R739" s="11">
        <f>IF(B739="","",IFERROR(K739,0)+IFERROR(P739,0)-IFERROR(Q739,0))</f>
        <v/>
      </c>
      <c r="S739" s="5" t="n"/>
      <c r="T739" s="5" t="n"/>
      <c r="U739" s="11">
        <f>IF(B739="","",TRIM(LOWER(C739)&amp;"|"&amp;LOWER(D739)))</f>
        <v/>
      </c>
    </row>
    <row r="740">
      <c r="A740" s="11">
        <f>IF(B740="","",TEXT(ROW()-3,"""DC-""0000"))</f>
        <v/>
      </c>
      <c r="B740" s="5" t="n"/>
      <c r="C740" s="5" t="n"/>
      <c r="D740" s="5" t="n"/>
      <c r="E740" s="5" t="n"/>
      <c r="F740" s="5" t="n"/>
      <c r="G740" s="5" t="n"/>
      <c r="H740" s="8" t="n"/>
      <c r="I740" s="8" t="n"/>
      <c r="J740" s="8" t="n"/>
      <c r="K740" s="11">
        <f>IF(B740="","",MAX(0,IFERROR(I740,0)*IFERROR(H740,0)-IFERROR(J740,0)))</f>
        <v/>
      </c>
      <c r="L740" s="8" t="n"/>
      <c r="M740" s="11">
        <f>IF(B740="","",MAX(0,K740-L740))</f>
        <v/>
      </c>
      <c r="N740" s="11">
        <f>IF(B740="","",IF(L740&gt;=K740,"Paid",IF(L740&gt;0,"Partial","Unpaid")))</f>
        <v/>
      </c>
      <c r="O740" s="5" t="n"/>
      <c r="P740" s="8" t="n"/>
      <c r="Q740" s="8" t="n"/>
      <c r="R740" s="11">
        <f>IF(B740="","",IFERROR(K740,0)+IFERROR(P740,0)-IFERROR(Q740,0))</f>
        <v/>
      </c>
      <c r="S740" s="5" t="n"/>
      <c r="T740" s="5" t="n"/>
      <c r="U740" s="11">
        <f>IF(B740="","",TRIM(LOWER(C740)&amp;"|"&amp;LOWER(D740)))</f>
        <v/>
      </c>
    </row>
    <row r="741">
      <c r="A741" s="11">
        <f>IF(B741="","",TEXT(ROW()-3,"""DC-""0000"))</f>
        <v/>
      </c>
      <c r="B741" s="5" t="n"/>
      <c r="C741" s="5" t="n"/>
      <c r="D741" s="5" t="n"/>
      <c r="E741" s="5" t="n"/>
      <c r="F741" s="5" t="n"/>
      <c r="G741" s="5" t="n"/>
      <c r="H741" s="8" t="n"/>
      <c r="I741" s="8" t="n"/>
      <c r="J741" s="8" t="n"/>
      <c r="K741" s="11">
        <f>IF(B741="","",MAX(0,IFERROR(I741,0)*IFERROR(H741,0)-IFERROR(J741,0)))</f>
        <v/>
      </c>
      <c r="L741" s="8" t="n"/>
      <c r="M741" s="11">
        <f>IF(B741="","",MAX(0,K741-L741))</f>
        <v/>
      </c>
      <c r="N741" s="11">
        <f>IF(B741="","",IF(L741&gt;=K741,"Paid",IF(L741&gt;0,"Partial","Unpaid")))</f>
        <v/>
      </c>
      <c r="O741" s="5" t="n"/>
      <c r="P741" s="8" t="n"/>
      <c r="Q741" s="8" t="n"/>
      <c r="R741" s="11">
        <f>IF(B741="","",IFERROR(K741,0)+IFERROR(P741,0)-IFERROR(Q741,0))</f>
        <v/>
      </c>
      <c r="S741" s="5" t="n"/>
      <c r="T741" s="5" t="n"/>
      <c r="U741" s="11">
        <f>IF(B741="","",TRIM(LOWER(C741)&amp;"|"&amp;LOWER(D741)))</f>
        <v/>
      </c>
    </row>
    <row r="742">
      <c r="A742" s="11">
        <f>IF(B742="","",TEXT(ROW()-3,"""DC-""0000"))</f>
        <v/>
      </c>
      <c r="B742" s="5" t="n"/>
      <c r="C742" s="5" t="n"/>
      <c r="D742" s="5" t="n"/>
      <c r="E742" s="5" t="n"/>
      <c r="F742" s="5" t="n"/>
      <c r="G742" s="5" t="n"/>
      <c r="H742" s="8" t="n"/>
      <c r="I742" s="8" t="n"/>
      <c r="J742" s="8" t="n"/>
      <c r="K742" s="11">
        <f>IF(B742="","",MAX(0,IFERROR(I742,0)*IFERROR(H742,0)-IFERROR(J742,0)))</f>
        <v/>
      </c>
      <c r="L742" s="8" t="n"/>
      <c r="M742" s="11">
        <f>IF(B742="","",MAX(0,K742-L742))</f>
        <v/>
      </c>
      <c r="N742" s="11">
        <f>IF(B742="","",IF(L742&gt;=K742,"Paid",IF(L742&gt;0,"Partial","Unpaid")))</f>
        <v/>
      </c>
      <c r="O742" s="5" t="n"/>
      <c r="P742" s="8" t="n"/>
      <c r="Q742" s="8" t="n"/>
      <c r="R742" s="11">
        <f>IF(B742="","",IFERROR(K742,0)+IFERROR(P742,0)-IFERROR(Q742,0))</f>
        <v/>
      </c>
      <c r="S742" s="5" t="n"/>
      <c r="T742" s="5" t="n"/>
      <c r="U742" s="11">
        <f>IF(B742="","",TRIM(LOWER(C742)&amp;"|"&amp;LOWER(D742)))</f>
        <v/>
      </c>
    </row>
    <row r="743">
      <c r="A743" s="11">
        <f>IF(B743="","",TEXT(ROW()-3,"""DC-""0000"))</f>
        <v/>
      </c>
      <c r="B743" s="5" t="n"/>
      <c r="C743" s="5" t="n"/>
      <c r="D743" s="5" t="n"/>
      <c r="E743" s="5" t="n"/>
      <c r="F743" s="5" t="n"/>
      <c r="G743" s="5" t="n"/>
      <c r="H743" s="8" t="n"/>
      <c r="I743" s="8" t="n"/>
      <c r="J743" s="8" t="n"/>
      <c r="K743" s="11">
        <f>IF(B743="","",MAX(0,IFERROR(I743,0)*IFERROR(H743,0)-IFERROR(J743,0)))</f>
        <v/>
      </c>
      <c r="L743" s="8" t="n"/>
      <c r="M743" s="11">
        <f>IF(B743="","",MAX(0,K743-L743))</f>
        <v/>
      </c>
      <c r="N743" s="11">
        <f>IF(B743="","",IF(L743&gt;=K743,"Paid",IF(L743&gt;0,"Partial","Unpaid")))</f>
        <v/>
      </c>
      <c r="O743" s="5" t="n"/>
      <c r="P743" s="8" t="n"/>
      <c r="Q743" s="8" t="n"/>
      <c r="R743" s="11">
        <f>IF(B743="","",IFERROR(K743,0)+IFERROR(P743,0)-IFERROR(Q743,0))</f>
        <v/>
      </c>
      <c r="S743" s="5" t="n"/>
      <c r="T743" s="5" t="n"/>
      <c r="U743" s="11">
        <f>IF(B743="","",TRIM(LOWER(C743)&amp;"|"&amp;LOWER(D743)))</f>
        <v/>
      </c>
    </row>
    <row r="744">
      <c r="A744" s="11">
        <f>IF(B744="","",TEXT(ROW()-3,"""DC-""0000"))</f>
        <v/>
      </c>
      <c r="B744" s="5" t="n"/>
      <c r="C744" s="5" t="n"/>
      <c r="D744" s="5" t="n"/>
      <c r="E744" s="5" t="n"/>
      <c r="F744" s="5" t="n"/>
      <c r="G744" s="5" t="n"/>
      <c r="H744" s="8" t="n"/>
      <c r="I744" s="8" t="n"/>
      <c r="J744" s="8" t="n"/>
      <c r="K744" s="11">
        <f>IF(B744="","",MAX(0,IFERROR(I744,0)*IFERROR(H744,0)-IFERROR(J744,0)))</f>
        <v/>
      </c>
      <c r="L744" s="8" t="n"/>
      <c r="M744" s="11">
        <f>IF(B744="","",MAX(0,K744-L744))</f>
        <v/>
      </c>
      <c r="N744" s="11">
        <f>IF(B744="","",IF(L744&gt;=K744,"Paid",IF(L744&gt;0,"Partial","Unpaid")))</f>
        <v/>
      </c>
      <c r="O744" s="5" t="n"/>
      <c r="P744" s="8" t="n"/>
      <c r="Q744" s="8" t="n"/>
      <c r="R744" s="11">
        <f>IF(B744="","",IFERROR(K744,0)+IFERROR(P744,0)-IFERROR(Q744,0))</f>
        <v/>
      </c>
      <c r="S744" s="5" t="n"/>
      <c r="T744" s="5" t="n"/>
      <c r="U744" s="11">
        <f>IF(B744="","",TRIM(LOWER(C744)&amp;"|"&amp;LOWER(D744)))</f>
        <v/>
      </c>
    </row>
    <row r="745">
      <c r="A745" s="11">
        <f>IF(B745="","",TEXT(ROW()-3,"""DC-""0000"))</f>
        <v/>
      </c>
      <c r="B745" s="5" t="n"/>
      <c r="C745" s="5" t="n"/>
      <c r="D745" s="5" t="n"/>
      <c r="E745" s="5" t="n"/>
      <c r="F745" s="5" t="n"/>
      <c r="G745" s="5" t="n"/>
      <c r="H745" s="8" t="n"/>
      <c r="I745" s="8" t="n"/>
      <c r="J745" s="8" t="n"/>
      <c r="K745" s="11">
        <f>IF(B745="","",MAX(0,IFERROR(I745,0)*IFERROR(H745,0)-IFERROR(J745,0)))</f>
        <v/>
      </c>
      <c r="L745" s="8" t="n"/>
      <c r="M745" s="11">
        <f>IF(B745="","",MAX(0,K745-L745))</f>
        <v/>
      </c>
      <c r="N745" s="11">
        <f>IF(B745="","",IF(L745&gt;=K745,"Paid",IF(L745&gt;0,"Partial","Unpaid")))</f>
        <v/>
      </c>
      <c r="O745" s="5" t="n"/>
      <c r="P745" s="8" t="n"/>
      <c r="Q745" s="8" t="n"/>
      <c r="R745" s="11">
        <f>IF(B745="","",IFERROR(K745,0)+IFERROR(P745,0)-IFERROR(Q745,0))</f>
        <v/>
      </c>
      <c r="S745" s="5" t="n"/>
      <c r="T745" s="5" t="n"/>
      <c r="U745" s="11">
        <f>IF(B745="","",TRIM(LOWER(C745)&amp;"|"&amp;LOWER(D745)))</f>
        <v/>
      </c>
    </row>
    <row r="746">
      <c r="A746" s="11">
        <f>IF(B746="","",TEXT(ROW()-3,"""DC-""0000"))</f>
        <v/>
      </c>
      <c r="B746" s="5" t="n"/>
      <c r="C746" s="5" t="n"/>
      <c r="D746" s="5" t="n"/>
      <c r="E746" s="5" t="n"/>
      <c r="F746" s="5" t="n"/>
      <c r="G746" s="5" t="n"/>
      <c r="H746" s="8" t="n"/>
      <c r="I746" s="8" t="n"/>
      <c r="J746" s="8" t="n"/>
      <c r="K746" s="11">
        <f>IF(B746="","",MAX(0,IFERROR(I746,0)*IFERROR(H746,0)-IFERROR(J746,0)))</f>
        <v/>
      </c>
      <c r="L746" s="8" t="n"/>
      <c r="M746" s="11">
        <f>IF(B746="","",MAX(0,K746-L746))</f>
        <v/>
      </c>
      <c r="N746" s="11">
        <f>IF(B746="","",IF(L746&gt;=K746,"Paid",IF(L746&gt;0,"Partial","Unpaid")))</f>
        <v/>
      </c>
      <c r="O746" s="5" t="n"/>
      <c r="P746" s="8" t="n"/>
      <c r="Q746" s="8" t="n"/>
      <c r="R746" s="11">
        <f>IF(B746="","",IFERROR(K746,0)+IFERROR(P746,0)-IFERROR(Q746,0))</f>
        <v/>
      </c>
      <c r="S746" s="5" t="n"/>
      <c r="T746" s="5" t="n"/>
      <c r="U746" s="11">
        <f>IF(B746="","",TRIM(LOWER(C746)&amp;"|"&amp;LOWER(D746)))</f>
        <v/>
      </c>
    </row>
    <row r="747">
      <c r="A747" s="11">
        <f>IF(B747="","",TEXT(ROW()-3,"""DC-""0000"))</f>
        <v/>
      </c>
      <c r="B747" s="5" t="n"/>
      <c r="C747" s="5" t="n"/>
      <c r="D747" s="5" t="n"/>
      <c r="E747" s="5" t="n"/>
      <c r="F747" s="5" t="n"/>
      <c r="G747" s="5" t="n"/>
      <c r="H747" s="8" t="n"/>
      <c r="I747" s="8" t="n"/>
      <c r="J747" s="8" t="n"/>
      <c r="K747" s="11">
        <f>IF(B747="","",MAX(0,IFERROR(I747,0)*IFERROR(H747,0)-IFERROR(J747,0)))</f>
        <v/>
      </c>
      <c r="L747" s="8" t="n"/>
      <c r="M747" s="11">
        <f>IF(B747="","",MAX(0,K747-L747))</f>
        <v/>
      </c>
      <c r="N747" s="11">
        <f>IF(B747="","",IF(L747&gt;=K747,"Paid",IF(L747&gt;0,"Partial","Unpaid")))</f>
        <v/>
      </c>
      <c r="O747" s="5" t="n"/>
      <c r="P747" s="8" t="n"/>
      <c r="Q747" s="8" t="n"/>
      <c r="R747" s="11">
        <f>IF(B747="","",IFERROR(K747,0)+IFERROR(P747,0)-IFERROR(Q747,0))</f>
        <v/>
      </c>
      <c r="S747" s="5" t="n"/>
      <c r="T747" s="5" t="n"/>
      <c r="U747" s="11">
        <f>IF(B747="","",TRIM(LOWER(C747)&amp;"|"&amp;LOWER(D747)))</f>
        <v/>
      </c>
    </row>
    <row r="748">
      <c r="A748" s="11">
        <f>IF(B748="","",TEXT(ROW()-3,"""DC-""0000"))</f>
        <v/>
      </c>
      <c r="B748" s="5" t="n"/>
      <c r="C748" s="5" t="n"/>
      <c r="D748" s="5" t="n"/>
      <c r="E748" s="5" t="n"/>
      <c r="F748" s="5" t="n"/>
      <c r="G748" s="5" t="n"/>
      <c r="H748" s="8" t="n"/>
      <c r="I748" s="8" t="n"/>
      <c r="J748" s="8" t="n"/>
      <c r="K748" s="11">
        <f>IF(B748="","",MAX(0,IFERROR(I748,0)*IFERROR(H748,0)-IFERROR(J748,0)))</f>
        <v/>
      </c>
      <c r="L748" s="8" t="n"/>
      <c r="M748" s="11">
        <f>IF(B748="","",MAX(0,K748-L748))</f>
        <v/>
      </c>
      <c r="N748" s="11">
        <f>IF(B748="","",IF(L748&gt;=K748,"Paid",IF(L748&gt;0,"Partial","Unpaid")))</f>
        <v/>
      </c>
      <c r="O748" s="5" t="n"/>
      <c r="P748" s="8" t="n"/>
      <c r="Q748" s="8" t="n"/>
      <c r="R748" s="11">
        <f>IF(B748="","",IFERROR(K748,0)+IFERROR(P748,0)-IFERROR(Q748,0))</f>
        <v/>
      </c>
      <c r="S748" s="5" t="n"/>
      <c r="T748" s="5" t="n"/>
      <c r="U748" s="11">
        <f>IF(B748="","",TRIM(LOWER(C748)&amp;"|"&amp;LOWER(D748)))</f>
        <v/>
      </c>
    </row>
    <row r="749">
      <c r="A749" s="11">
        <f>IF(B749="","",TEXT(ROW()-3,"""DC-""0000"))</f>
        <v/>
      </c>
      <c r="B749" s="5" t="n"/>
      <c r="C749" s="5" t="n"/>
      <c r="D749" s="5" t="n"/>
      <c r="E749" s="5" t="n"/>
      <c r="F749" s="5" t="n"/>
      <c r="G749" s="5" t="n"/>
      <c r="H749" s="8" t="n"/>
      <c r="I749" s="8" t="n"/>
      <c r="J749" s="8" t="n"/>
      <c r="K749" s="11">
        <f>IF(B749="","",MAX(0,IFERROR(I749,0)*IFERROR(H749,0)-IFERROR(J749,0)))</f>
        <v/>
      </c>
      <c r="L749" s="8" t="n"/>
      <c r="M749" s="11">
        <f>IF(B749="","",MAX(0,K749-L749))</f>
        <v/>
      </c>
      <c r="N749" s="11">
        <f>IF(B749="","",IF(L749&gt;=K749,"Paid",IF(L749&gt;0,"Partial","Unpaid")))</f>
        <v/>
      </c>
      <c r="O749" s="5" t="n"/>
      <c r="P749" s="8" t="n"/>
      <c r="Q749" s="8" t="n"/>
      <c r="R749" s="11">
        <f>IF(B749="","",IFERROR(K749,0)+IFERROR(P749,0)-IFERROR(Q749,0))</f>
        <v/>
      </c>
      <c r="S749" s="5" t="n"/>
      <c r="T749" s="5" t="n"/>
      <c r="U749" s="11">
        <f>IF(B749="","",TRIM(LOWER(C749)&amp;"|"&amp;LOWER(D749)))</f>
        <v/>
      </c>
    </row>
    <row r="750">
      <c r="A750" s="11">
        <f>IF(B750="","",TEXT(ROW()-3,"""DC-""0000"))</f>
        <v/>
      </c>
      <c r="B750" s="5" t="n"/>
      <c r="C750" s="5" t="n"/>
      <c r="D750" s="5" t="n"/>
      <c r="E750" s="5" t="n"/>
      <c r="F750" s="5" t="n"/>
      <c r="G750" s="5" t="n"/>
      <c r="H750" s="8" t="n"/>
      <c r="I750" s="8" t="n"/>
      <c r="J750" s="8" t="n"/>
      <c r="K750" s="11">
        <f>IF(B750="","",MAX(0,IFERROR(I750,0)*IFERROR(H750,0)-IFERROR(J750,0)))</f>
        <v/>
      </c>
      <c r="L750" s="8" t="n"/>
      <c r="M750" s="11">
        <f>IF(B750="","",MAX(0,K750-L750))</f>
        <v/>
      </c>
      <c r="N750" s="11">
        <f>IF(B750="","",IF(L750&gt;=K750,"Paid",IF(L750&gt;0,"Partial","Unpaid")))</f>
        <v/>
      </c>
      <c r="O750" s="5" t="n"/>
      <c r="P750" s="8" t="n"/>
      <c r="Q750" s="8" t="n"/>
      <c r="R750" s="11">
        <f>IF(B750="","",IFERROR(K750,0)+IFERROR(P750,0)-IFERROR(Q750,0))</f>
        <v/>
      </c>
      <c r="S750" s="5" t="n"/>
      <c r="T750" s="5" t="n"/>
      <c r="U750" s="11">
        <f>IF(B750="","",TRIM(LOWER(C750)&amp;"|"&amp;LOWER(D750)))</f>
        <v/>
      </c>
    </row>
    <row r="751">
      <c r="A751" s="11">
        <f>IF(B751="","",TEXT(ROW()-3,"""DC-""0000"))</f>
        <v/>
      </c>
      <c r="B751" s="5" t="n"/>
      <c r="C751" s="5" t="n"/>
      <c r="D751" s="5" t="n"/>
      <c r="E751" s="5" t="n"/>
      <c r="F751" s="5" t="n"/>
      <c r="G751" s="5" t="n"/>
      <c r="H751" s="8" t="n"/>
      <c r="I751" s="8" t="n"/>
      <c r="J751" s="8" t="n"/>
      <c r="K751" s="11">
        <f>IF(B751="","",MAX(0,IFERROR(I751,0)*IFERROR(H751,0)-IFERROR(J751,0)))</f>
        <v/>
      </c>
      <c r="L751" s="8" t="n"/>
      <c r="M751" s="11">
        <f>IF(B751="","",MAX(0,K751-L751))</f>
        <v/>
      </c>
      <c r="N751" s="11">
        <f>IF(B751="","",IF(L751&gt;=K751,"Paid",IF(L751&gt;0,"Partial","Unpaid")))</f>
        <v/>
      </c>
      <c r="O751" s="5" t="n"/>
      <c r="P751" s="8" t="n"/>
      <c r="Q751" s="8" t="n"/>
      <c r="R751" s="11">
        <f>IF(B751="","",IFERROR(K751,0)+IFERROR(P751,0)-IFERROR(Q751,0))</f>
        <v/>
      </c>
      <c r="S751" s="5" t="n"/>
      <c r="T751" s="5" t="n"/>
      <c r="U751" s="11">
        <f>IF(B751="","",TRIM(LOWER(C751)&amp;"|"&amp;LOWER(D751)))</f>
        <v/>
      </c>
    </row>
    <row r="752">
      <c r="A752" s="11">
        <f>IF(B752="","",TEXT(ROW()-3,"""DC-""0000"))</f>
        <v/>
      </c>
      <c r="B752" s="5" t="n"/>
      <c r="C752" s="5" t="n"/>
      <c r="D752" s="5" t="n"/>
      <c r="E752" s="5" t="n"/>
      <c r="F752" s="5" t="n"/>
      <c r="G752" s="5" t="n"/>
      <c r="H752" s="8" t="n"/>
      <c r="I752" s="8" t="n"/>
      <c r="J752" s="8" t="n"/>
      <c r="K752" s="11">
        <f>IF(B752="","",MAX(0,IFERROR(I752,0)*IFERROR(H752,0)-IFERROR(J752,0)))</f>
        <v/>
      </c>
      <c r="L752" s="8" t="n"/>
      <c r="M752" s="11">
        <f>IF(B752="","",MAX(0,K752-L752))</f>
        <v/>
      </c>
      <c r="N752" s="11">
        <f>IF(B752="","",IF(L752&gt;=K752,"Paid",IF(L752&gt;0,"Partial","Unpaid")))</f>
        <v/>
      </c>
      <c r="O752" s="5" t="n"/>
      <c r="P752" s="8" t="n"/>
      <c r="Q752" s="8" t="n"/>
      <c r="R752" s="11">
        <f>IF(B752="","",IFERROR(K752,0)+IFERROR(P752,0)-IFERROR(Q752,0))</f>
        <v/>
      </c>
      <c r="S752" s="5" t="n"/>
      <c r="T752" s="5" t="n"/>
      <c r="U752" s="11">
        <f>IF(B752="","",TRIM(LOWER(C752)&amp;"|"&amp;LOWER(D752)))</f>
        <v/>
      </c>
    </row>
    <row r="753">
      <c r="A753" s="11">
        <f>IF(B753="","",TEXT(ROW()-3,"""DC-""0000"))</f>
        <v/>
      </c>
      <c r="B753" s="5" t="n"/>
      <c r="C753" s="5" t="n"/>
      <c r="D753" s="5" t="n"/>
      <c r="E753" s="5" t="n"/>
      <c r="F753" s="5" t="n"/>
      <c r="G753" s="5" t="n"/>
      <c r="H753" s="8" t="n"/>
      <c r="I753" s="8" t="n"/>
      <c r="J753" s="8" t="n"/>
      <c r="K753" s="11">
        <f>IF(B753="","",MAX(0,IFERROR(I753,0)*IFERROR(H753,0)-IFERROR(J753,0)))</f>
        <v/>
      </c>
      <c r="L753" s="8" t="n"/>
      <c r="M753" s="11">
        <f>IF(B753="","",MAX(0,K753-L753))</f>
        <v/>
      </c>
      <c r="N753" s="11">
        <f>IF(B753="","",IF(L753&gt;=K753,"Paid",IF(L753&gt;0,"Partial","Unpaid")))</f>
        <v/>
      </c>
      <c r="O753" s="5" t="n"/>
      <c r="P753" s="8" t="n"/>
      <c r="Q753" s="8" t="n"/>
      <c r="R753" s="11">
        <f>IF(B753="","",IFERROR(K753,0)+IFERROR(P753,0)-IFERROR(Q753,0))</f>
        <v/>
      </c>
      <c r="S753" s="5" t="n"/>
      <c r="T753" s="5" t="n"/>
      <c r="U753" s="11">
        <f>IF(B753="","",TRIM(LOWER(C753)&amp;"|"&amp;LOWER(D753)))</f>
        <v/>
      </c>
    </row>
    <row r="754">
      <c r="A754" s="11">
        <f>IF(B754="","",TEXT(ROW()-3,"""DC-""0000"))</f>
        <v/>
      </c>
      <c r="B754" s="5" t="n"/>
      <c r="C754" s="5" t="n"/>
      <c r="D754" s="5" t="n"/>
      <c r="E754" s="5" t="n"/>
      <c r="F754" s="5" t="n"/>
      <c r="G754" s="5" t="n"/>
      <c r="H754" s="8" t="n"/>
      <c r="I754" s="8" t="n"/>
      <c r="J754" s="8" t="n"/>
      <c r="K754" s="11">
        <f>IF(B754="","",MAX(0,IFERROR(I754,0)*IFERROR(H754,0)-IFERROR(J754,0)))</f>
        <v/>
      </c>
      <c r="L754" s="8" t="n"/>
      <c r="M754" s="11">
        <f>IF(B754="","",MAX(0,K754-L754))</f>
        <v/>
      </c>
      <c r="N754" s="11">
        <f>IF(B754="","",IF(L754&gt;=K754,"Paid",IF(L754&gt;0,"Partial","Unpaid")))</f>
        <v/>
      </c>
      <c r="O754" s="5" t="n"/>
      <c r="P754" s="8" t="n"/>
      <c r="Q754" s="8" t="n"/>
      <c r="R754" s="11">
        <f>IF(B754="","",IFERROR(K754,0)+IFERROR(P754,0)-IFERROR(Q754,0))</f>
        <v/>
      </c>
      <c r="S754" s="5" t="n"/>
      <c r="T754" s="5" t="n"/>
      <c r="U754" s="11">
        <f>IF(B754="","",TRIM(LOWER(C754)&amp;"|"&amp;LOWER(D754)))</f>
        <v/>
      </c>
    </row>
    <row r="755">
      <c r="A755" s="11">
        <f>IF(B755="","",TEXT(ROW()-3,"""DC-""0000"))</f>
        <v/>
      </c>
      <c r="B755" s="5" t="n"/>
      <c r="C755" s="5" t="n"/>
      <c r="D755" s="5" t="n"/>
      <c r="E755" s="5" t="n"/>
      <c r="F755" s="5" t="n"/>
      <c r="G755" s="5" t="n"/>
      <c r="H755" s="8" t="n"/>
      <c r="I755" s="8" t="n"/>
      <c r="J755" s="8" t="n"/>
      <c r="K755" s="11">
        <f>IF(B755="","",MAX(0,IFERROR(I755,0)*IFERROR(H755,0)-IFERROR(J755,0)))</f>
        <v/>
      </c>
      <c r="L755" s="8" t="n"/>
      <c r="M755" s="11">
        <f>IF(B755="","",MAX(0,K755-L755))</f>
        <v/>
      </c>
      <c r="N755" s="11">
        <f>IF(B755="","",IF(L755&gt;=K755,"Paid",IF(L755&gt;0,"Partial","Unpaid")))</f>
        <v/>
      </c>
      <c r="O755" s="5" t="n"/>
      <c r="P755" s="8" t="n"/>
      <c r="Q755" s="8" t="n"/>
      <c r="R755" s="11">
        <f>IF(B755="","",IFERROR(K755,0)+IFERROR(P755,0)-IFERROR(Q755,0))</f>
        <v/>
      </c>
      <c r="S755" s="5" t="n"/>
      <c r="T755" s="5" t="n"/>
      <c r="U755" s="11">
        <f>IF(B755="","",TRIM(LOWER(C755)&amp;"|"&amp;LOWER(D755)))</f>
        <v/>
      </c>
    </row>
    <row r="756">
      <c r="A756" s="11">
        <f>IF(B756="","",TEXT(ROW()-3,"""DC-""0000"))</f>
        <v/>
      </c>
      <c r="B756" s="5" t="n"/>
      <c r="C756" s="5" t="n"/>
      <c r="D756" s="5" t="n"/>
      <c r="E756" s="5" t="n"/>
      <c r="F756" s="5" t="n"/>
      <c r="G756" s="5" t="n"/>
      <c r="H756" s="8" t="n"/>
      <c r="I756" s="8" t="n"/>
      <c r="J756" s="8" t="n"/>
      <c r="K756" s="11">
        <f>IF(B756="","",MAX(0,IFERROR(I756,0)*IFERROR(H756,0)-IFERROR(J756,0)))</f>
        <v/>
      </c>
      <c r="L756" s="8" t="n"/>
      <c r="M756" s="11">
        <f>IF(B756="","",MAX(0,K756-L756))</f>
        <v/>
      </c>
      <c r="N756" s="11">
        <f>IF(B756="","",IF(L756&gt;=K756,"Paid",IF(L756&gt;0,"Partial","Unpaid")))</f>
        <v/>
      </c>
      <c r="O756" s="5" t="n"/>
      <c r="P756" s="8" t="n"/>
      <c r="Q756" s="8" t="n"/>
      <c r="R756" s="11">
        <f>IF(B756="","",IFERROR(K756,0)+IFERROR(P756,0)-IFERROR(Q756,0))</f>
        <v/>
      </c>
      <c r="S756" s="5" t="n"/>
      <c r="T756" s="5" t="n"/>
      <c r="U756" s="11">
        <f>IF(B756="","",TRIM(LOWER(C756)&amp;"|"&amp;LOWER(D756)))</f>
        <v/>
      </c>
    </row>
    <row r="757">
      <c r="A757" s="11">
        <f>IF(B757="","",TEXT(ROW()-3,"""DC-""0000"))</f>
        <v/>
      </c>
      <c r="B757" s="5" t="n"/>
      <c r="C757" s="5" t="n"/>
      <c r="D757" s="5" t="n"/>
      <c r="E757" s="5" t="n"/>
      <c r="F757" s="5" t="n"/>
      <c r="G757" s="5" t="n"/>
      <c r="H757" s="8" t="n"/>
      <c r="I757" s="8" t="n"/>
      <c r="J757" s="8" t="n"/>
      <c r="K757" s="11">
        <f>IF(B757="","",MAX(0,IFERROR(I757,0)*IFERROR(H757,0)-IFERROR(J757,0)))</f>
        <v/>
      </c>
      <c r="L757" s="8" t="n"/>
      <c r="M757" s="11">
        <f>IF(B757="","",MAX(0,K757-L757))</f>
        <v/>
      </c>
      <c r="N757" s="11">
        <f>IF(B757="","",IF(L757&gt;=K757,"Paid",IF(L757&gt;0,"Partial","Unpaid")))</f>
        <v/>
      </c>
      <c r="O757" s="5" t="n"/>
      <c r="P757" s="8" t="n"/>
      <c r="Q757" s="8" t="n"/>
      <c r="R757" s="11">
        <f>IF(B757="","",IFERROR(K757,0)+IFERROR(P757,0)-IFERROR(Q757,0))</f>
        <v/>
      </c>
      <c r="S757" s="5" t="n"/>
      <c r="T757" s="5" t="n"/>
      <c r="U757" s="11">
        <f>IF(B757="","",TRIM(LOWER(C757)&amp;"|"&amp;LOWER(D757)))</f>
        <v/>
      </c>
    </row>
    <row r="758">
      <c r="A758" s="11">
        <f>IF(B758="","",TEXT(ROW()-3,"""DC-""0000"))</f>
        <v/>
      </c>
      <c r="B758" s="5" t="n"/>
      <c r="C758" s="5" t="n"/>
      <c r="D758" s="5" t="n"/>
      <c r="E758" s="5" t="n"/>
      <c r="F758" s="5" t="n"/>
      <c r="G758" s="5" t="n"/>
      <c r="H758" s="8" t="n"/>
      <c r="I758" s="8" t="n"/>
      <c r="J758" s="8" t="n"/>
      <c r="K758" s="11">
        <f>IF(B758="","",MAX(0,IFERROR(I758,0)*IFERROR(H758,0)-IFERROR(J758,0)))</f>
        <v/>
      </c>
      <c r="L758" s="8" t="n"/>
      <c r="M758" s="11">
        <f>IF(B758="","",MAX(0,K758-L758))</f>
        <v/>
      </c>
      <c r="N758" s="11">
        <f>IF(B758="","",IF(L758&gt;=K758,"Paid",IF(L758&gt;0,"Partial","Unpaid")))</f>
        <v/>
      </c>
      <c r="O758" s="5" t="n"/>
      <c r="P758" s="8" t="n"/>
      <c r="Q758" s="8" t="n"/>
      <c r="R758" s="11">
        <f>IF(B758="","",IFERROR(K758,0)+IFERROR(P758,0)-IFERROR(Q758,0))</f>
        <v/>
      </c>
      <c r="S758" s="5" t="n"/>
      <c r="T758" s="5" t="n"/>
      <c r="U758" s="11">
        <f>IF(B758="","",TRIM(LOWER(C758)&amp;"|"&amp;LOWER(D758)))</f>
        <v/>
      </c>
    </row>
    <row r="759">
      <c r="A759" s="11">
        <f>IF(B759="","",TEXT(ROW()-3,"""DC-""0000"))</f>
        <v/>
      </c>
      <c r="B759" s="5" t="n"/>
      <c r="C759" s="5" t="n"/>
      <c r="D759" s="5" t="n"/>
      <c r="E759" s="5" t="n"/>
      <c r="F759" s="5" t="n"/>
      <c r="G759" s="5" t="n"/>
      <c r="H759" s="8" t="n"/>
      <c r="I759" s="8" t="n"/>
      <c r="J759" s="8" t="n"/>
      <c r="K759" s="11">
        <f>IF(B759="","",MAX(0,IFERROR(I759,0)*IFERROR(H759,0)-IFERROR(J759,0)))</f>
        <v/>
      </c>
      <c r="L759" s="8" t="n"/>
      <c r="M759" s="11">
        <f>IF(B759="","",MAX(0,K759-L759))</f>
        <v/>
      </c>
      <c r="N759" s="11">
        <f>IF(B759="","",IF(L759&gt;=K759,"Paid",IF(L759&gt;0,"Partial","Unpaid")))</f>
        <v/>
      </c>
      <c r="O759" s="5" t="n"/>
      <c r="P759" s="8" t="n"/>
      <c r="Q759" s="8" t="n"/>
      <c r="R759" s="11">
        <f>IF(B759="","",IFERROR(K759,0)+IFERROR(P759,0)-IFERROR(Q759,0))</f>
        <v/>
      </c>
      <c r="S759" s="5" t="n"/>
      <c r="T759" s="5" t="n"/>
      <c r="U759" s="11">
        <f>IF(B759="","",TRIM(LOWER(C759)&amp;"|"&amp;LOWER(D759)))</f>
        <v/>
      </c>
    </row>
    <row r="760">
      <c r="A760" s="11">
        <f>IF(B760="","",TEXT(ROW()-3,"""DC-""0000"))</f>
        <v/>
      </c>
      <c r="B760" s="5" t="n"/>
      <c r="C760" s="5" t="n"/>
      <c r="D760" s="5" t="n"/>
      <c r="E760" s="5" t="n"/>
      <c r="F760" s="5" t="n"/>
      <c r="G760" s="5" t="n"/>
      <c r="H760" s="8" t="n"/>
      <c r="I760" s="8" t="n"/>
      <c r="J760" s="8" t="n"/>
      <c r="K760" s="11">
        <f>IF(B760="","",MAX(0,IFERROR(I760,0)*IFERROR(H760,0)-IFERROR(J760,0)))</f>
        <v/>
      </c>
      <c r="L760" s="8" t="n"/>
      <c r="M760" s="11">
        <f>IF(B760="","",MAX(0,K760-L760))</f>
        <v/>
      </c>
      <c r="N760" s="11">
        <f>IF(B760="","",IF(L760&gt;=K760,"Paid",IF(L760&gt;0,"Partial","Unpaid")))</f>
        <v/>
      </c>
      <c r="O760" s="5" t="n"/>
      <c r="P760" s="8" t="n"/>
      <c r="Q760" s="8" t="n"/>
      <c r="R760" s="11">
        <f>IF(B760="","",IFERROR(K760,0)+IFERROR(P760,0)-IFERROR(Q760,0))</f>
        <v/>
      </c>
      <c r="S760" s="5" t="n"/>
      <c r="T760" s="5" t="n"/>
      <c r="U760" s="11">
        <f>IF(B760="","",TRIM(LOWER(C760)&amp;"|"&amp;LOWER(D760)))</f>
        <v/>
      </c>
    </row>
    <row r="761">
      <c r="A761" s="11">
        <f>IF(B761="","",TEXT(ROW()-3,"""DC-""0000"))</f>
        <v/>
      </c>
      <c r="B761" s="5" t="n"/>
      <c r="C761" s="5" t="n"/>
      <c r="D761" s="5" t="n"/>
      <c r="E761" s="5" t="n"/>
      <c r="F761" s="5" t="n"/>
      <c r="G761" s="5" t="n"/>
      <c r="H761" s="8" t="n"/>
      <c r="I761" s="8" t="n"/>
      <c r="J761" s="8" t="n"/>
      <c r="K761" s="11">
        <f>IF(B761="","",MAX(0,IFERROR(I761,0)*IFERROR(H761,0)-IFERROR(J761,0)))</f>
        <v/>
      </c>
      <c r="L761" s="8" t="n"/>
      <c r="M761" s="11">
        <f>IF(B761="","",MAX(0,K761-L761))</f>
        <v/>
      </c>
      <c r="N761" s="11">
        <f>IF(B761="","",IF(L761&gt;=K761,"Paid",IF(L761&gt;0,"Partial","Unpaid")))</f>
        <v/>
      </c>
      <c r="O761" s="5" t="n"/>
      <c r="P761" s="8" t="n"/>
      <c r="Q761" s="8" t="n"/>
      <c r="R761" s="11">
        <f>IF(B761="","",IFERROR(K761,0)+IFERROR(P761,0)-IFERROR(Q761,0))</f>
        <v/>
      </c>
      <c r="S761" s="5" t="n"/>
      <c r="T761" s="5" t="n"/>
      <c r="U761" s="11">
        <f>IF(B761="","",TRIM(LOWER(C761)&amp;"|"&amp;LOWER(D761)))</f>
        <v/>
      </c>
    </row>
    <row r="762">
      <c r="A762" s="11">
        <f>IF(B762="","",TEXT(ROW()-3,"""DC-""0000"))</f>
        <v/>
      </c>
      <c r="B762" s="5" t="n"/>
      <c r="C762" s="5" t="n"/>
      <c r="D762" s="5" t="n"/>
      <c r="E762" s="5" t="n"/>
      <c r="F762" s="5" t="n"/>
      <c r="G762" s="5" t="n"/>
      <c r="H762" s="8" t="n"/>
      <c r="I762" s="8" t="n"/>
      <c r="J762" s="8" t="n"/>
      <c r="K762" s="11">
        <f>IF(B762="","",MAX(0,IFERROR(I762,0)*IFERROR(H762,0)-IFERROR(J762,0)))</f>
        <v/>
      </c>
      <c r="L762" s="8" t="n"/>
      <c r="M762" s="11">
        <f>IF(B762="","",MAX(0,K762-L762))</f>
        <v/>
      </c>
      <c r="N762" s="11">
        <f>IF(B762="","",IF(L762&gt;=K762,"Paid",IF(L762&gt;0,"Partial","Unpaid")))</f>
        <v/>
      </c>
      <c r="O762" s="5" t="n"/>
      <c r="P762" s="8" t="n"/>
      <c r="Q762" s="8" t="n"/>
      <c r="R762" s="11">
        <f>IF(B762="","",IFERROR(K762,0)+IFERROR(P762,0)-IFERROR(Q762,0))</f>
        <v/>
      </c>
      <c r="S762" s="5" t="n"/>
      <c r="T762" s="5" t="n"/>
      <c r="U762" s="11">
        <f>IF(B762="","",TRIM(LOWER(C762)&amp;"|"&amp;LOWER(D762)))</f>
        <v/>
      </c>
    </row>
    <row r="763">
      <c r="A763" s="11">
        <f>IF(B763="","",TEXT(ROW()-3,"""DC-""0000"))</f>
        <v/>
      </c>
      <c r="B763" s="5" t="n"/>
      <c r="C763" s="5" t="n"/>
      <c r="D763" s="5" t="n"/>
      <c r="E763" s="5" t="n"/>
      <c r="F763" s="5" t="n"/>
      <c r="G763" s="5" t="n"/>
      <c r="H763" s="8" t="n"/>
      <c r="I763" s="8" t="n"/>
      <c r="J763" s="8" t="n"/>
      <c r="K763" s="11">
        <f>IF(B763="","",MAX(0,IFERROR(I763,0)*IFERROR(H763,0)-IFERROR(J763,0)))</f>
        <v/>
      </c>
      <c r="L763" s="8" t="n"/>
      <c r="M763" s="11">
        <f>IF(B763="","",MAX(0,K763-L763))</f>
        <v/>
      </c>
      <c r="N763" s="11">
        <f>IF(B763="","",IF(L763&gt;=K763,"Paid",IF(L763&gt;0,"Partial","Unpaid")))</f>
        <v/>
      </c>
      <c r="O763" s="5" t="n"/>
      <c r="P763" s="8" t="n"/>
      <c r="Q763" s="8" t="n"/>
      <c r="R763" s="11">
        <f>IF(B763="","",IFERROR(K763,0)+IFERROR(P763,0)-IFERROR(Q763,0))</f>
        <v/>
      </c>
      <c r="S763" s="5" t="n"/>
      <c r="T763" s="5" t="n"/>
      <c r="U763" s="11">
        <f>IF(B763="","",TRIM(LOWER(C763)&amp;"|"&amp;LOWER(D763)))</f>
        <v/>
      </c>
    </row>
    <row r="764">
      <c r="A764" s="11">
        <f>IF(B764="","",TEXT(ROW()-3,"""DC-""0000"))</f>
        <v/>
      </c>
      <c r="B764" s="5" t="n"/>
      <c r="C764" s="5" t="n"/>
      <c r="D764" s="5" t="n"/>
      <c r="E764" s="5" t="n"/>
      <c r="F764" s="5" t="n"/>
      <c r="G764" s="5" t="n"/>
      <c r="H764" s="8" t="n"/>
      <c r="I764" s="8" t="n"/>
      <c r="J764" s="8" t="n"/>
      <c r="K764" s="11">
        <f>IF(B764="","",MAX(0,IFERROR(I764,0)*IFERROR(H764,0)-IFERROR(J764,0)))</f>
        <v/>
      </c>
      <c r="L764" s="8" t="n"/>
      <c r="M764" s="11">
        <f>IF(B764="","",MAX(0,K764-L764))</f>
        <v/>
      </c>
      <c r="N764" s="11">
        <f>IF(B764="","",IF(L764&gt;=K764,"Paid",IF(L764&gt;0,"Partial","Unpaid")))</f>
        <v/>
      </c>
      <c r="O764" s="5" t="n"/>
      <c r="P764" s="8" t="n"/>
      <c r="Q764" s="8" t="n"/>
      <c r="R764" s="11">
        <f>IF(B764="","",IFERROR(K764,0)+IFERROR(P764,0)-IFERROR(Q764,0))</f>
        <v/>
      </c>
      <c r="S764" s="5" t="n"/>
      <c r="T764" s="5" t="n"/>
      <c r="U764" s="11">
        <f>IF(B764="","",TRIM(LOWER(C764)&amp;"|"&amp;LOWER(D764)))</f>
        <v/>
      </c>
    </row>
    <row r="765">
      <c r="A765" s="11">
        <f>IF(B765="","",TEXT(ROW()-3,"""DC-""0000"))</f>
        <v/>
      </c>
      <c r="B765" s="5" t="n"/>
      <c r="C765" s="5" t="n"/>
      <c r="D765" s="5" t="n"/>
      <c r="E765" s="5" t="n"/>
      <c r="F765" s="5" t="n"/>
      <c r="G765" s="5" t="n"/>
      <c r="H765" s="8" t="n"/>
      <c r="I765" s="8" t="n"/>
      <c r="J765" s="8" t="n"/>
      <c r="K765" s="11">
        <f>IF(B765="","",MAX(0,IFERROR(I765,0)*IFERROR(H765,0)-IFERROR(J765,0)))</f>
        <v/>
      </c>
      <c r="L765" s="8" t="n"/>
      <c r="M765" s="11">
        <f>IF(B765="","",MAX(0,K765-L765))</f>
        <v/>
      </c>
      <c r="N765" s="11">
        <f>IF(B765="","",IF(L765&gt;=K765,"Paid",IF(L765&gt;0,"Partial","Unpaid")))</f>
        <v/>
      </c>
      <c r="O765" s="5" t="n"/>
      <c r="P765" s="8" t="n"/>
      <c r="Q765" s="8" t="n"/>
      <c r="R765" s="11">
        <f>IF(B765="","",IFERROR(K765,0)+IFERROR(P765,0)-IFERROR(Q765,0))</f>
        <v/>
      </c>
      <c r="S765" s="5" t="n"/>
      <c r="T765" s="5" t="n"/>
      <c r="U765" s="11">
        <f>IF(B765="","",TRIM(LOWER(C765)&amp;"|"&amp;LOWER(D765)))</f>
        <v/>
      </c>
    </row>
    <row r="766">
      <c r="A766" s="11">
        <f>IF(B766="","",TEXT(ROW()-3,"""DC-""0000"))</f>
        <v/>
      </c>
      <c r="B766" s="5" t="n"/>
      <c r="C766" s="5" t="n"/>
      <c r="D766" s="5" t="n"/>
      <c r="E766" s="5" t="n"/>
      <c r="F766" s="5" t="n"/>
      <c r="G766" s="5" t="n"/>
      <c r="H766" s="8" t="n"/>
      <c r="I766" s="8" t="n"/>
      <c r="J766" s="8" t="n"/>
      <c r="K766" s="11">
        <f>IF(B766="","",MAX(0,IFERROR(I766,0)*IFERROR(H766,0)-IFERROR(J766,0)))</f>
        <v/>
      </c>
      <c r="L766" s="8" t="n"/>
      <c r="M766" s="11">
        <f>IF(B766="","",MAX(0,K766-L766))</f>
        <v/>
      </c>
      <c r="N766" s="11">
        <f>IF(B766="","",IF(L766&gt;=K766,"Paid",IF(L766&gt;0,"Partial","Unpaid")))</f>
        <v/>
      </c>
      <c r="O766" s="5" t="n"/>
      <c r="P766" s="8" t="n"/>
      <c r="Q766" s="8" t="n"/>
      <c r="R766" s="11">
        <f>IF(B766="","",IFERROR(K766,0)+IFERROR(P766,0)-IFERROR(Q766,0))</f>
        <v/>
      </c>
      <c r="S766" s="5" t="n"/>
      <c r="T766" s="5" t="n"/>
      <c r="U766" s="11">
        <f>IF(B766="","",TRIM(LOWER(C766)&amp;"|"&amp;LOWER(D766)))</f>
        <v/>
      </c>
    </row>
    <row r="767">
      <c r="A767" s="11">
        <f>IF(B767="","",TEXT(ROW()-3,"""DC-""0000"))</f>
        <v/>
      </c>
      <c r="B767" s="5" t="n"/>
      <c r="C767" s="5" t="n"/>
      <c r="D767" s="5" t="n"/>
      <c r="E767" s="5" t="n"/>
      <c r="F767" s="5" t="n"/>
      <c r="G767" s="5" t="n"/>
      <c r="H767" s="8" t="n"/>
      <c r="I767" s="8" t="n"/>
      <c r="J767" s="8" t="n"/>
      <c r="K767" s="11">
        <f>IF(B767="","",MAX(0,IFERROR(I767,0)*IFERROR(H767,0)-IFERROR(J767,0)))</f>
        <v/>
      </c>
      <c r="L767" s="8" t="n"/>
      <c r="M767" s="11">
        <f>IF(B767="","",MAX(0,K767-L767))</f>
        <v/>
      </c>
      <c r="N767" s="11">
        <f>IF(B767="","",IF(L767&gt;=K767,"Paid",IF(L767&gt;0,"Partial","Unpaid")))</f>
        <v/>
      </c>
      <c r="O767" s="5" t="n"/>
      <c r="P767" s="8" t="n"/>
      <c r="Q767" s="8" t="n"/>
      <c r="R767" s="11">
        <f>IF(B767="","",IFERROR(K767,0)+IFERROR(P767,0)-IFERROR(Q767,0))</f>
        <v/>
      </c>
      <c r="S767" s="5" t="n"/>
      <c r="T767" s="5" t="n"/>
      <c r="U767" s="11">
        <f>IF(B767="","",TRIM(LOWER(C767)&amp;"|"&amp;LOWER(D767)))</f>
        <v/>
      </c>
    </row>
    <row r="768">
      <c r="A768" s="11">
        <f>IF(B768="","",TEXT(ROW()-3,"""DC-""0000"))</f>
        <v/>
      </c>
      <c r="B768" s="5" t="n"/>
      <c r="C768" s="5" t="n"/>
      <c r="D768" s="5" t="n"/>
      <c r="E768" s="5" t="n"/>
      <c r="F768" s="5" t="n"/>
      <c r="G768" s="5" t="n"/>
      <c r="H768" s="8" t="n"/>
      <c r="I768" s="8" t="n"/>
      <c r="J768" s="8" t="n"/>
      <c r="K768" s="11">
        <f>IF(B768="","",MAX(0,IFERROR(I768,0)*IFERROR(H768,0)-IFERROR(J768,0)))</f>
        <v/>
      </c>
      <c r="L768" s="8" t="n"/>
      <c r="M768" s="11">
        <f>IF(B768="","",MAX(0,K768-L768))</f>
        <v/>
      </c>
      <c r="N768" s="11">
        <f>IF(B768="","",IF(L768&gt;=K768,"Paid",IF(L768&gt;0,"Partial","Unpaid")))</f>
        <v/>
      </c>
      <c r="O768" s="5" t="n"/>
      <c r="P768" s="8" t="n"/>
      <c r="Q768" s="8" t="n"/>
      <c r="R768" s="11">
        <f>IF(B768="","",IFERROR(K768,0)+IFERROR(P768,0)-IFERROR(Q768,0))</f>
        <v/>
      </c>
      <c r="S768" s="5" t="n"/>
      <c r="T768" s="5" t="n"/>
      <c r="U768" s="11">
        <f>IF(B768="","",TRIM(LOWER(C768)&amp;"|"&amp;LOWER(D768)))</f>
        <v/>
      </c>
    </row>
    <row r="769">
      <c r="A769" s="11">
        <f>IF(B769="","",TEXT(ROW()-3,"""DC-""0000"))</f>
        <v/>
      </c>
      <c r="B769" s="5" t="n"/>
      <c r="C769" s="5" t="n"/>
      <c r="D769" s="5" t="n"/>
      <c r="E769" s="5" t="n"/>
      <c r="F769" s="5" t="n"/>
      <c r="G769" s="5" t="n"/>
      <c r="H769" s="8" t="n"/>
      <c r="I769" s="8" t="n"/>
      <c r="J769" s="8" t="n"/>
      <c r="K769" s="11">
        <f>IF(B769="","",MAX(0,IFERROR(I769,0)*IFERROR(H769,0)-IFERROR(J769,0)))</f>
        <v/>
      </c>
      <c r="L769" s="8" t="n"/>
      <c r="M769" s="11">
        <f>IF(B769="","",MAX(0,K769-L769))</f>
        <v/>
      </c>
      <c r="N769" s="11">
        <f>IF(B769="","",IF(L769&gt;=K769,"Paid",IF(L769&gt;0,"Partial","Unpaid")))</f>
        <v/>
      </c>
      <c r="O769" s="5" t="n"/>
      <c r="P769" s="8" t="n"/>
      <c r="Q769" s="8" t="n"/>
      <c r="R769" s="11">
        <f>IF(B769="","",IFERROR(K769,0)+IFERROR(P769,0)-IFERROR(Q769,0))</f>
        <v/>
      </c>
      <c r="S769" s="5" t="n"/>
      <c r="T769" s="5" t="n"/>
      <c r="U769" s="11">
        <f>IF(B769="","",TRIM(LOWER(C769)&amp;"|"&amp;LOWER(D769)))</f>
        <v/>
      </c>
    </row>
    <row r="770">
      <c r="A770" s="11">
        <f>IF(B770="","",TEXT(ROW()-3,"""DC-""0000"))</f>
        <v/>
      </c>
      <c r="B770" s="5" t="n"/>
      <c r="C770" s="5" t="n"/>
      <c r="D770" s="5" t="n"/>
      <c r="E770" s="5" t="n"/>
      <c r="F770" s="5" t="n"/>
      <c r="G770" s="5" t="n"/>
      <c r="H770" s="8" t="n"/>
      <c r="I770" s="8" t="n"/>
      <c r="J770" s="8" t="n"/>
      <c r="K770" s="11">
        <f>IF(B770="","",MAX(0,IFERROR(I770,0)*IFERROR(H770,0)-IFERROR(J770,0)))</f>
        <v/>
      </c>
      <c r="L770" s="8" t="n"/>
      <c r="M770" s="11">
        <f>IF(B770="","",MAX(0,K770-L770))</f>
        <v/>
      </c>
      <c r="N770" s="11">
        <f>IF(B770="","",IF(L770&gt;=K770,"Paid",IF(L770&gt;0,"Partial","Unpaid")))</f>
        <v/>
      </c>
      <c r="O770" s="5" t="n"/>
      <c r="P770" s="8" t="n"/>
      <c r="Q770" s="8" t="n"/>
      <c r="R770" s="11">
        <f>IF(B770="","",IFERROR(K770,0)+IFERROR(P770,0)-IFERROR(Q770,0))</f>
        <v/>
      </c>
      <c r="S770" s="5" t="n"/>
      <c r="T770" s="5" t="n"/>
      <c r="U770" s="11">
        <f>IF(B770="","",TRIM(LOWER(C770)&amp;"|"&amp;LOWER(D770)))</f>
        <v/>
      </c>
    </row>
    <row r="771">
      <c r="A771" s="11">
        <f>IF(B771="","",TEXT(ROW()-3,"""DC-""0000"))</f>
        <v/>
      </c>
      <c r="B771" s="5" t="n"/>
      <c r="C771" s="5" t="n"/>
      <c r="D771" s="5" t="n"/>
      <c r="E771" s="5" t="n"/>
      <c r="F771" s="5" t="n"/>
      <c r="G771" s="5" t="n"/>
      <c r="H771" s="8" t="n"/>
      <c r="I771" s="8" t="n"/>
      <c r="J771" s="8" t="n"/>
      <c r="K771" s="11">
        <f>IF(B771="","",MAX(0,IFERROR(I771,0)*IFERROR(H771,0)-IFERROR(J771,0)))</f>
        <v/>
      </c>
      <c r="L771" s="8" t="n"/>
      <c r="M771" s="11">
        <f>IF(B771="","",MAX(0,K771-L771))</f>
        <v/>
      </c>
      <c r="N771" s="11">
        <f>IF(B771="","",IF(L771&gt;=K771,"Paid",IF(L771&gt;0,"Partial","Unpaid")))</f>
        <v/>
      </c>
      <c r="O771" s="5" t="n"/>
      <c r="P771" s="8" t="n"/>
      <c r="Q771" s="8" t="n"/>
      <c r="R771" s="11">
        <f>IF(B771="","",IFERROR(K771,0)+IFERROR(P771,0)-IFERROR(Q771,0))</f>
        <v/>
      </c>
      <c r="S771" s="5" t="n"/>
      <c r="T771" s="5" t="n"/>
      <c r="U771" s="11">
        <f>IF(B771="","",TRIM(LOWER(C771)&amp;"|"&amp;LOWER(D771)))</f>
        <v/>
      </c>
    </row>
    <row r="772">
      <c r="A772" s="11">
        <f>IF(B772="","",TEXT(ROW()-3,"""DC-""0000"))</f>
        <v/>
      </c>
      <c r="B772" s="5" t="n"/>
      <c r="C772" s="5" t="n"/>
      <c r="D772" s="5" t="n"/>
      <c r="E772" s="5" t="n"/>
      <c r="F772" s="5" t="n"/>
      <c r="G772" s="5" t="n"/>
      <c r="H772" s="8" t="n"/>
      <c r="I772" s="8" t="n"/>
      <c r="J772" s="8" t="n"/>
      <c r="K772" s="11">
        <f>IF(B772="","",MAX(0,IFERROR(I772,0)*IFERROR(H772,0)-IFERROR(J772,0)))</f>
        <v/>
      </c>
      <c r="L772" s="8" t="n"/>
      <c r="M772" s="11">
        <f>IF(B772="","",MAX(0,K772-L772))</f>
        <v/>
      </c>
      <c r="N772" s="11">
        <f>IF(B772="","",IF(L772&gt;=K772,"Paid",IF(L772&gt;0,"Partial","Unpaid")))</f>
        <v/>
      </c>
      <c r="O772" s="5" t="n"/>
      <c r="P772" s="8" t="n"/>
      <c r="Q772" s="8" t="n"/>
      <c r="R772" s="11">
        <f>IF(B772="","",IFERROR(K772,0)+IFERROR(P772,0)-IFERROR(Q772,0))</f>
        <v/>
      </c>
      <c r="S772" s="5" t="n"/>
      <c r="T772" s="5" t="n"/>
      <c r="U772" s="11">
        <f>IF(B772="","",TRIM(LOWER(C772)&amp;"|"&amp;LOWER(D772)))</f>
        <v/>
      </c>
    </row>
    <row r="773">
      <c r="A773" s="11">
        <f>IF(B773="","",TEXT(ROW()-3,"""DC-""0000"))</f>
        <v/>
      </c>
      <c r="B773" s="5" t="n"/>
      <c r="C773" s="5" t="n"/>
      <c r="D773" s="5" t="n"/>
      <c r="E773" s="5" t="n"/>
      <c r="F773" s="5" t="n"/>
      <c r="G773" s="5" t="n"/>
      <c r="H773" s="8" t="n"/>
      <c r="I773" s="8" t="n"/>
      <c r="J773" s="8" t="n"/>
      <c r="K773" s="11">
        <f>IF(B773="","",MAX(0,IFERROR(I773,0)*IFERROR(H773,0)-IFERROR(J773,0)))</f>
        <v/>
      </c>
      <c r="L773" s="8" t="n"/>
      <c r="M773" s="11">
        <f>IF(B773="","",MAX(0,K773-L773))</f>
        <v/>
      </c>
      <c r="N773" s="11">
        <f>IF(B773="","",IF(L773&gt;=K773,"Paid",IF(L773&gt;0,"Partial","Unpaid")))</f>
        <v/>
      </c>
      <c r="O773" s="5" t="n"/>
      <c r="P773" s="8" t="n"/>
      <c r="Q773" s="8" t="n"/>
      <c r="R773" s="11">
        <f>IF(B773="","",IFERROR(K773,0)+IFERROR(P773,0)-IFERROR(Q773,0))</f>
        <v/>
      </c>
      <c r="S773" s="5" t="n"/>
      <c r="T773" s="5" t="n"/>
      <c r="U773" s="11">
        <f>IF(B773="","",TRIM(LOWER(C773)&amp;"|"&amp;LOWER(D773)))</f>
        <v/>
      </c>
    </row>
    <row r="774">
      <c r="A774" s="11">
        <f>IF(B774="","",TEXT(ROW()-3,"""DC-""0000"))</f>
        <v/>
      </c>
      <c r="B774" s="5" t="n"/>
      <c r="C774" s="5" t="n"/>
      <c r="D774" s="5" t="n"/>
      <c r="E774" s="5" t="n"/>
      <c r="F774" s="5" t="n"/>
      <c r="G774" s="5" t="n"/>
      <c r="H774" s="8" t="n"/>
      <c r="I774" s="8" t="n"/>
      <c r="J774" s="8" t="n"/>
      <c r="K774" s="11">
        <f>IF(B774="","",MAX(0,IFERROR(I774,0)*IFERROR(H774,0)-IFERROR(J774,0)))</f>
        <v/>
      </c>
      <c r="L774" s="8" t="n"/>
      <c r="M774" s="11">
        <f>IF(B774="","",MAX(0,K774-L774))</f>
        <v/>
      </c>
      <c r="N774" s="11">
        <f>IF(B774="","",IF(L774&gt;=K774,"Paid",IF(L774&gt;0,"Partial","Unpaid")))</f>
        <v/>
      </c>
      <c r="O774" s="5" t="n"/>
      <c r="P774" s="8" t="n"/>
      <c r="Q774" s="8" t="n"/>
      <c r="R774" s="11">
        <f>IF(B774="","",IFERROR(K774,0)+IFERROR(P774,0)-IFERROR(Q774,0))</f>
        <v/>
      </c>
      <c r="S774" s="5" t="n"/>
      <c r="T774" s="5" t="n"/>
      <c r="U774" s="11">
        <f>IF(B774="","",TRIM(LOWER(C774)&amp;"|"&amp;LOWER(D774)))</f>
        <v/>
      </c>
    </row>
    <row r="775">
      <c r="A775" s="11">
        <f>IF(B775="","",TEXT(ROW()-3,"""DC-""0000"))</f>
        <v/>
      </c>
      <c r="B775" s="5" t="n"/>
      <c r="C775" s="5" t="n"/>
      <c r="D775" s="5" t="n"/>
      <c r="E775" s="5" t="n"/>
      <c r="F775" s="5" t="n"/>
      <c r="G775" s="5" t="n"/>
      <c r="H775" s="8" t="n"/>
      <c r="I775" s="8" t="n"/>
      <c r="J775" s="8" t="n"/>
      <c r="K775" s="11">
        <f>IF(B775="","",MAX(0,IFERROR(I775,0)*IFERROR(H775,0)-IFERROR(J775,0)))</f>
        <v/>
      </c>
      <c r="L775" s="8" t="n"/>
      <c r="M775" s="11">
        <f>IF(B775="","",MAX(0,K775-L775))</f>
        <v/>
      </c>
      <c r="N775" s="11">
        <f>IF(B775="","",IF(L775&gt;=K775,"Paid",IF(L775&gt;0,"Partial","Unpaid")))</f>
        <v/>
      </c>
      <c r="O775" s="5" t="n"/>
      <c r="P775" s="8" t="n"/>
      <c r="Q775" s="8" t="n"/>
      <c r="R775" s="11">
        <f>IF(B775="","",IFERROR(K775,0)+IFERROR(P775,0)-IFERROR(Q775,0))</f>
        <v/>
      </c>
      <c r="S775" s="5" t="n"/>
      <c r="T775" s="5" t="n"/>
      <c r="U775" s="11">
        <f>IF(B775="","",TRIM(LOWER(C775)&amp;"|"&amp;LOWER(D775)))</f>
        <v/>
      </c>
    </row>
    <row r="776">
      <c r="A776" s="11">
        <f>IF(B776="","",TEXT(ROW()-3,"""DC-""0000"))</f>
        <v/>
      </c>
      <c r="B776" s="5" t="n"/>
      <c r="C776" s="5" t="n"/>
      <c r="D776" s="5" t="n"/>
      <c r="E776" s="5" t="n"/>
      <c r="F776" s="5" t="n"/>
      <c r="G776" s="5" t="n"/>
      <c r="H776" s="8" t="n"/>
      <c r="I776" s="8" t="n"/>
      <c r="J776" s="8" t="n"/>
      <c r="K776" s="11">
        <f>IF(B776="","",MAX(0,IFERROR(I776,0)*IFERROR(H776,0)-IFERROR(J776,0)))</f>
        <v/>
      </c>
      <c r="L776" s="8" t="n"/>
      <c r="M776" s="11">
        <f>IF(B776="","",MAX(0,K776-L776))</f>
        <v/>
      </c>
      <c r="N776" s="11">
        <f>IF(B776="","",IF(L776&gt;=K776,"Paid",IF(L776&gt;0,"Partial","Unpaid")))</f>
        <v/>
      </c>
      <c r="O776" s="5" t="n"/>
      <c r="P776" s="8" t="n"/>
      <c r="Q776" s="8" t="n"/>
      <c r="R776" s="11">
        <f>IF(B776="","",IFERROR(K776,0)+IFERROR(P776,0)-IFERROR(Q776,0))</f>
        <v/>
      </c>
      <c r="S776" s="5" t="n"/>
      <c r="T776" s="5" t="n"/>
      <c r="U776" s="11">
        <f>IF(B776="","",TRIM(LOWER(C776)&amp;"|"&amp;LOWER(D776)))</f>
        <v/>
      </c>
    </row>
    <row r="777">
      <c r="A777" s="11">
        <f>IF(B777="","",TEXT(ROW()-3,"""DC-""0000"))</f>
        <v/>
      </c>
      <c r="B777" s="5" t="n"/>
      <c r="C777" s="5" t="n"/>
      <c r="D777" s="5" t="n"/>
      <c r="E777" s="5" t="n"/>
      <c r="F777" s="5" t="n"/>
      <c r="G777" s="5" t="n"/>
      <c r="H777" s="8" t="n"/>
      <c r="I777" s="8" t="n"/>
      <c r="J777" s="8" t="n"/>
      <c r="K777" s="11">
        <f>IF(B777="","",MAX(0,IFERROR(I777,0)*IFERROR(H777,0)-IFERROR(J777,0)))</f>
        <v/>
      </c>
      <c r="L777" s="8" t="n"/>
      <c r="M777" s="11">
        <f>IF(B777="","",MAX(0,K777-L777))</f>
        <v/>
      </c>
      <c r="N777" s="11">
        <f>IF(B777="","",IF(L777&gt;=K777,"Paid",IF(L777&gt;0,"Partial","Unpaid")))</f>
        <v/>
      </c>
      <c r="O777" s="5" t="n"/>
      <c r="P777" s="8" t="n"/>
      <c r="Q777" s="8" t="n"/>
      <c r="R777" s="11">
        <f>IF(B777="","",IFERROR(K777,0)+IFERROR(P777,0)-IFERROR(Q777,0))</f>
        <v/>
      </c>
      <c r="S777" s="5" t="n"/>
      <c r="T777" s="5" t="n"/>
      <c r="U777" s="11">
        <f>IF(B777="","",TRIM(LOWER(C777)&amp;"|"&amp;LOWER(D777)))</f>
        <v/>
      </c>
    </row>
    <row r="778">
      <c r="A778" s="11">
        <f>IF(B778="","",TEXT(ROW()-3,"""DC-""0000"))</f>
        <v/>
      </c>
      <c r="B778" s="5" t="n"/>
      <c r="C778" s="5" t="n"/>
      <c r="D778" s="5" t="n"/>
      <c r="E778" s="5" t="n"/>
      <c r="F778" s="5" t="n"/>
      <c r="G778" s="5" t="n"/>
      <c r="H778" s="8" t="n"/>
      <c r="I778" s="8" t="n"/>
      <c r="J778" s="8" t="n"/>
      <c r="K778" s="11">
        <f>IF(B778="","",MAX(0,IFERROR(I778,0)*IFERROR(H778,0)-IFERROR(J778,0)))</f>
        <v/>
      </c>
      <c r="L778" s="8" t="n"/>
      <c r="M778" s="11">
        <f>IF(B778="","",MAX(0,K778-L778))</f>
        <v/>
      </c>
      <c r="N778" s="11">
        <f>IF(B778="","",IF(L778&gt;=K778,"Paid",IF(L778&gt;0,"Partial","Unpaid")))</f>
        <v/>
      </c>
      <c r="O778" s="5" t="n"/>
      <c r="P778" s="8" t="n"/>
      <c r="Q778" s="8" t="n"/>
      <c r="R778" s="11">
        <f>IF(B778="","",IFERROR(K778,0)+IFERROR(P778,0)-IFERROR(Q778,0))</f>
        <v/>
      </c>
      <c r="S778" s="5" t="n"/>
      <c r="T778" s="5" t="n"/>
      <c r="U778" s="11">
        <f>IF(B778="","",TRIM(LOWER(C778)&amp;"|"&amp;LOWER(D778)))</f>
        <v/>
      </c>
    </row>
    <row r="779">
      <c r="A779" s="11">
        <f>IF(B779="","",TEXT(ROW()-3,"""DC-""0000"))</f>
        <v/>
      </c>
      <c r="B779" s="5" t="n"/>
      <c r="C779" s="5" t="n"/>
      <c r="D779" s="5" t="n"/>
      <c r="E779" s="5" t="n"/>
      <c r="F779" s="5" t="n"/>
      <c r="G779" s="5" t="n"/>
      <c r="H779" s="8" t="n"/>
      <c r="I779" s="8" t="n"/>
      <c r="J779" s="8" t="n"/>
      <c r="K779" s="11">
        <f>IF(B779="","",MAX(0,IFERROR(I779,0)*IFERROR(H779,0)-IFERROR(J779,0)))</f>
        <v/>
      </c>
      <c r="L779" s="8" t="n"/>
      <c r="M779" s="11">
        <f>IF(B779="","",MAX(0,K779-L779))</f>
        <v/>
      </c>
      <c r="N779" s="11">
        <f>IF(B779="","",IF(L779&gt;=K779,"Paid",IF(L779&gt;0,"Partial","Unpaid")))</f>
        <v/>
      </c>
      <c r="O779" s="5" t="n"/>
      <c r="P779" s="8" t="n"/>
      <c r="Q779" s="8" t="n"/>
      <c r="R779" s="11">
        <f>IF(B779="","",IFERROR(K779,0)+IFERROR(P779,0)-IFERROR(Q779,0))</f>
        <v/>
      </c>
      <c r="S779" s="5" t="n"/>
      <c r="T779" s="5" t="n"/>
      <c r="U779" s="11">
        <f>IF(B779="","",TRIM(LOWER(C779)&amp;"|"&amp;LOWER(D779)))</f>
        <v/>
      </c>
    </row>
    <row r="780">
      <c r="A780" s="11">
        <f>IF(B780="","",TEXT(ROW()-3,"""DC-""0000"))</f>
        <v/>
      </c>
      <c r="B780" s="5" t="n"/>
      <c r="C780" s="5" t="n"/>
      <c r="D780" s="5" t="n"/>
      <c r="E780" s="5" t="n"/>
      <c r="F780" s="5" t="n"/>
      <c r="G780" s="5" t="n"/>
      <c r="H780" s="8" t="n"/>
      <c r="I780" s="8" t="n"/>
      <c r="J780" s="8" t="n"/>
      <c r="K780" s="11">
        <f>IF(B780="","",MAX(0,IFERROR(I780,0)*IFERROR(H780,0)-IFERROR(J780,0)))</f>
        <v/>
      </c>
      <c r="L780" s="8" t="n"/>
      <c r="M780" s="11">
        <f>IF(B780="","",MAX(0,K780-L780))</f>
        <v/>
      </c>
      <c r="N780" s="11">
        <f>IF(B780="","",IF(L780&gt;=K780,"Paid",IF(L780&gt;0,"Partial","Unpaid")))</f>
        <v/>
      </c>
      <c r="O780" s="5" t="n"/>
      <c r="P780" s="8" t="n"/>
      <c r="Q780" s="8" t="n"/>
      <c r="R780" s="11">
        <f>IF(B780="","",IFERROR(K780,0)+IFERROR(P780,0)-IFERROR(Q780,0))</f>
        <v/>
      </c>
      <c r="S780" s="5" t="n"/>
      <c r="T780" s="5" t="n"/>
      <c r="U780" s="11">
        <f>IF(B780="","",TRIM(LOWER(C780)&amp;"|"&amp;LOWER(D780)))</f>
        <v/>
      </c>
    </row>
    <row r="781">
      <c r="A781" s="11">
        <f>IF(B781="","",TEXT(ROW()-3,"""DC-""0000"))</f>
        <v/>
      </c>
      <c r="B781" s="5" t="n"/>
      <c r="C781" s="5" t="n"/>
      <c r="D781" s="5" t="n"/>
      <c r="E781" s="5" t="n"/>
      <c r="F781" s="5" t="n"/>
      <c r="G781" s="5" t="n"/>
      <c r="H781" s="8" t="n"/>
      <c r="I781" s="8" t="n"/>
      <c r="J781" s="8" t="n"/>
      <c r="K781" s="11">
        <f>IF(B781="","",MAX(0,IFERROR(I781,0)*IFERROR(H781,0)-IFERROR(J781,0)))</f>
        <v/>
      </c>
      <c r="L781" s="8" t="n"/>
      <c r="M781" s="11">
        <f>IF(B781="","",MAX(0,K781-L781))</f>
        <v/>
      </c>
      <c r="N781" s="11">
        <f>IF(B781="","",IF(L781&gt;=K781,"Paid",IF(L781&gt;0,"Partial","Unpaid")))</f>
        <v/>
      </c>
      <c r="O781" s="5" t="n"/>
      <c r="P781" s="8" t="n"/>
      <c r="Q781" s="8" t="n"/>
      <c r="R781" s="11">
        <f>IF(B781="","",IFERROR(K781,0)+IFERROR(P781,0)-IFERROR(Q781,0))</f>
        <v/>
      </c>
      <c r="S781" s="5" t="n"/>
      <c r="T781" s="5" t="n"/>
      <c r="U781" s="11">
        <f>IF(B781="","",TRIM(LOWER(C781)&amp;"|"&amp;LOWER(D781)))</f>
        <v/>
      </c>
    </row>
    <row r="782">
      <c r="A782" s="11">
        <f>IF(B782="","",TEXT(ROW()-3,"""DC-""0000"))</f>
        <v/>
      </c>
      <c r="B782" s="5" t="n"/>
      <c r="C782" s="5" t="n"/>
      <c r="D782" s="5" t="n"/>
      <c r="E782" s="5" t="n"/>
      <c r="F782" s="5" t="n"/>
      <c r="G782" s="5" t="n"/>
      <c r="H782" s="8" t="n"/>
      <c r="I782" s="8" t="n"/>
      <c r="J782" s="8" t="n"/>
      <c r="K782" s="11">
        <f>IF(B782="","",MAX(0,IFERROR(I782,0)*IFERROR(H782,0)-IFERROR(J782,0)))</f>
        <v/>
      </c>
      <c r="L782" s="8" t="n"/>
      <c r="M782" s="11">
        <f>IF(B782="","",MAX(0,K782-L782))</f>
        <v/>
      </c>
      <c r="N782" s="11">
        <f>IF(B782="","",IF(L782&gt;=K782,"Paid",IF(L782&gt;0,"Partial","Unpaid")))</f>
        <v/>
      </c>
      <c r="O782" s="5" t="n"/>
      <c r="P782" s="8" t="n"/>
      <c r="Q782" s="8" t="n"/>
      <c r="R782" s="11">
        <f>IF(B782="","",IFERROR(K782,0)+IFERROR(P782,0)-IFERROR(Q782,0))</f>
        <v/>
      </c>
      <c r="S782" s="5" t="n"/>
      <c r="T782" s="5" t="n"/>
      <c r="U782" s="11">
        <f>IF(B782="","",TRIM(LOWER(C782)&amp;"|"&amp;LOWER(D782)))</f>
        <v/>
      </c>
    </row>
    <row r="783">
      <c r="A783" s="11">
        <f>IF(B783="","",TEXT(ROW()-3,"""DC-""0000"))</f>
        <v/>
      </c>
      <c r="B783" s="5" t="n"/>
      <c r="C783" s="5" t="n"/>
      <c r="D783" s="5" t="n"/>
      <c r="E783" s="5" t="n"/>
      <c r="F783" s="5" t="n"/>
      <c r="G783" s="5" t="n"/>
      <c r="H783" s="8" t="n"/>
      <c r="I783" s="8" t="n"/>
      <c r="J783" s="8" t="n"/>
      <c r="K783" s="11">
        <f>IF(B783="","",MAX(0,IFERROR(I783,0)*IFERROR(H783,0)-IFERROR(J783,0)))</f>
        <v/>
      </c>
      <c r="L783" s="8" t="n"/>
      <c r="M783" s="11">
        <f>IF(B783="","",MAX(0,K783-L783))</f>
        <v/>
      </c>
      <c r="N783" s="11">
        <f>IF(B783="","",IF(L783&gt;=K783,"Paid",IF(L783&gt;0,"Partial","Unpaid")))</f>
        <v/>
      </c>
      <c r="O783" s="5" t="n"/>
      <c r="P783" s="8" t="n"/>
      <c r="Q783" s="8" t="n"/>
      <c r="R783" s="11">
        <f>IF(B783="","",IFERROR(K783,0)+IFERROR(P783,0)-IFERROR(Q783,0))</f>
        <v/>
      </c>
      <c r="S783" s="5" t="n"/>
      <c r="T783" s="5" t="n"/>
      <c r="U783" s="11">
        <f>IF(B783="","",TRIM(LOWER(C783)&amp;"|"&amp;LOWER(D783)))</f>
        <v/>
      </c>
    </row>
    <row r="784">
      <c r="A784" s="11">
        <f>IF(B784="","",TEXT(ROW()-3,"""DC-""0000"))</f>
        <v/>
      </c>
      <c r="B784" s="5" t="n"/>
      <c r="C784" s="5" t="n"/>
      <c r="D784" s="5" t="n"/>
      <c r="E784" s="5" t="n"/>
      <c r="F784" s="5" t="n"/>
      <c r="G784" s="5" t="n"/>
      <c r="H784" s="8" t="n"/>
      <c r="I784" s="8" t="n"/>
      <c r="J784" s="8" t="n"/>
      <c r="K784" s="11">
        <f>IF(B784="","",MAX(0,IFERROR(I784,0)*IFERROR(H784,0)-IFERROR(J784,0)))</f>
        <v/>
      </c>
      <c r="L784" s="8" t="n"/>
      <c r="M784" s="11">
        <f>IF(B784="","",MAX(0,K784-L784))</f>
        <v/>
      </c>
      <c r="N784" s="11">
        <f>IF(B784="","",IF(L784&gt;=K784,"Paid",IF(L784&gt;0,"Partial","Unpaid")))</f>
        <v/>
      </c>
      <c r="O784" s="5" t="n"/>
      <c r="P784" s="8" t="n"/>
      <c r="Q784" s="8" t="n"/>
      <c r="R784" s="11">
        <f>IF(B784="","",IFERROR(K784,0)+IFERROR(P784,0)-IFERROR(Q784,0))</f>
        <v/>
      </c>
      <c r="S784" s="5" t="n"/>
      <c r="T784" s="5" t="n"/>
      <c r="U784" s="11">
        <f>IF(B784="","",TRIM(LOWER(C784)&amp;"|"&amp;LOWER(D784)))</f>
        <v/>
      </c>
    </row>
    <row r="785">
      <c r="A785" s="11">
        <f>IF(B785="","",TEXT(ROW()-3,"""DC-""0000"))</f>
        <v/>
      </c>
      <c r="B785" s="5" t="n"/>
      <c r="C785" s="5" t="n"/>
      <c r="D785" s="5" t="n"/>
      <c r="E785" s="5" t="n"/>
      <c r="F785" s="5" t="n"/>
      <c r="G785" s="5" t="n"/>
      <c r="H785" s="8" t="n"/>
      <c r="I785" s="8" t="n"/>
      <c r="J785" s="8" t="n"/>
      <c r="K785" s="11">
        <f>IF(B785="","",MAX(0,IFERROR(I785,0)*IFERROR(H785,0)-IFERROR(J785,0)))</f>
        <v/>
      </c>
      <c r="L785" s="8" t="n"/>
      <c r="M785" s="11">
        <f>IF(B785="","",MAX(0,K785-L785))</f>
        <v/>
      </c>
      <c r="N785" s="11">
        <f>IF(B785="","",IF(L785&gt;=K785,"Paid",IF(L785&gt;0,"Partial","Unpaid")))</f>
        <v/>
      </c>
      <c r="O785" s="5" t="n"/>
      <c r="P785" s="8" t="n"/>
      <c r="Q785" s="8" t="n"/>
      <c r="R785" s="11">
        <f>IF(B785="","",IFERROR(K785,0)+IFERROR(P785,0)-IFERROR(Q785,0))</f>
        <v/>
      </c>
      <c r="S785" s="5" t="n"/>
      <c r="T785" s="5" t="n"/>
      <c r="U785" s="11">
        <f>IF(B785="","",TRIM(LOWER(C785)&amp;"|"&amp;LOWER(D785)))</f>
        <v/>
      </c>
    </row>
    <row r="786">
      <c r="A786" s="11">
        <f>IF(B786="","",TEXT(ROW()-3,"""DC-""0000"))</f>
        <v/>
      </c>
      <c r="B786" s="5" t="n"/>
      <c r="C786" s="5" t="n"/>
      <c r="D786" s="5" t="n"/>
      <c r="E786" s="5" t="n"/>
      <c r="F786" s="5" t="n"/>
      <c r="G786" s="5" t="n"/>
      <c r="H786" s="8" t="n"/>
      <c r="I786" s="8" t="n"/>
      <c r="J786" s="8" t="n"/>
      <c r="K786" s="11">
        <f>IF(B786="","",MAX(0,IFERROR(I786,0)*IFERROR(H786,0)-IFERROR(J786,0)))</f>
        <v/>
      </c>
      <c r="L786" s="8" t="n"/>
      <c r="M786" s="11">
        <f>IF(B786="","",MAX(0,K786-L786))</f>
        <v/>
      </c>
      <c r="N786" s="11">
        <f>IF(B786="","",IF(L786&gt;=K786,"Paid",IF(L786&gt;0,"Partial","Unpaid")))</f>
        <v/>
      </c>
      <c r="O786" s="5" t="n"/>
      <c r="P786" s="8" t="n"/>
      <c r="Q786" s="8" t="n"/>
      <c r="R786" s="11">
        <f>IF(B786="","",IFERROR(K786,0)+IFERROR(P786,0)-IFERROR(Q786,0))</f>
        <v/>
      </c>
      <c r="S786" s="5" t="n"/>
      <c r="T786" s="5" t="n"/>
      <c r="U786" s="11">
        <f>IF(B786="","",TRIM(LOWER(C786)&amp;"|"&amp;LOWER(D786)))</f>
        <v/>
      </c>
    </row>
    <row r="787">
      <c r="A787" s="11">
        <f>IF(B787="","",TEXT(ROW()-3,"""DC-""0000"))</f>
        <v/>
      </c>
      <c r="B787" s="5" t="n"/>
      <c r="C787" s="5" t="n"/>
      <c r="D787" s="5" t="n"/>
      <c r="E787" s="5" t="n"/>
      <c r="F787" s="5" t="n"/>
      <c r="G787" s="5" t="n"/>
      <c r="H787" s="8" t="n"/>
      <c r="I787" s="8" t="n"/>
      <c r="J787" s="8" t="n"/>
      <c r="K787" s="11">
        <f>IF(B787="","",MAX(0,IFERROR(I787,0)*IFERROR(H787,0)-IFERROR(J787,0)))</f>
        <v/>
      </c>
      <c r="L787" s="8" t="n"/>
      <c r="M787" s="11">
        <f>IF(B787="","",MAX(0,K787-L787))</f>
        <v/>
      </c>
      <c r="N787" s="11">
        <f>IF(B787="","",IF(L787&gt;=K787,"Paid",IF(L787&gt;0,"Partial","Unpaid")))</f>
        <v/>
      </c>
      <c r="O787" s="5" t="n"/>
      <c r="P787" s="8" t="n"/>
      <c r="Q787" s="8" t="n"/>
      <c r="R787" s="11">
        <f>IF(B787="","",IFERROR(K787,0)+IFERROR(P787,0)-IFERROR(Q787,0))</f>
        <v/>
      </c>
      <c r="S787" s="5" t="n"/>
      <c r="T787" s="5" t="n"/>
      <c r="U787" s="11">
        <f>IF(B787="","",TRIM(LOWER(C787)&amp;"|"&amp;LOWER(D787)))</f>
        <v/>
      </c>
    </row>
    <row r="788">
      <c r="A788" s="11">
        <f>IF(B788="","",TEXT(ROW()-3,"""DC-""0000"))</f>
        <v/>
      </c>
      <c r="B788" s="5" t="n"/>
      <c r="C788" s="5" t="n"/>
      <c r="D788" s="5" t="n"/>
      <c r="E788" s="5" t="n"/>
      <c r="F788" s="5" t="n"/>
      <c r="G788" s="5" t="n"/>
      <c r="H788" s="8" t="n"/>
      <c r="I788" s="8" t="n"/>
      <c r="J788" s="8" t="n"/>
      <c r="K788" s="11">
        <f>IF(B788="","",MAX(0,IFERROR(I788,0)*IFERROR(H788,0)-IFERROR(J788,0)))</f>
        <v/>
      </c>
      <c r="L788" s="8" t="n"/>
      <c r="M788" s="11">
        <f>IF(B788="","",MAX(0,K788-L788))</f>
        <v/>
      </c>
      <c r="N788" s="11">
        <f>IF(B788="","",IF(L788&gt;=K788,"Paid",IF(L788&gt;0,"Partial","Unpaid")))</f>
        <v/>
      </c>
      <c r="O788" s="5" t="n"/>
      <c r="P788" s="8" t="n"/>
      <c r="Q788" s="8" t="n"/>
      <c r="R788" s="11">
        <f>IF(B788="","",IFERROR(K788,0)+IFERROR(P788,0)-IFERROR(Q788,0))</f>
        <v/>
      </c>
      <c r="S788" s="5" t="n"/>
      <c r="T788" s="5" t="n"/>
      <c r="U788" s="11">
        <f>IF(B788="","",TRIM(LOWER(C788)&amp;"|"&amp;LOWER(D788)))</f>
        <v/>
      </c>
    </row>
    <row r="789">
      <c r="A789" s="11">
        <f>IF(B789="","",TEXT(ROW()-3,"""DC-""0000"))</f>
        <v/>
      </c>
      <c r="B789" s="5" t="n"/>
      <c r="C789" s="5" t="n"/>
      <c r="D789" s="5" t="n"/>
      <c r="E789" s="5" t="n"/>
      <c r="F789" s="5" t="n"/>
      <c r="G789" s="5" t="n"/>
      <c r="H789" s="8" t="n"/>
      <c r="I789" s="8" t="n"/>
      <c r="J789" s="8" t="n"/>
      <c r="K789" s="11">
        <f>IF(B789="","",MAX(0,IFERROR(I789,0)*IFERROR(H789,0)-IFERROR(J789,0)))</f>
        <v/>
      </c>
      <c r="L789" s="8" t="n"/>
      <c r="M789" s="11">
        <f>IF(B789="","",MAX(0,K789-L789))</f>
        <v/>
      </c>
      <c r="N789" s="11">
        <f>IF(B789="","",IF(L789&gt;=K789,"Paid",IF(L789&gt;0,"Partial","Unpaid")))</f>
        <v/>
      </c>
      <c r="O789" s="5" t="n"/>
      <c r="P789" s="8" t="n"/>
      <c r="Q789" s="8" t="n"/>
      <c r="R789" s="11">
        <f>IF(B789="","",IFERROR(K789,0)+IFERROR(P789,0)-IFERROR(Q789,0))</f>
        <v/>
      </c>
      <c r="S789" s="5" t="n"/>
      <c r="T789" s="5" t="n"/>
      <c r="U789" s="11">
        <f>IF(B789="","",TRIM(LOWER(C789)&amp;"|"&amp;LOWER(D789)))</f>
        <v/>
      </c>
    </row>
    <row r="790">
      <c r="A790" s="11">
        <f>IF(B790="","",TEXT(ROW()-3,"""DC-""0000"))</f>
        <v/>
      </c>
      <c r="B790" s="5" t="n"/>
      <c r="C790" s="5" t="n"/>
      <c r="D790" s="5" t="n"/>
      <c r="E790" s="5" t="n"/>
      <c r="F790" s="5" t="n"/>
      <c r="G790" s="5" t="n"/>
      <c r="H790" s="8" t="n"/>
      <c r="I790" s="8" t="n"/>
      <c r="J790" s="8" t="n"/>
      <c r="K790" s="11">
        <f>IF(B790="","",MAX(0,IFERROR(I790,0)*IFERROR(H790,0)-IFERROR(J790,0)))</f>
        <v/>
      </c>
      <c r="L790" s="8" t="n"/>
      <c r="M790" s="11">
        <f>IF(B790="","",MAX(0,K790-L790))</f>
        <v/>
      </c>
      <c r="N790" s="11">
        <f>IF(B790="","",IF(L790&gt;=K790,"Paid",IF(L790&gt;0,"Partial","Unpaid")))</f>
        <v/>
      </c>
      <c r="O790" s="5" t="n"/>
      <c r="P790" s="8" t="n"/>
      <c r="Q790" s="8" t="n"/>
      <c r="R790" s="11">
        <f>IF(B790="","",IFERROR(K790,0)+IFERROR(P790,0)-IFERROR(Q790,0))</f>
        <v/>
      </c>
      <c r="S790" s="5" t="n"/>
      <c r="T790" s="5" t="n"/>
      <c r="U790" s="11">
        <f>IF(B790="","",TRIM(LOWER(C790)&amp;"|"&amp;LOWER(D790)))</f>
        <v/>
      </c>
    </row>
    <row r="791">
      <c r="A791" s="11">
        <f>IF(B791="","",TEXT(ROW()-3,"""DC-""0000"))</f>
        <v/>
      </c>
      <c r="B791" s="5" t="n"/>
      <c r="C791" s="5" t="n"/>
      <c r="D791" s="5" t="n"/>
      <c r="E791" s="5" t="n"/>
      <c r="F791" s="5" t="n"/>
      <c r="G791" s="5" t="n"/>
      <c r="H791" s="8" t="n"/>
      <c r="I791" s="8" t="n"/>
      <c r="J791" s="8" t="n"/>
      <c r="K791" s="11">
        <f>IF(B791="","",MAX(0,IFERROR(I791,0)*IFERROR(H791,0)-IFERROR(J791,0)))</f>
        <v/>
      </c>
      <c r="L791" s="8" t="n"/>
      <c r="M791" s="11">
        <f>IF(B791="","",MAX(0,K791-L791))</f>
        <v/>
      </c>
      <c r="N791" s="11">
        <f>IF(B791="","",IF(L791&gt;=K791,"Paid",IF(L791&gt;0,"Partial","Unpaid")))</f>
        <v/>
      </c>
      <c r="O791" s="5" t="n"/>
      <c r="P791" s="8" t="n"/>
      <c r="Q791" s="8" t="n"/>
      <c r="R791" s="11">
        <f>IF(B791="","",IFERROR(K791,0)+IFERROR(P791,0)-IFERROR(Q791,0))</f>
        <v/>
      </c>
      <c r="S791" s="5" t="n"/>
      <c r="T791" s="5" t="n"/>
      <c r="U791" s="11">
        <f>IF(B791="","",TRIM(LOWER(C791)&amp;"|"&amp;LOWER(D791)))</f>
        <v/>
      </c>
    </row>
    <row r="792">
      <c r="A792" s="11">
        <f>IF(B792="","",TEXT(ROW()-3,"""DC-""0000"))</f>
        <v/>
      </c>
      <c r="B792" s="5" t="n"/>
      <c r="C792" s="5" t="n"/>
      <c r="D792" s="5" t="n"/>
      <c r="E792" s="5" t="n"/>
      <c r="F792" s="5" t="n"/>
      <c r="G792" s="5" t="n"/>
      <c r="H792" s="8" t="n"/>
      <c r="I792" s="8" t="n"/>
      <c r="J792" s="8" t="n"/>
      <c r="K792" s="11">
        <f>IF(B792="","",MAX(0,IFERROR(I792,0)*IFERROR(H792,0)-IFERROR(J792,0)))</f>
        <v/>
      </c>
      <c r="L792" s="8" t="n"/>
      <c r="M792" s="11">
        <f>IF(B792="","",MAX(0,K792-L792))</f>
        <v/>
      </c>
      <c r="N792" s="11">
        <f>IF(B792="","",IF(L792&gt;=K792,"Paid",IF(L792&gt;0,"Partial","Unpaid")))</f>
        <v/>
      </c>
      <c r="O792" s="5" t="n"/>
      <c r="P792" s="8" t="n"/>
      <c r="Q792" s="8" t="n"/>
      <c r="R792" s="11">
        <f>IF(B792="","",IFERROR(K792,0)+IFERROR(P792,0)-IFERROR(Q792,0))</f>
        <v/>
      </c>
      <c r="S792" s="5" t="n"/>
      <c r="T792" s="5" t="n"/>
      <c r="U792" s="11">
        <f>IF(B792="","",TRIM(LOWER(C792)&amp;"|"&amp;LOWER(D792)))</f>
        <v/>
      </c>
    </row>
    <row r="793">
      <c r="A793" s="11">
        <f>IF(B793="","",TEXT(ROW()-3,"""DC-""0000"))</f>
        <v/>
      </c>
      <c r="B793" s="5" t="n"/>
      <c r="C793" s="5" t="n"/>
      <c r="D793" s="5" t="n"/>
      <c r="E793" s="5" t="n"/>
      <c r="F793" s="5" t="n"/>
      <c r="G793" s="5" t="n"/>
      <c r="H793" s="8" t="n"/>
      <c r="I793" s="8" t="n"/>
      <c r="J793" s="8" t="n"/>
      <c r="K793" s="11">
        <f>IF(B793="","",MAX(0,IFERROR(I793,0)*IFERROR(H793,0)-IFERROR(J793,0)))</f>
        <v/>
      </c>
      <c r="L793" s="8" t="n"/>
      <c r="M793" s="11">
        <f>IF(B793="","",MAX(0,K793-L793))</f>
        <v/>
      </c>
      <c r="N793" s="11">
        <f>IF(B793="","",IF(L793&gt;=K793,"Paid",IF(L793&gt;0,"Partial","Unpaid")))</f>
        <v/>
      </c>
      <c r="O793" s="5" t="n"/>
      <c r="P793" s="8" t="n"/>
      <c r="Q793" s="8" t="n"/>
      <c r="R793" s="11">
        <f>IF(B793="","",IFERROR(K793,0)+IFERROR(P793,0)-IFERROR(Q793,0))</f>
        <v/>
      </c>
      <c r="S793" s="5" t="n"/>
      <c r="T793" s="5" t="n"/>
      <c r="U793" s="11">
        <f>IF(B793="","",TRIM(LOWER(C793)&amp;"|"&amp;LOWER(D793)))</f>
        <v/>
      </c>
    </row>
    <row r="794">
      <c r="A794" s="11">
        <f>IF(B794="","",TEXT(ROW()-3,"""DC-""0000"))</f>
        <v/>
      </c>
      <c r="B794" s="5" t="n"/>
      <c r="C794" s="5" t="n"/>
      <c r="D794" s="5" t="n"/>
      <c r="E794" s="5" t="n"/>
      <c r="F794" s="5" t="n"/>
      <c r="G794" s="5" t="n"/>
      <c r="H794" s="8" t="n"/>
      <c r="I794" s="8" t="n"/>
      <c r="J794" s="8" t="n"/>
      <c r="K794" s="11">
        <f>IF(B794="","",MAX(0,IFERROR(I794,0)*IFERROR(H794,0)-IFERROR(J794,0)))</f>
        <v/>
      </c>
      <c r="L794" s="8" t="n"/>
      <c r="M794" s="11">
        <f>IF(B794="","",MAX(0,K794-L794))</f>
        <v/>
      </c>
      <c r="N794" s="11">
        <f>IF(B794="","",IF(L794&gt;=K794,"Paid",IF(L794&gt;0,"Partial","Unpaid")))</f>
        <v/>
      </c>
      <c r="O794" s="5" t="n"/>
      <c r="P794" s="8" t="n"/>
      <c r="Q794" s="8" t="n"/>
      <c r="R794" s="11">
        <f>IF(B794="","",IFERROR(K794,0)+IFERROR(P794,0)-IFERROR(Q794,0))</f>
        <v/>
      </c>
      <c r="S794" s="5" t="n"/>
      <c r="T794" s="5" t="n"/>
      <c r="U794" s="11">
        <f>IF(B794="","",TRIM(LOWER(C794)&amp;"|"&amp;LOWER(D794)))</f>
        <v/>
      </c>
    </row>
    <row r="795">
      <c r="A795" s="11">
        <f>IF(B795="","",TEXT(ROW()-3,"""DC-""0000"))</f>
        <v/>
      </c>
      <c r="B795" s="5" t="n"/>
      <c r="C795" s="5" t="n"/>
      <c r="D795" s="5" t="n"/>
      <c r="E795" s="5" t="n"/>
      <c r="F795" s="5" t="n"/>
      <c r="G795" s="5" t="n"/>
      <c r="H795" s="8" t="n"/>
      <c r="I795" s="8" t="n"/>
      <c r="J795" s="8" t="n"/>
      <c r="K795" s="11">
        <f>IF(B795="","",MAX(0,IFERROR(I795,0)*IFERROR(H795,0)-IFERROR(J795,0)))</f>
        <v/>
      </c>
      <c r="L795" s="8" t="n"/>
      <c r="M795" s="11">
        <f>IF(B795="","",MAX(0,K795-L795))</f>
        <v/>
      </c>
      <c r="N795" s="11">
        <f>IF(B795="","",IF(L795&gt;=K795,"Paid",IF(L795&gt;0,"Partial","Unpaid")))</f>
        <v/>
      </c>
      <c r="O795" s="5" t="n"/>
      <c r="P795" s="8" t="n"/>
      <c r="Q795" s="8" t="n"/>
      <c r="R795" s="11">
        <f>IF(B795="","",IFERROR(K795,0)+IFERROR(P795,0)-IFERROR(Q795,0))</f>
        <v/>
      </c>
      <c r="S795" s="5" t="n"/>
      <c r="T795" s="5" t="n"/>
      <c r="U795" s="11">
        <f>IF(B795="","",TRIM(LOWER(C795)&amp;"|"&amp;LOWER(D795)))</f>
        <v/>
      </c>
    </row>
    <row r="796">
      <c r="A796" s="11">
        <f>IF(B796="","",TEXT(ROW()-3,"""DC-""0000"))</f>
        <v/>
      </c>
      <c r="B796" s="5" t="n"/>
      <c r="C796" s="5" t="n"/>
      <c r="D796" s="5" t="n"/>
      <c r="E796" s="5" t="n"/>
      <c r="F796" s="5" t="n"/>
      <c r="G796" s="5" t="n"/>
      <c r="H796" s="8" t="n"/>
      <c r="I796" s="8" t="n"/>
      <c r="J796" s="8" t="n"/>
      <c r="K796" s="11">
        <f>IF(B796="","",MAX(0,IFERROR(I796,0)*IFERROR(H796,0)-IFERROR(J796,0)))</f>
        <v/>
      </c>
      <c r="L796" s="8" t="n"/>
      <c r="M796" s="11">
        <f>IF(B796="","",MAX(0,K796-L796))</f>
        <v/>
      </c>
      <c r="N796" s="11">
        <f>IF(B796="","",IF(L796&gt;=K796,"Paid",IF(L796&gt;0,"Partial","Unpaid")))</f>
        <v/>
      </c>
      <c r="O796" s="5" t="n"/>
      <c r="P796" s="8" t="n"/>
      <c r="Q796" s="8" t="n"/>
      <c r="R796" s="11">
        <f>IF(B796="","",IFERROR(K796,0)+IFERROR(P796,0)-IFERROR(Q796,0))</f>
        <v/>
      </c>
      <c r="S796" s="5" t="n"/>
      <c r="T796" s="5" t="n"/>
      <c r="U796" s="11">
        <f>IF(B796="","",TRIM(LOWER(C796)&amp;"|"&amp;LOWER(D796)))</f>
        <v/>
      </c>
    </row>
    <row r="797">
      <c r="A797" s="11">
        <f>IF(B797="","",TEXT(ROW()-3,"""DC-""0000"))</f>
        <v/>
      </c>
      <c r="B797" s="5" t="n"/>
      <c r="C797" s="5" t="n"/>
      <c r="D797" s="5" t="n"/>
      <c r="E797" s="5" t="n"/>
      <c r="F797" s="5" t="n"/>
      <c r="G797" s="5" t="n"/>
      <c r="H797" s="8" t="n"/>
      <c r="I797" s="8" t="n"/>
      <c r="J797" s="8" t="n"/>
      <c r="K797" s="11">
        <f>IF(B797="","",MAX(0,IFERROR(I797,0)*IFERROR(H797,0)-IFERROR(J797,0)))</f>
        <v/>
      </c>
      <c r="L797" s="8" t="n"/>
      <c r="M797" s="11">
        <f>IF(B797="","",MAX(0,K797-L797))</f>
        <v/>
      </c>
      <c r="N797" s="11">
        <f>IF(B797="","",IF(L797&gt;=K797,"Paid",IF(L797&gt;0,"Partial","Unpaid")))</f>
        <v/>
      </c>
      <c r="O797" s="5" t="n"/>
      <c r="P797" s="8" t="n"/>
      <c r="Q797" s="8" t="n"/>
      <c r="R797" s="11">
        <f>IF(B797="","",IFERROR(K797,0)+IFERROR(P797,0)-IFERROR(Q797,0))</f>
        <v/>
      </c>
      <c r="S797" s="5" t="n"/>
      <c r="T797" s="5" t="n"/>
      <c r="U797" s="11">
        <f>IF(B797="","",TRIM(LOWER(C797)&amp;"|"&amp;LOWER(D797)))</f>
        <v/>
      </c>
    </row>
    <row r="798">
      <c r="A798" s="11">
        <f>IF(B798="","",TEXT(ROW()-3,"""DC-""0000"))</f>
        <v/>
      </c>
      <c r="B798" s="5" t="n"/>
      <c r="C798" s="5" t="n"/>
      <c r="D798" s="5" t="n"/>
      <c r="E798" s="5" t="n"/>
      <c r="F798" s="5" t="n"/>
      <c r="G798" s="5" t="n"/>
      <c r="H798" s="8" t="n"/>
      <c r="I798" s="8" t="n"/>
      <c r="J798" s="8" t="n"/>
      <c r="K798" s="11">
        <f>IF(B798="","",MAX(0,IFERROR(I798,0)*IFERROR(H798,0)-IFERROR(J798,0)))</f>
        <v/>
      </c>
      <c r="L798" s="8" t="n"/>
      <c r="M798" s="11">
        <f>IF(B798="","",MAX(0,K798-L798))</f>
        <v/>
      </c>
      <c r="N798" s="11">
        <f>IF(B798="","",IF(L798&gt;=K798,"Paid",IF(L798&gt;0,"Partial","Unpaid")))</f>
        <v/>
      </c>
      <c r="O798" s="5" t="n"/>
      <c r="P798" s="8" t="n"/>
      <c r="Q798" s="8" t="n"/>
      <c r="R798" s="11">
        <f>IF(B798="","",IFERROR(K798,0)+IFERROR(P798,0)-IFERROR(Q798,0))</f>
        <v/>
      </c>
      <c r="S798" s="5" t="n"/>
      <c r="T798" s="5" t="n"/>
      <c r="U798" s="11">
        <f>IF(B798="","",TRIM(LOWER(C798)&amp;"|"&amp;LOWER(D798)))</f>
        <v/>
      </c>
    </row>
    <row r="799">
      <c r="A799" s="11">
        <f>IF(B799="","",TEXT(ROW()-3,"""DC-""0000"))</f>
        <v/>
      </c>
      <c r="B799" s="5" t="n"/>
      <c r="C799" s="5" t="n"/>
      <c r="D799" s="5" t="n"/>
      <c r="E799" s="5" t="n"/>
      <c r="F799" s="5" t="n"/>
      <c r="G799" s="5" t="n"/>
      <c r="H799" s="8" t="n"/>
      <c r="I799" s="8" t="n"/>
      <c r="J799" s="8" t="n"/>
      <c r="K799" s="11">
        <f>IF(B799="","",MAX(0,IFERROR(I799,0)*IFERROR(H799,0)-IFERROR(J799,0)))</f>
        <v/>
      </c>
      <c r="L799" s="8" t="n"/>
      <c r="M799" s="11">
        <f>IF(B799="","",MAX(0,K799-L799))</f>
        <v/>
      </c>
      <c r="N799" s="11">
        <f>IF(B799="","",IF(L799&gt;=K799,"Paid",IF(L799&gt;0,"Partial","Unpaid")))</f>
        <v/>
      </c>
      <c r="O799" s="5" t="n"/>
      <c r="P799" s="8" t="n"/>
      <c r="Q799" s="8" t="n"/>
      <c r="R799" s="11">
        <f>IF(B799="","",IFERROR(K799,0)+IFERROR(P799,0)-IFERROR(Q799,0))</f>
        <v/>
      </c>
      <c r="S799" s="5" t="n"/>
      <c r="T799" s="5" t="n"/>
      <c r="U799" s="11">
        <f>IF(B799="","",TRIM(LOWER(C799)&amp;"|"&amp;LOWER(D799)))</f>
        <v/>
      </c>
    </row>
    <row r="800">
      <c r="A800" s="11">
        <f>IF(B800="","",TEXT(ROW()-3,"""DC-""0000"))</f>
        <v/>
      </c>
      <c r="B800" s="5" t="n"/>
      <c r="C800" s="5" t="n"/>
      <c r="D800" s="5" t="n"/>
      <c r="E800" s="5" t="n"/>
      <c r="F800" s="5" t="n"/>
      <c r="G800" s="5" t="n"/>
      <c r="H800" s="8" t="n"/>
      <c r="I800" s="8" t="n"/>
      <c r="J800" s="8" t="n"/>
      <c r="K800" s="11">
        <f>IF(B800="","",MAX(0,IFERROR(I800,0)*IFERROR(H800,0)-IFERROR(J800,0)))</f>
        <v/>
      </c>
      <c r="L800" s="8" t="n"/>
      <c r="M800" s="11">
        <f>IF(B800="","",MAX(0,K800-L800))</f>
        <v/>
      </c>
      <c r="N800" s="11">
        <f>IF(B800="","",IF(L800&gt;=K800,"Paid",IF(L800&gt;0,"Partial","Unpaid")))</f>
        <v/>
      </c>
      <c r="O800" s="5" t="n"/>
      <c r="P800" s="8" t="n"/>
      <c r="Q800" s="8" t="n"/>
      <c r="R800" s="11">
        <f>IF(B800="","",IFERROR(K800,0)+IFERROR(P800,0)-IFERROR(Q800,0))</f>
        <v/>
      </c>
      <c r="S800" s="5" t="n"/>
      <c r="T800" s="5" t="n"/>
      <c r="U800" s="11">
        <f>IF(B800="","",TRIM(LOWER(C800)&amp;"|"&amp;LOWER(D800)))</f>
        <v/>
      </c>
    </row>
    <row r="801">
      <c r="A801" s="11">
        <f>IF(B801="","",TEXT(ROW()-3,"""DC-""0000"))</f>
        <v/>
      </c>
      <c r="B801" s="5" t="n"/>
      <c r="C801" s="5" t="n"/>
      <c r="D801" s="5" t="n"/>
      <c r="E801" s="5" t="n"/>
      <c r="F801" s="5" t="n"/>
      <c r="G801" s="5" t="n"/>
      <c r="H801" s="8" t="n"/>
      <c r="I801" s="8" t="n"/>
      <c r="J801" s="8" t="n"/>
      <c r="K801" s="11">
        <f>IF(B801="","",MAX(0,IFERROR(I801,0)*IFERROR(H801,0)-IFERROR(J801,0)))</f>
        <v/>
      </c>
      <c r="L801" s="8" t="n"/>
      <c r="M801" s="11">
        <f>IF(B801="","",MAX(0,K801-L801))</f>
        <v/>
      </c>
      <c r="N801" s="11">
        <f>IF(B801="","",IF(L801&gt;=K801,"Paid",IF(L801&gt;0,"Partial","Unpaid")))</f>
        <v/>
      </c>
      <c r="O801" s="5" t="n"/>
      <c r="P801" s="8" t="n"/>
      <c r="Q801" s="8" t="n"/>
      <c r="R801" s="11">
        <f>IF(B801="","",IFERROR(K801,0)+IFERROR(P801,0)-IFERROR(Q801,0))</f>
        <v/>
      </c>
      <c r="S801" s="5" t="n"/>
      <c r="T801" s="5" t="n"/>
      <c r="U801" s="11">
        <f>IF(B801="","",TRIM(LOWER(C801)&amp;"|"&amp;LOWER(D801)))</f>
        <v/>
      </c>
    </row>
    <row r="802">
      <c r="A802" s="11">
        <f>IF(B802="","",TEXT(ROW()-3,"""DC-""0000"))</f>
        <v/>
      </c>
      <c r="B802" s="5" t="n"/>
      <c r="C802" s="5" t="n"/>
      <c r="D802" s="5" t="n"/>
      <c r="E802" s="5" t="n"/>
      <c r="F802" s="5" t="n"/>
      <c r="G802" s="5" t="n"/>
      <c r="H802" s="8" t="n"/>
      <c r="I802" s="8" t="n"/>
      <c r="J802" s="8" t="n"/>
      <c r="K802" s="11">
        <f>IF(B802="","",MAX(0,IFERROR(I802,0)*IFERROR(H802,0)-IFERROR(J802,0)))</f>
        <v/>
      </c>
      <c r="L802" s="8" t="n"/>
      <c r="M802" s="11">
        <f>IF(B802="","",MAX(0,K802-L802))</f>
        <v/>
      </c>
      <c r="N802" s="11">
        <f>IF(B802="","",IF(L802&gt;=K802,"Paid",IF(L802&gt;0,"Partial","Unpaid")))</f>
        <v/>
      </c>
      <c r="O802" s="5" t="n"/>
      <c r="P802" s="8" t="n"/>
      <c r="Q802" s="8" t="n"/>
      <c r="R802" s="11">
        <f>IF(B802="","",IFERROR(K802,0)+IFERROR(P802,0)-IFERROR(Q802,0))</f>
        <v/>
      </c>
      <c r="S802" s="5" t="n"/>
      <c r="T802" s="5" t="n"/>
      <c r="U802" s="11">
        <f>IF(B802="","",TRIM(LOWER(C802)&amp;"|"&amp;LOWER(D802)))</f>
        <v/>
      </c>
    </row>
    <row r="803">
      <c r="A803" s="11">
        <f>IF(B803="","",TEXT(ROW()-3,"""DC-""0000"))</f>
        <v/>
      </c>
      <c r="B803" s="5" t="n"/>
      <c r="C803" s="5" t="n"/>
      <c r="D803" s="5" t="n"/>
      <c r="E803" s="5" t="n"/>
      <c r="F803" s="5" t="n"/>
      <c r="G803" s="5" t="n"/>
      <c r="H803" s="8" t="n"/>
      <c r="I803" s="8" t="n"/>
      <c r="J803" s="8" t="n"/>
      <c r="K803" s="11">
        <f>IF(B803="","",MAX(0,IFERROR(I803,0)*IFERROR(H803,0)-IFERROR(J803,0)))</f>
        <v/>
      </c>
      <c r="L803" s="8" t="n"/>
      <c r="M803" s="11">
        <f>IF(B803="","",MAX(0,K803-L803))</f>
        <v/>
      </c>
      <c r="N803" s="11">
        <f>IF(B803="","",IF(L803&gt;=K803,"Paid",IF(L803&gt;0,"Partial","Unpaid")))</f>
        <v/>
      </c>
      <c r="O803" s="5" t="n"/>
      <c r="P803" s="8" t="n"/>
      <c r="Q803" s="8" t="n"/>
      <c r="R803" s="11">
        <f>IF(B803="","",IFERROR(K803,0)+IFERROR(P803,0)-IFERROR(Q803,0))</f>
        <v/>
      </c>
      <c r="S803" s="5" t="n"/>
      <c r="T803" s="5" t="n"/>
      <c r="U803" s="11">
        <f>IF(B803="","",TRIM(LOWER(C803)&amp;"|"&amp;LOWER(D803)))</f>
        <v/>
      </c>
    </row>
    <row r="804">
      <c r="A804" s="11">
        <f>IF(B804="","",TEXT(ROW()-3,"""DC-""0000"))</f>
        <v/>
      </c>
      <c r="B804" s="5" t="n"/>
      <c r="C804" s="5" t="n"/>
      <c r="D804" s="5" t="n"/>
      <c r="E804" s="5" t="n"/>
      <c r="F804" s="5" t="n"/>
      <c r="G804" s="5" t="n"/>
      <c r="H804" s="8" t="n"/>
      <c r="I804" s="8" t="n"/>
      <c r="J804" s="8" t="n"/>
      <c r="K804" s="11">
        <f>IF(B804="","",MAX(0,IFERROR(I804,0)*IFERROR(H804,0)-IFERROR(J804,0)))</f>
        <v/>
      </c>
      <c r="L804" s="8" t="n"/>
      <c r="M804" s="11">
        <f>IF(B804="","",MAX(0,K804-L804))</f>
        <v/>
      </c>
      <c r="N804" s="11">
        <f>IF(B804="","",IF(L804&gt;=K804,"Paid",IF(L804&gt;0,"Partial","Unpaid")))</f>
        <v/>
      </c>
      <c r="O804" s="5" t="n"/>
      <c r="P804" s="8" t="n"/>
      <c r="Q804" s="8" t="n"/>
      <c r="R804" s="11">
        <f>IF(B804="","",IFERROR(K804,0)+IFERROR(P804,0)-IFERROR(Q804,0))</f>
        <v/>
      </c>
      <c r="S804" s="5" t="n"/>
      <c r="T804" s="5" t="n"/>
      <c r="U804" s="11">
        <f>IF(B804="","",TRIM(LOWER(C804)&amp;"|"&amp;LOWER(D804)))</f>
        <v/>
      </c>
    </row>
    <row r="805">
      <c r="A805" s="11">
        <f>IF(B805="","",TEXT(ROW()-3,"""DC-""0000"))</f>
        <v/>
      </c>
      <c r="B805" s="5" t="n"/>
      <c r="C805" s="5" t="n"/>
      <c r="D805" s="5" t="n"/>
      <c r="E805" s="5" t="n"/>
      <c r="F805" s="5" t="n"/>
      <c r="G805" s="5" t="n"/>
      <c r="H805" s="8" t="n"/>
      <c r="I805" s="8" t="n"/>
      <c r="J805" s="8" t="n"/>
      <c r="K805" s="11">
        <f>IF(B805="","",MAX(0,IFERROR(I805,0)*IFERROR(H805,0)-IFERROR(J805,0)))</f>
        <v/>
      </c>
      <c r="L805" s="8" t="n"/>
      <c r="M805" s="11">
        <f>IF(B805="","",MAX(0,K805-L805))</f>
        <v/>
      </c>
      <c r="N805" s="11">
        <f>IF(B805="","",IF(L805&gt;=K805,"Paid",IF(L805&gt;0,"Partial","Unpaid")))</f>
        <v/>
      </c>
      <c r="O805" s="5" t="n"/>
      <c r="P805" s="8" t="n"/>
      <c r="Q805" s="8" t="n"/>
      <c r="R805" s="11">
        <f>IF(B805="","",IFERROR(K805,0)+IFERROR(P805,0)-IFERROR(Q805,0))</f>
        <v/>
      </c>
      <c r="S805" s="5" t="n"/>
      <c r="T805" s="5" t="n"/>
      <c r="U805" s="11">
        <f>IF(B805="","",TRIM(LOWER(C805)&amp;"|"&amp;LOWER(D805)))</f>
        <v/>
      </c>
    </row>
    <row r="806">
      <c r="A806" s="11">
        <f>IF(B806="","",TEXT(ROW()-3,"""DC-""0000"))</f>
        <v/>
      </c>
      <c r="B806" s="5" t="n"/>
      <c r="C806" s="5" t="n"/>
      <c r="D806" s="5" t="n"/>
      <c r="E806" s="5" t="n"/>
      <c r="F806" s="5" t="n"/>
      <c r="G806" s="5" t="n"/>
      <c r="H806" s="8" t="n"/>
      <c r="I806" s="8" t="n"/>
      <c r="J806" s="8" t="n"/>
      <c r="K806" s="11">
        <f>IF(B806="","",MAX(0,IFERROR(I806,0)*IFERROR(H806,0)-IFERROR(J806,0)))</f>
        <v/>
      </c>
      <c r="L806" s="8" t="n"/>
      <c r="M806" s="11">
        <f>IF(B806="","",MAX(0,K806-L806))</f>
        <v/>
      </c>
      <c r="N806" s="11">
        <f>IF(B806="","",IF(L806&gt;=K806,"Paid",IF(L806&gt;0,"Partial","Unpaid")))</f>
        <v/>
      </c>
      <c r="O806" s="5" t="n"/>
      <c r="P806" s="8" t="n"/>
      <c r="Q806" s="8" t="n"/>
      <c r="R806" s="11">
        <f>IF(B806="","",IFERROR(K806,0)+IFERROR(P806,0)-IFERROR(Q806,0))</f>
        <v/>
      </c>
      <c r="S806" s="5" t="n"/>
      <c r="T806" s="5" t="n"/>
      <c r="U806" s="11">
        <f>IF(B806="","",TRIM(LOWER(C806)&amp;"|"&amp;LOWER(D806)))</f>
        <v/>
      </c>
    </row>
    <row r="807">
      <c r="A807" s="11">
        <f>IF(B807="","",TEXT(ROW()-3,"""DC-""0000"))</f>
        <v/>
      </c>
      <c r="B807" s="5" t="n"/>
      <c r="C807" s="5" t="n"/>
      <c r="D807" s="5" t="n"/>
      <c r="E807" s="5" t="n"/>
      <c r="F807" s="5" t="n"/>
      <c r="G807" s="5" t="n"/>
      <c r="H807" s="8" t="n"/>
      <c r="I807" s="8" t="n"/>
      <c r="J807" s="8" t="n"/>
      <c r="K807" s="11">
        <f>IF(B807="","",MAX(0,IFERROR(I807,0)*IFERROR(H807,0)-IFERROR(J807,0)))</f>
        <v/>
      </c>
      <c r="L807" s="8" t="n"/>
      <c r="M807" s="11">
        <f>IF(B807="","",MAX(0,K807-L807))</f>
        <v/>
      </c>
      <c r="N807" s="11">
        <f>IF(B807="","",IF(L807&gt;=K807,"Paid",IF(L807&gt;0,"Partial","Unpaid")))</f>
        <v/>
      </c>
      <c r="O807" s="5" t="n"/>
      <c r="P807" s="8" t="n"/>
      <c r="Q807" s="8" t="n"/>
      <c r="R807" s="11">
        <f>IF(B807="","",IFERROR(K807,0)+IFERROR(P807,0)-IFERROR(Q807,0))</f>
        <v/>
      </c>
      <c r="S807" s="5" t="n"/>
      <c r="T807" s="5" t="n"/>
      <c r="U807" s="11">
        <f>IF(B807="","",TRIM(LOWER(C807)&amp;"|"&amp;LOWER(D807)))</f>
        <v/>
      </c>
    </row>
    <row r="808">
      <c r="A808" s="11">
        <f>IF(B808="","",TEXT(ROW()-3,"""DC-""0000"))</f>
        <v/>
      </c>
      <c r="B808" s="5" t="n"/>
      <c r="C808" s="5" t="n"/>
      <c r="D808" s="5" t="n"/>
      <c r="E808" s="5" t="n"/>
      <c r="F808" s="5" t="n"/>
      <c r="G808" s="5" t="n"/>
      <c r="H808" s="8" t="n"/>
      <c r="I808" s="8" t="n"/>
      <c r="J808" s="8" t="n"/>
      <c r="K808" s="11">
        <f>IF(B808="","",MAX(0,IFERROR(I808,0)*IFERROR(H808,0)-IFERROR(J808,0)))</f>
        <v/>
      </c>
      <c r="L808" s="8" t="n"/>
      <c r="M808" s="11">
        <f>IF(B808="","",MAX(0,K808-L808))</f>
        <v/>
      </c>
      <c r="N808" s="11">
        <f>IF(B808="","",IF(L808&gt;=K808,"Paid",IF(L808&gt;0,"Partial","Unpaid")))</f>
        <v/>
      </c>
      <c r="O808" s="5" t="n"/>
      <c r="P808" s="8" t="n"/>
      <c r="Q808" s="8" t="n"/>
      <c r="R808" s="11">
        <f>IF(B808="","",IFERROR(K808,0)+IFERROR(P808,0)-IFERROR(Q808,0))</f>
        <v/>
      </c>
      <c r="S808" s="5" t="n"/>
      <c r="T808" s="5" t="n"/>
      <c r="U808" s="11">
        <f>IF(B808="","",TRIM(LOWER(C808)&amp;"|"&amp;LOWER(D808)))</f>
        <v/>
      </c>
    </row>
    <row r="809">
      <c r="A809" s="11">
        <f>IF(B809="","",TEXT(ROW()-3,"""DC-""0000"))</f>
        <v/>
      </c>
      <c r="B809" s="5" t="n"/>
      <c r="C809" s="5" t="n"/>
      <c r="D809" s="5" t="n"/>
      <c r="E809" s="5" t="n"/>
      <c r="F809" s="5" t="n"/>
      <c r="G809" s="5" t="n"/>
      <c r="H809" s="8" t="n"/>
      <c r="I809" s="8" t="n"/>
      <c r="J809" s="8" t="n"/>
      <c r="K809" s="11">
        <f>IF(B809="","",MAX(0,IFERROR(I809,0)*IFERROR(H809,0)-IFERROR(J809,0)))</f>
        <v/>
      </c>
      <c r="L809" s="8" t="n"/>
      <c r="M809" s="11">
        <f>IF(B809="","",MAX(0,K809-L809))</f>
        <v/>
      </c>
      <c r="N809" s="11">
        <f>IF(B809="","",IF(L809&gt;=K809,"Paid",IF(L809&gt;0,"Partial","Unpaid")))</f>
        <v/>
      </c>
      <c r="O809" s="5" t="n"/>
      <c r="P809" s="8" t="n"/>
      <c r="Q809" s="8" t="n"/>
      <c r="R809" s="11">
        <f>IF(B809="","",IFERROR(K809,0)+IFERROR(P809,0)-IFERROR(Q809,0))</f>
        <v/>
      </c>
      <c r="S809" s="5" t="n"/>
      <c r="T809" s="5" t="n"/>
      <c r="U809" s="11">
        <f>IF(B809="","",TRIM(LOWER(C809)&amp;"|"&amp;LOWER(D809)))</f>
        <v/>
      </c>
    </row>
    <row r="810">
      <c r="A810" s="11">
        <f>IF(B810="","",TEXT(ROW()-3,"""DC-""0000"))</f>
        <v/>
      </c>
      <c r="B810" s="5" t="n"/>
      <c r="C810" s="5" t="n"/>
      <c r="D810" s="5" t="n"/>
      <c r="E810" s="5" t="n"/>
      <c r="F810" s="5" t="n"/>
      <c r="G810" s="5" t="n"/>
      <c r="H810" s="8" t="n"/>
      <c r="I810" s="8" t="n"/>
      <c r="J810" s="8" t="n"/>
      <c r="K810" s="11">
        <f>IF(B810="","",MAX(0,IFERROR(I810,0)*IFERROR(H810,0)-IFERROR(J810,0)))</f>
        <v/>
      </c>
      <c r="L810" s="8" t="n"/>
      <c r="M810" s="11">
        <f>IF(B810="","",MAX(0,K810-L810))</f>
        <v/>
      </c>
      <c r="N810" s="11">
        <f>IF(B810="","",IF(L810&gt;=K810,"Paid",IF(L810&gt;0,"Partial","Unpaid")))</f>
        <v/>
      </c>
      <c r="O810" s="5" t="n"/>
      <c r="P810" s="8" t="n"/>
      <c r="Q810" s="8" t="n"/>
      <c r="R810" s="11">
        <f>IF(B810="","",IFERROR(K810,0)+IFERROR(P810,0)-IFERROR(Q810,0))</f>
        <v/>
      </c>
      <c r="S810" s="5" t="n"/>
      <c r="T810" s="5" t="n"/>
      <c r="U810" s="11">
        <f>IF(B810="","",TRIM(LOWER(C810)&amp;"|"&amp;LOWER(D810)))</f>
        <v/>
      </c>
    </row>
    <row r="811">
      <c r="A811" s="11">
        <f>IF(B811="","",TEXT(ROW()-3,"""DC-""0000"))</f>
        <v/>
      </c>
      <c r="B811" s="5" t="n"/>
      <c r="C811" s="5" t="n"/>
      <c r="D811" s="5" t="n"/>
      <c r="E811" s="5" t="n"/>
      <c r="F811" s="5" t="n"/>
      <c r="G811" s="5" t="n"/>
      <c r="H811" s="8" t="n"/>
      <c r="I811" s="8" t="n"/>
      <c r="J811" s="8" t="n"/>
      <c r="K811" s="11">
        <f>IF(B811="","",MAX(0,IFERROR(I811,0)*IFERROR(H811,0)-IFERROR(J811,0)))</f>
        <v/>
      </c>
      <c r="L811" s="8" t="n"/>
      <c r="M811" s="11">
        <f>IF(B811="","",MAX(0,K811-L811))</f>
        <v/>
      </c>
      <c r="N811" s="11">
        <f>IF(B811="","",IF(L811&gt;=K811,"Paid",IF(L811&gt;0,"Partial","Unpaid")))</f>
        <v/>
      </c>
      <c r="O811" s="5" t="n"/>
      <c r="P811" s="8" t="n"/>
      <c r="Q811" s="8" t="n"/>
      <c r="R811" s="11">
        <f>IF(B811="","",IFERROR(K811,0)+IFERROR(P811,0)-IFERROR(Q811,0))</f>
        <v/>
      </c>
      <c r="S811" s="5" t="n"/>
      <c r="T811" s="5" t="n"/>
      <c r="U811" s="11">
        <f>IF(B811="","",TRIM(LOWER(C811)&amp;"|"&amp;LOWER(D811)))</f>
        <v/>
      </c>
    </row>
    <row r="812">
      <c r="A812" s="11">
        <f>IF(B812="","",TEXT(ROW()-3,"""DC-""0000"))</f>
        <v/>
      </c>
      <c r="B812" s="5" t="n"/>
      <c r="C812" s="5" t="n"/>
      <c r="D812" s="5" t="n"/>
      <c r="E812" s="5" t="n"/>
      <c r="F812" s="5" t="n"/>
      <c r="G812" s="5" t="n"/>
      <c r="H812" s="8" t="n"/>
      <c r="I812" s="8" t="n"/>
      <c r="J812" s="8" t="n"/>
      <c r="K812" s="11">
        <f>IF(B812="","",MAX(0,IFERROR(I812,0)*IFERROR(H812,0)-IFERROR(J812,0)))</f>
        <v/>
      </c>
      <c r="L812" s="8" t="n"/>
      <c r="M812" s="11">
        <f>IF(B812="","",MAX(0,K812-L812))</f>
        <v/>
      </c>
      <c r="N812" s="11">
        <f>IF(B812="","",IF(L812&gt;=K812,"Paid",IF(L812&gt;0,"Partial","Unpaid")))</f>
        <v/>
      </c>
      <c r="O812" s="5" t="n"/>
      <c r="P812" s="8" t="n"/>
      <c r="Q812" s="8" t="n"/>
      <c r="R812" s="11">
        <f>IF(B812="","",IFERROR(K812,0)+IFERROR(P812,0)-IFERROR(Q812,0))</f>
        <v/>
      </c>
      <c r="S812" s="5" t="n"/>
      <c r="T812" s="5" t="n"/>
      <c r="U812" s="11">
        <f>IF(B812="","",TRIM(LOWER(C812)&amp;"|"&amp;LOWER(D812)))</f>
        <v/>
      </c>
    </row>
    <row r="813">
      <c r="A813" s="11">
        <f>IF(B813="","",TEXT(ROW()-3,"""DC-""0000"))</f>
        <v/>
      </c>
      <c r="B813" s="5" t="n"/>
      <c r="C813" s="5" t="n"/>
      <c r="D813" s="5" t="n"/>
      <c r="E813" s="5" t="n"/>
      <c r="F813" s="5" t="n"/>
      <c r="G813" s="5" t="n"/>
      <c r="H813" s="8" t="n"/>
      <c r="I813" s="8" t="n"/>
      <c r="J813" s="8" t="n"/>
      <c r="K813" s="11">
        <f>IF(B813="","",MAX(0,IFERROR(I813,0)*IFERROR(H813,0)-IFERROR(J813,0)))</f>
        <v/>
      </c>
      <c r="L813" s="8" t="n"/>
      <c r="M813" s="11">
        <f>IF(B813="","",MAX(0,K813-L813))</f>
        <v/>
      </c>
      <c r="N813" s="11">
        <f>IF(B813="","",IF(L813&gt;=K813,"Paid",IF(L813&gt;0,"Partial","Unpaid")))</f>
        <v/>
      </c>
      <c r="O813" s="5" t="n"/>
      <c r="P813" s="8" t="n"/>
      <c r="Q813" s="8" t="n"/>
      <c r="R813" s="11">
        <f>IF(B813="","",IFERROR(K813,0)+IFERROR(P813,0)-IFERROR(Q813,0))</f>
        <v/>
      </c>
      <c r="S813" s="5" t="n"/>
      <c r="T813" s="5" t="n"/>
      <c r="U813" s="11">
        <f>IF(B813="","",TRIM(LOWER(C813)&amp;"|"&amp;LOWER(D813)))</f>
        <v/>
      </c>
    </row>
    <row r="814">
      <c r="A814" s="11">
        <f>IF(B814="","",TEXT(ROW()-3,"""DC-""0000"))</f>
        <v/>
      </c>
      <c r="B814" s="5" t="n"/>
      <c r="C814" s="5" t="n"/>
      <c r="D814" s="5" t="n"/>
      <c r="E814" s="5" t="n"/>
      <c r="F814" s="5" t="n"/>
      <c r="G814" s="5" t="n"/>
      <c r="H814" s="8" t="n"/>
      <c r="I814" s="8" t="n"/>
      <c r="J814" s="8" t="n"/>
      <c r="K814" s="11">
        <f>IF(B814="","",MAX(0,IFERROR(I814,0)*IFERROR(H814,0)-IFERROR(J814,0)))</f>
        <v/>
      </c>
      <c r="L814" s="8" t="n"/>
      <c r="M814" s="11">
        <f>IF(B814="","",MAX(0,K814-L814))</f>
        <v/>
      </c>
      <c r="N814" s="11">
        <f>IF(B814="","",IF(L814&gt;=K814,"Paid",IF(L814&gt;0,"Partial","Unpaid")))</f>
        <v/>
      </c>
      <c r="O814" s="5" t="n"/>
      <c r="P814" s="8" t="n"/>
      <c r="Q814" s="8" t="n"/>
      <c r="R814" s="11">
        <f>IF(B814="","",IFERROR(K814,0)+IFERROR(P814,0)-IFERROR(Q814,0))</f>
        <v/>
      </c>
      <c r="S814" s="5" t="n"/>
      <c r="T814" s="5" t="n"/>
      <c r="U814" s="11">
        <f>IF(B814="","",TRIM(LOWER(C814)&amp;"|"&amp;LOWER(D814)))</f>
        <v/>
      </c>
    </row>
    <row r="815">
      <c r="A815" s="11">
        <f>IF(B815="","",TEXT(ROW()-3,"""DC-""0000"))</f>
        <v/>
      </c>
      <c r="B815" s="5" t="n"/>
      <c r="C815" s="5" t="n"/>
      <c r="D815" s="5" t="n"/>
      <c r="E815" s="5" t="n"/>
      <c r="F815" s="5" t="n"/>
      <c r="G815" s="5" t="n"/>
      <c r="H815" s="8" t="n"/>
      <c r="I815" s="8" t="n"/>
      <c r="J815" s="8" t="n"/>
      <c r="K815" s="11">
        <f>IF(B815="","",MAX(0,IFERROR(I815,0)*IFERROR(H815,0)-IFERROR(J815,0)))</f>
        <v/>
      </c>
      <c r="L815" s="8" t="n"/>
      <c r="M815" s="11">
        <f>IF(B815="","",MAX(0,K815-L815))</f>
        <v/>
      </c>
      <c r="N815" s="11">
        <f>IF(B815="","",IF(L815&gt;=K815,"Paid",IF(L815&gt;0,"Partial","Unpaid")))</f>
        <v/>
      </c>
      <c r="O815" s="5" t="n"/>
      <c r="P815" s="8" t="n"/>
      <c r="Q815" s="8" t="n"/>
      <c r="R815" s="11">
        <f>IF(B815="","",IFERROR(K815,0)+IFERROR(P815,0)-IFERROR(Q815,0))</f>
        <v/>
      </c>
      <c r="S815" s="5" t="n"/>
      <c r="T815" s="5" t="n"/>
      <c r="U815" s="11">
        <f>IF(B815="","",TRIM(LOWER(C815)&amp;"|"&amp;LOWER(D815)))</f>
        <v/>
      </c>
    </row>
    <row r="816">
      <c r="A816" s="11">
        <f>IF(B816="","",TEXT(ROW()-3,"""DC-""0000"))</f>
        <v/>
      </c>
      <c r="B816" s="5" t="n"/>
      <c r="C816" s="5" t="n"/>
      <c r="D816" s="5" t="n"/>
      <c r="E816" s="5" t="n"/>
      <c r="F816" s="5" t="n"/>
      <c r="G816" s="5" t="n"/>
      <c r="H816" s="8" t="n"/>
      <c r="I816" s="8" t="n"/>
      <c r="J816" s="8" t="n"/>
      <c r="K816" s="11">
        <f>IF(B816="","",MAX(0,IFERROR(I816,0)*IFERROR(H816,0)-IFERROR(J816,0)))</f>
        <v/>
      </c>
      <c r="L816" s="8" t="n"/>
      <c r="M816" s="11">
        <f>IF(B816="","",MAX(0,K816-L816))</f>
        <v/>
      </c>
      <c r="N816" s="11">
        <f>IF(B816="","",IF(L816&gt;=K816,"Paid",IF(L816&gt;0,"Partial","Unpaid")))</f>
        <v/>
      </c>
      <c r="O816" s="5" t="n"/>
      <c r="P816" s="8" t="n"/>
      <c r="Q816" s="8" t="n"/>
      <c r="R816" s="11">
        <f>IF(B816="","",IFERROR(K816,0)+IFERROR(P816,0)-IFERROR(Q816,0))</f>
        <v/>
      </c>
      <c r="S816" s="5" t="n"/>
      <c r="T816" s="5" t="n"/>
      <c r="U816" s="11">
        <f>IF(B816="","",TRIM(LOWER(C816)&amp;"|"&amp;LOWER(D816)))</f>
        <v/>
      </c>
    </row>
    <row r="817">
      <c r="A817" s="11">
        <f>IF(B817="","",TEXT(ROW()-3,"""DC-""0000"))</f>
        <v/>
      </c>
      <c r="B817" s="5" t="n"/>
      <c r="C817" s="5" t="n"/>
      <c r="D817" s="5" t="n"/>
      <c r="E817" s="5" t="n"/>
      <c r="F817" s="5" t="n"/>
      <c r="G817" s="5" t="n"/>
      <c r="H817" s="8" t="n"/>
      <c r="I817" s="8" t="n"/>
      <c r="J817" s="8" t="n"/>
      <c r="K817" s="11">
        <f>IF(B817="","",MAX(0,IFERROR(I817,0)*IFERROR(H817,0)-IFERROR(J817,0)))</f>
        <v/>
      </c>
      <c r="L817" s="8" t="n"/>
      <c r="M817" s="11">
        <f>IF(B817="","",MAX(0,K817-L817))</f>
        <v/>
      </c>
      <c r="N817" s="11">
        <f>IF(B817="","",IF(L817&gt;=K817,"Paid",IF(L817&gt;0,"Partial","Unpaid")))</f>
        <v/>
      </c>
      <c r="O817" s="5" t="n"/>
      <c r="P817" s="8" t="n"/>
      <c r="Q817" s="8" t="n"/>
      <c r="R817" s="11">
        <f>IF(B817="","",IFERROR(K817,0)+IFERROR(P817,0)-IFERROR(Q817,0))</f>
        <v/>
      </c>
      <c r="S817" s="5" t="n"/>
      <c r="T817" s="5" t="n"/>
      <c r="U817" s="11">
        <f>IF(B817="","",TRIM(LOWER(C817)&amp;"|"&amp;LOWER(D817)))</f>
        <v/>
      </c>
    </row>
    <row r="818">
      <c r="A818" s="11">
        <f>IF(B818="","",TEXT(ROW()-3,"""DC-""0000"))</f>
        <v/>
      </c>
      <c r="B818" s="5" t="n"/>
      <c r="C818" s="5" t="n"/>
      <c r="D818" s="5" t="n"/>
      <c r="E818" s="5" t="n"/>
      <c r="F818" s="5" t="n"/>
      <c r="G818" s="5" t="n"/>
      <c r="H818" s="8" t="n"/>
      <c r="I818" s="8" t="n"/>
      <c r="J818" s="8" t="n"/>
      <c r="K818" s="11">
        <f>IF(B818="","",MAX(0,IFERROR(I818,0)*IFERROR(H818,0)-IFERROR(J818,0)))</f>
        <v/>
      </c>
      <c r="L818" s="8" t="n"/>
      <c r="M818" s="11">
        <f>IF(B818="","",MAX(0,K818-L818))</f>
        <v/>
      </c>
      <c r="N818" s="11">
        <f>IF(B818="","",IF(L818&gt;=K818,"Paid",IF(L818&gt;0,"Partial","Unpaid")))</f>
        <v/>
      </c>
      <c r="O818" s="5" t="n"/>
      <c r="P818" s="8" t="n"/>
      <c r="Q818" s="8" t="n"/>
      <c r="R818" s="11">
        <f>IF(B818="","",IFERROR(K818,0)+IFERROR(P818,0)-IFERROR(Q818,0))</f>
        <v/>
      </c>
      <c r="S818" s="5" t="n"/>
      <c r="T818" s="5" t="n"/>
      <c r="U818" s="11">
        <f>IF(B818="","",TRIM(LOWER(C818)&amp;"|"&amp;LOWER(D818)))</f>
        <v/>
      </c>
    </row>
    <row r="819">
      <c r="A819" s="11">
        <f>IF(B819="","",TEXT(ROW()-3,"""DC-""0000"))</f>
        <v/>
      </c>
      <c r="B819" s="5" t="n"/>
      <c r="C819" s="5" t="n"/>
      <c r="D819" s="5" t="n"/>
      <c r="E819" s="5" t="n"/>
      <c r="F819" s="5" t="n"/>
      <c r="G819" s="5" t="n"/>
      <c r="H819" s="8" t="n"/>
      <c r="I819" s="8" t="n"/>
      <c r="J819" s="8" t="n"/>
      <c r="K819" s="11">
        <f>IF(B819="","",MAX(0,IFERROR(I819,0)*IFERROR(H819,0)-IFERROR(J819,0)))</f>
        <v/>
      </c>
      <c r="L819" s="8" t="n"/>
      <c r="M819" s="11">
        <f>IF(B819="","",MAX(0,K819-L819))</f>
        <v/>
      </c>
      <c r="N819" s="11">
        <f>IF(B819="","",IF(L819&gt;=K819,"Paid",IF(L819&gt;0,"Partial","Unpaid")))</f>
        <v/>
      </c>
      <c r="O819" s="5" t="n"/>
      <c r="P819" s="8" t="n"/>
      <c r="Q819" s="8" t="n"/>
      <c r="R819" s="11">
        <f>IF(B819="","",IFERROR(K819,0)+IFERROR(P819,0)-IFERROR(Q819,0))</f>
        <v/>
      </c>
      <c r="S819" s="5" t="n"/>
      <c r="T819" s="5" t="n"/>
      <c r="U819" s="11">
        <f>IF(B819="","",TRIM(LOWER(C819)&amp;"|"&amp;LOWER(D819)))</f>
        <v/>
      </c>
    </row>
    <row r="820">
      <c r="A820" s="11">
        <f>IF(B820="","",TEXT(ROW()-3,"""DC-""0000"))</f>
        <v/>
      </c>
      <c r="B820" s="5" t="n"/>
      <c r="C820" s="5" t="n"/>
      <c r="D820" s="5" t="n"/>
      <c r="E820" s="5" t="n"/>
      <c r="F820" s="5" t="n"/>
      <c r="G820" s="5" t="n"/>
      <c r="H820" s="8" t="n"/>
      <c r="I820" s="8" t="n"/>
      <c r="J820" s="8" t="n"/>
      <c r="K820" s="11">
        <f>IF(B820="","",MAX(0,IFERROR(I820,0)*IFERROR(H820,0)-IFERROR(J820,0)))</f>
        <v/>
      </c>
      <c r="L820" s="8" t="n"/>
      <c r="M820" s="11">
        <f>IF(B820="","",MAX(0,K820-L820))</f>
        <v/>
      </c>
      <c r="N820" s="11">
        <f>IF(B820="","",IF(L820&gt;=K820,"Paid",IF(L820&gt;0,"Partial","Unpaid")))</f>
        <v/>
      </c>
      <c r="O820" s="5" t="n"/>
      <c r="P820" s="8" t="n"/>
      <c r="Q820" s="8" t="n"/>
      <c r="R820" s="11">
        <f>IF(B820="","",IFERROR(K820,0)+IFERROR(P820,0)-IFERROR(Q820,0))</f>
        <v/>
      </c>
      <c r="S820" s="5" t="n"/>
      <c r="T820" s="5" t="n"/>
      <c r="U820" s="11">
        <f>IF(B820="","",TRIM(LOWER(C820)&amp;"|"&amp;LOWER(D820)))</f>
        <v/>
      </c>
    </row>
    <row r="821">
      <c r="A821" s="11">
        <f>IF(B821="","",TEXT(ROW()-3,"""DC-""0000"))</f>
        <v/>
      </c>
      <c r="B821" s="5" t="n"/>
      <c r="C821" s="5" t="n"/>
      <c r="D821" s="5" t="n"/>
      <c r="E821" s="5" t="n"/>
      <c r="F821" s="5" t="n"/>
      <c r="G821" s="5" t="n"/>
      <c r="H821" s="8" t="n"/>
      <c r="I821" s="8" t="n"/>
      <c r="J821" s="8" t="n"/>
      <c r="K821" s="11">
        <f>IF(B821="","",MAX(0,IFERROR(I821,0)*IFERROR(H821,0)-IFERROR(J821,0)))</f>
        <v/>
      </c>
      <c r="L821" s="8" t="n"/>
      <c r="M821" s="11">
        <f>IF(B821="","",MAX(0,K821-L821))</f>
        <v/>
      </c>
      <c r="N821" s="11">
        <f>IF(B821="","",IF(L821&gt;=K821,"Paid",IF(L821&gt;0,"Partial","Unpaid")))</f>
        <v/>
      </c>
      <c r="O821" s="5" t="n"/>
      <c r="P821" s="8" t="n"/>
      <c r="Q821" s="8" t="n"/>
      <c r="R821" s="11">
        <f>IF(B821="","",IFERROR(K821,0)+IFERROR(P821,0)-IFERROR(Q821,0))</f>
        <v/>
      </c>
      <c r="S821" s="5" t="n"/>
      <c r="T821" s="5" t="n"/>
      <c r="U821" s="11">
        <f>IF(B821="","",TRIM(LOWER(C821)&amp;"|"&amp;LOWER(D821)))</f>
        <v/>
      </c>
    </row>
    <row r="822">
      <c r="A822" s="11">
        <f>IF(B822="","",TEXT(ROW()-3,"""DC-""0000"))</f>
        <v/>
      </c>
      <c r="B822" s="5" t="n"/>
      <c r="C822" s="5" t="n"/>
      <c r="D822" s="5" t="n"/>
      <c r="E822" s="5" t="n"/>
      <c r="F822" s="5" t="n"/>
      <c r="G822" s="5" t="n"/>
      <c r="H822" s="8" t="n"/>
      <c r="I822" s="8" t="n"/>
      <c r="J822" s="8" t="n"/>
      <c r="K822" s="11">
        <f>IF(B822="","",MAX(0,IFERROR(I822,0)*IFERROR(H822,0)-IFERROR(J822,0)))</f>
        <v/>
      </c>
      <c r="L822" s="8" t="n"/>
      <c r="M822" s="11">
        <f>IF(B822="","",MAX(0,K822-L822))</f>
        <v/>
      </c>
      <c r="N822" s="11">
        <f>IF(B822="","",IF(L822&gt;=K822,"Paid",IF(L822&gt;0,"Partial","Unpaid")))</f>
        <v/>
      </c>
      <c r="O822" s="5" t="n"/>
      <c r="P822" s="8" t="n"/>
      <c r="Q822" s="8" t="n"/>
      <c r="R822" s="11">
        <f>IF(B822="","",IFERROR(K822,0)+IFERROR(P822,0)-IFERROR(Q822,0))</f>
        <v/>
      </c>
      <c r="S822" s="5" t="n"/>
      <c r="T822" s="5" t="n"/>
      <c r="U822" s="11">
        <f>IF(B822="","",TRIM(LOWER(C822)&amp;"|"&amp;LOWER(D822)))</f>
        <v/>
      </c>
    </row>
    <row r="823">
      <c r="A823" s="11">
        <f>IF(B823="","",TEXT(ROW()-3,"""DC-""0000"))</f>
        <v/>
      </c>
      <c r="B823" s="5" t="n"/>
      <c r="C823" s="5" t="n"/>
      <c r="D823" s="5" t="n"/>
      <c r="E823" s="5" t="n"/>
      <c r="F823" s="5" t="n"/>
      <c r="G823" s="5" t="n"/>
      <c r="H823" s="8" t="n"/>
      <c r="I823" s="8" t="n"/>
      <c r="J823" s="8" t="n"/>
      <c r="K823" s="11">
        <f>IF(B823="","",MAX(0,IFERROR(I823,0)*IFERROR(H823,0)-IFERROR(J823,0)))</f>
        <v/>
      </c>
      <c r="L823" s="8" t="n"/>
      <c r="M823" s="11">
        <f>IF(B823="","",MAX(0,K823-L823))</f>
        <v/>
      </c>
      <c r="N823" s="11">
        <f>IF(B823="","",IF(L823&gt;=K823,"Paid",IF(L823&gt;0,"Partial","Unpaid")))</f>
        <v/>
      </c>
      <c r="O823" s="5" t="n"/>
      <c r="P823" s="8" t="n"/>
      <c r="Q823" s="8" t="n"/>
      <c r="R823" s="11">
        <f>IF(B823="","",IFERROR(K823,0)+IFERROR(P823,0)-IFERROR(Q823,0))</f>
        <v/>
      </c>
      <c r="S823" s="5" t="n"/>
      <c r="T823" s="5" t="n"/>
      <c r="U823" s="11">
        <f>IF(B823="","",TRIM(LOWER(C823)&amp;"|"&amp;LOWER(D823)))</f>
        <v/>
      </c>
    </row>
    <row r="824">
      <c r="A824" s="11">
        <f>IF(B824="","",TEXT(ROW()-3,"""DC-""0000"))</f>
        <v/>
      </c>
      <c r="B824" s="5" t="n"/>
      <c r="C824" s="5" t="n"/>
      <c r="D824" s="5" t="n"/>
      <c r="E824" s="5" t="n"/>
      <c r="F824" s="5" t="n"/>
      <c r="G824" s="5" t="n"/>
      <c r="H824" s="8" t="n"/>
      <c r="I824" s="8" t="n"/>
      <c r="J824" s="8" t="n"/>
      <c r="K824" s="11">
        <f>IF(B824="","",MAX(0,IFERROR(I824,0)*IFERROR(H824,0)-IFERROR(J824,0)))</f>
        <v/>
      </c>
      <c r="L824" s="8" t="n"/>
      <c r="M824" s="11">
        <f>IF(B824="","",MAX(0,K824-L824))</f>
        <v/>
      </c>
      <c r="N824" s="11">
        <f>IF(B824="","",IF(L824&gt;=K824,"Paid",IF(L824&gt;0,"Partial","Unpaid")))</f>
        <v/>
      </c>
      <c r="O824" s="5" t="n"/>
      <c r="P824" s="8" t="n"/>
      <c r="Q824" s="8" t="n"/>
      <c r="R824" s="11">
        <f>IF(B824="","",IFERROR(K824,0)+IFERROR(P824,0)-IFERROR(Q824,0))</f>
        <v/>
      </c>
      <c r="S824" s="5" t="n"/>
      <c r="T824" s="5" t="n"/>
      <c r="U824" s="11">
        <f>IF(B824="","",TRIM(LOWER(C824)&amp;"|"&amp;LOWER(D824)))</f>
        <v/>
      </c>
    </row>
    <row r="825">
      <c r="A825" s="11">
        <f>IF(B825="","",TEXT(ROW()-3,"""DC-""0000"))</f>
        <v/>
      </c>
      <c r="B825" s="5" t="n"/>
      <c r="C825" s="5" t="n"/>
      <c r="D825" s="5" t="n"/>
      <c r="E825" s="5" t="n"/>
      <c r="F825" s="5" t="n"/>
      <c r="G825" s="5" t="n"/>
      <c r="H825" s="8" t="n"/>
      <c r="I825" s="8" t="n"/>
      <c r="J825" s="8" t="n"/>
      <c r="K825" s="11">
        <f>IF(B825="","",MAX(0,IFERROR(I825,0)*IFERROR(H825,0)-IFERROR(J825,0)))</f>
        <v/>
      </c>
      <c r="L825" s="8" t="n"/>
      <c r="M825" s="11">
        <f>IF(B825="","",MAX(0,K825-L825))</f>
        <v/>
      </c>
      <c r="N825" s="11">
        <f>IF(B825="","",IF(L825&gt;=K825,"Paid",IF(L825&gt;0,"Partial","Unpaid")))</f>
        <v/>
      </c>
      <c r="O825" s="5" t="n"/>
      <c r="P825" s="8" t="n"/>
      <c r="Q825" s="8" t="n"/>
      <c r="R825" s="11">
        <f>IF(B825="","",IFERROR(K825,0)+IFERROR(P825,0)-IFERROR(Q825,0))</f>
        <v/>
      </c>
      <c r="S825" s="5" t="n"/>
      <c r="T825" s="5" t="n"/>
      <c r="U825" s="11">
        <f>IF(B825="","",TRIM(LOWER(C825)&amp;"|"&amp;LOWER(D825)))</f>
        <v/>
      </c>
    </row>
    <row r="826">
      <c r="A826" s="11">
        <f>IF(B826="","",TEXT(ROW()-3,"""DC-""0000"))</f>
        <v/>
      </c>
      <c r="B826" s="5" t="n"/>
      <c r="C826" s="5" t="n"/>
      <c r="D826" s="5" t="n"/>
      <c r="E826" s="5" t="n"/>
      <c r="F826" s="5" t="n"/>
      <c r="G826" s="5" t="n"/>
      <c r="H826" s="8" t="n"/>
      <c r="I826" s="8" t="n"/>
      <c r="J826" s="8" t="n"/>
      <c r="K826" s="11">
        <f>IF(B826="","",MAX(0,IFERROR(I826,0)*IFERROR(H826,0)-IFERROR(J826,0)))</f>
        <v/>
      </c>
      <c r="L826" s="8" t="n"/>
      <c r="M826" s="11">
        <f>IF(B826="","",MAX(0,K826-L826))</f>
        <v/>
      </c>
      <c r="N826" s="11">
        <f>IF(B826="","",IF(L826&gt;=K826,"Paid",IF(L826&gt;0,"Partial","Unpaid")))</f>
        <v/>
      </c>
      <c r="O826" s="5" t="n"/>
      <c r="P826" s="8" t="n"/>
      <c r="Q826" s="8" t="n"/>
      <c r="R826" s="11">
        <f>IF(B826="","",IFERROR(K826,0)+IFERROR(P826,0)-IFERROR(Q826,0))</f>
        <v/>
      </c>
      <c r="S826" s="5" t="n"/>
      <c r="T826" s="5" t="n"/>
      <c r="U826" s="11">
        <f>IF(B826="","",TRIM(LOWER(C826)&amp;"|"&amp;LOWER(D826)))</f>
        <v/>
      </c>
    </row>
    <row r="827">
      <c r="A827" s="11">
        <f>IF(B827="","",TEXT(ROW()-3,"""DC-""0000"))</f>
        <v/>
      </c>
      <c r="B827" s="5" t="n"/>
      <c r="C827" s="5" t="n"/>
      <c r="D827" s="5" t="n"/>
      <c r="E827" s="5" t="n"/>
      <c r="F827" s="5" t="n"/>
      <c r="G827" s="5" t="n"/>
      <c r="H827" s="8" t="n"/>
      <c r="I827" s="8" t="n"/>
      <c r="J827" s="8" t="n"/>
      <c r="K827" s="11">
        <f>IF(B827="","",MAX(0,IFERROR(I827,0)*IFERROR(H827,0)-IFERROR(J827,0)))</f>
        <v/>
      </c>
      <c r="L827" s="8" t="n"/>
      <c r="M827" s="11">
        <f>IF(B827="","",MAX(0,K827-L827))</f>
        <v/>
      </c>
      <c r="N827" s="11">
        <f>IF(B827="","",IF(L827&gt;=K827,"Paid",IF(L827&gt;0,"Partial","Unpaid")))</f>
        <v/>
      </c>
      <c r="O827" s="5" t="n"/>
      <c r="P827" s="8" t="n"/>
      <c r="Q827" s="8" t="n"/>
      <c r="R827" s="11">
        <f>IF(B827="","",IFERROR(K827,0)+IFERROR(P827,0)-IFERROR(Q827,0))</f>
        <v/>
      </c>
      <c r="S827" s="5" t="n"/>
      <c r="T827" s="5" t="n"/>
      <c r="U827" s="11">
        <f>IF(B827="","",TRIM(LOWER(C827)&amp;"|"&amp;LOWER(D827)))</f>
        <v/>
      </c>
    </row>
    <row r="828">
      <c r="A828" s="11">
        <f>IF(B828="","",TEXT(ROW()-3,"""DC-""0000"))</f>
        <v/>
      </c>
      <c r="B828" s="5" t="n"/>
      <c r="C828" s="5" t="n"/>
      <c r="D828" s="5" t="n"/>
      <c r="E828" s="5" t="n"/>
      <c r="F828" s="5" t="n"/>
      <c r="G828" s="5" t="n"/>
      <c r="H828" s="8" t="n"/>
      <c r="I828" s="8" t="n"/>
      <c r="J828" s="8" t="n"/>
      <c r="K828" s="11">
        <f>IF(B828="","",MAX(0,IFERROR(I828,0)*IFERROR(H828,0)-IFERROR(J828,0)))</f>
        <v/>
      </c>
      <c r="L828" s="8" t="n"/>
      <c r="M828" s="11">
        <f>IF(B828="","",MAX(0,K828-L828))</f>
        <v/>
      </c>
      <c r="N828" s="11">
        <f>IF(B828="","",IF(L828&gt;=K828,"Paid",IF(L828&gt;0,"Partial","Unpaid")))</f>
        <v/>
      </c>
      <c r="O828" s="5" t="n"/>
      <c r="P828" s="8" t="n"/>
      <c r="Q828" s="8" t="n"/>
      <c r="R828" s="11">
        <f>IF(B828="","",IFERROR(K828,0)+IFERROR(P828,0)-IFERROR(Q828,0))</f>
        <v/>
      </c>
      <c r="S828" s="5" t="n"/>
      <c r="T828" s="5" t="n"/>
      <c r="U828" s="11">
        <f>IF(B828="","",TRIM(LOWER(C828)&amp;"|"&amp;LOWER(D828)))</f>
        <v/>
      </c>
    </row>
    <row r="829">
      <c r="A829" s="11">
        <f>IF(B829="","",TEXT(ROW()-3,"""DC-""0000"))</f>
        <v/>
      </c>
      <c r="B829" s="5" t="n"/>
      <c r="C829" s="5" t="n"/>
      <c r="D829" s="5" t="n"/>
      <c r="E829" s="5" t="n"/>
      <c r="F829" s="5" t="n"/>
      <c r="G829" s="5" t="n"/>
      <c r="H829" s="8" t="n"/>
      <c r="I829" s="8" t="n"/>
      <c r="J829" s="8" t="n"/>
      <c r="K829" s="11">
        <f>IF(B829="","",MAX(0,IFERROR(I829,0)*IFERROR(H829,0)-IFERROR(J829,0)))</f>
        <v/>
      </c>
      <c r="L829" s="8" t="n"/>
      <c r="M829" s="11">
        <f>IF(B829="","",MAX(0,K829-L829))</f>
        <v/>
      </c>
      <c r="N829" s="11">
        <f>IF(B829="","",IF(L829&gt;=K829,"Paid",IF(L829&gt;0,"Partial","Unpaid")))</f>
        <v/>
      </c>
      <c r="O829" s="5" t="n"/>
      <c r="P829" s="8" t="n"/>
      <c r="Q829" s="8" t="n"/>
      <c r="R829" s="11">
        <f>IF(B829="","",IFERROR(K829,0)+IFERROR(P829,0)-IFERROR(Q829,0))</f>
        <v/>
      </c>
      <c r="S829" s="5" t="n"/>
      <c r="T829" s="5" t="n"/>
      <c r="U829" s="11">
        <f>IF(B829="","",TRIM(LOWER(C829)&amp;"|"&amp;LOWER(D829)))</f>
        <v/>
      </c>
    </row>
    <row r="830">
      <c r="A830" s="11">
        <f>IF(B830="","",TEXT(ROW()-3,"""DC-""0000"))</f>
        <v/>
      </c>
      <c r="B830" s="5" t="n"/>
      <c r="C830" s="5" t="n"/>
      <c r="D830" s="5" t="n"/>
      <c r="E830" s="5" t="n"/>
      <c r="F830" s="5" t="n"/>
      <c r="G830" s="5" t="n"/>
      <c r="H830" s="8" t="n"/>
      <c r="I830" s="8" t="n"/>
      <c r="J830" s="8" t="n"/>
      <c r="K830" s="11">
        <f>IF(B830="","",MAX(0,IFERROR(I830,0)*IFERROR(H830,0)-IFERROR(J830,0)))</f>
        <v/>
      </c>
      <c r="L830" s="8" t="n"/>
      <c r="M830" s="11">
        <f>IF(B830="","",MAX(0,K830-L830))</f>
        <v/>
      </c>
      <c r="N830" s="11">
        <f>IF(B830="","",IF(L830&gt;=K830,"Paid",IF(L830&gt;0,"Partial","Unpaid")))</f>
        <v/>
      </c>
      <c r="O830" s="5" t="n"/>
      <c r="P830" s="8" t="n"/>
      <c r="Q830" s="8" t="n"/>
      <c r="R830" s="11">
        <f>IF(B830="","",IFERROR(K830,0)+IFERROR(P830,0)-IFERROR(Q830,0))</f>
        <v/>
      </c>
      <c r="S830" s="5" t="n"/>
      <c r="T830" s="5" t="n"/>
      <c r="U830" s="11">
        <f>IF(B830="","",TRIM(LOWER(C830)&amp;"|"&amp;LOWER(D830)))</f>
        <v/>
      </c>
    </row>
    <row r="831">
      <c r="A831" s="11">
        <f>IF(B831="","",TEXT(ROW()-3,"""DC-""0000"))</f>
        <v/>
      </c>
      <c r="B831" s="5" t="n"/>
      <c r="C831" s="5" t="n"/>
      <c r="D831" s="5" t="n"/>
      <c r="E831" s="5" t="n"/>
      <c r="F831" s="5" t="n"/>
      <c r="G831" s="5" t="n"/>
      <c r="H831" s="8" t="n"/>
      <c r="I831" s="8" t="n"/>
      <c r="J831" s="8" t="n"/>
      <c r="K831" s="11">
        <f>IF(B831="","",MAX(0,IFERROR(I831,0)*IFERROR(H831,0)-IFERROR(J831,0)))</f>
        <v/>
      </c>
      <c r="L831" s="8" t="n"/>
      <c r="M831" s="11">
        <f>IF(B831="","",MAX(0,K831-L831))</f>
        <v/>
      </c>
      <c r="N831" s="11">
        <f>IF(B831="","",IF(L831&gt;=K831,"Paid",IF(L831&gt;0,"Partial","Unpaid")))</f>
        <v/>
      </c>
      <c r="O831" s="5" t="n"/>
      <c r="P831" s="8" t="n"/>
      <c r="Q831" s="8" t="n"/>
      <c r="R831" s="11">
        <f>IF(B831="","",IFERROR(K831,0)+IFERROR(P831,0)-IFERROR(Q831,0))</f>
        <v/>
      </c>
      <c r="S831" s="5" t="n"/>
      <c r="T831" s="5" t="n"/>
      <c r="U831" s="11">
        <f>IF(B831="","",TRIM(LOWER(C831)&amp;"|"&amp;LOWER(D831)))</f>
        <v/>
      </c>
    </row>
    <row r="832">
      <c r="A832" s="11">
        <f>IF(B832="","",TEXT(ROW()-3,"""DC-""0000"))</f>
        <v/>
      </c>
      <c r="B832" s="5" t="n"/>
      <c r="C832" s="5" t="n"/>
      <c r="D832" s="5" t="n"/>
      <c r="E832" s="5" t="n"/>
      <c r="F832" s="5" t="n"/>
      <c r="G832" s="5" t="n"/>
      <c r="H832" s="8" t="n"/>
      <c r="I832" s="8" t="n"/>
      <c r="J832" s="8" t="n"/>
      <c r="K832" s="11">
        <f>IF(B832="","",MAX(0,IFERROR(I832,0)*IFERROR(H832,0)-IFERROR(J832,0)))</f>
        <v/>
      </c>
      <c r="L832" s="8" t="n"/>
      <c r="M832" s="11">
        <f>IF(B832="","",MAX(0,K832-L832))</f>
        <v/>
      </c>
      <c r="N832" s="11">
        <f>IF(B832="","",IF(L832&gt;=K832,"Paid",IF(L832&gt;0,"Partial","Unpaid")))</f>
        <v/>
      </c>
      <c r="O832" s="5" t="n"/>
      <c r="P832" s="8" t="n"/>
      <c r="Q832" s="8" t="n"/>
      <c r="R832" s="11">
        <f>IF(B832="","",IFERROR(K832,0)+IFERROR(P832,0)-IFERROR(Q832,0))</f>
        <v/>
      </c>
      <c r="S832" s="5" t="n"/>
      <c r="T832" s="5" t="n"/>
      <c r="U832" s="11">
        <f>IF(B832="","",TRIM(LOWER(C832)&amp;"|"&amp;LOWER(D832)))</f>
        <v/>
      </c>
    </row>
    <row r="833">
      <c r="A833" s="11">
        <f>IF(B833="","",TEXT(ROW()-3,"""DC-""0000"))</f>
        <v/>
      </c>
      <c r="B833" s="5" t="n"/>
      <c r="C833" s="5" t="n"/>
      <c r="D833" s="5" t="n"/>
      <c r="E833" s="5" t="n"/>
      <c r="F833" s="5" t="n"/>
      <c r="G833" s="5" t="n"/>
      <c r="H833" s="8" t="n"/>
      <c r="I833" s="8" t="n"/>
      <c r="J833" s="8" t="n"/>
      <c r="K833" s="11">
        <f>IF(B833="","",MAX(0,IFERROR(I833,0)*IFERROR(H833,0)-IFERROR(J833,0)))</f>
        <v/>
      </c>
      <c r="L833" s="8" t="n"/>
      <c r="M833" s="11">
        <f>IF(B833="","",MAX(0,K833-L833))</f>
        <v/>
      </c>
      <c r="N833" s="11">
        <f>IF(B833="","",IF(L833&gt;=K833,"Paid",IF(L833&gt;0,"Partial","Unpaid")))</f>
        <v/>
      </c>
      <c r="O833" s="5" t="n"/>
      <c r="P833" s="8" t="n"/>
      <c r="Q833" s="8" t="n"/>
      <c r="R833" s="11">
        <f>IF(B833="","",IFERROR(K833,0)+IFERROR(P833,0)-IFERROR(Q833,0))</f>
        <v/>
      </c>
      <c r="S833" s="5" t="n"/>
      <c r="T833" s="5" t="n"/>
      <c r="U833" s="11">
        <f>IF(B833="","",TRIM(LOWER(C833)&amp;"|"&amp;LOWER(D833)))</f>
        <v/>
      </c>
    </row>
    <row r="834">
      <c r="A834" s="11">
        <f>IF(B834="","",TEXT(ROW()-3,"""DC-""0000"))</f>
        <v/>
      </c>
      <c r="B834" s="5" t="n"/>
      <c r="C834" s="5" t="n"/>
      <c r="D834" s="5" t="n"/>
      <c r="E834" s="5" t="n"/>
      <c r="F834" s="5" t="n"/>
      <c r="G834" s="5" t="n"/>
      <c r="H834" s="8" t="n"/>
      <c r="I834" s="8" t="n"/>
      <c r="J834" s="8" t="n"/>
      <c r="K834" s="11">
        <f>IF(B834="","",MAX(0,IFERROR(I834,0)*IFERROR(H834,0)-IFERROR(J834,0)))</f>
        <v/>
      </c>
      <c r="L834" s="8" t="n"/>
      <c r="M834" s="11">
        <f>IF(B834="","",MAX(0,K834-L834))</f>
        <v/>
      </c>
      <c r="N834" s="11">
        <f>IF(B834="","",IF(L834&gt;=K834,"Paid",IF(L834&gt;0,"Partial","Unpaid")))</f>
        <v/>
      </c>
      <c r="O834" s="5" t="n"/>
      <c r="P834" s="8" t="n"/>
      <c r="Q834" s="8" t="n"/>
      <c r="R834" s="11">
        <f>IF(B834="","",IFERROR(K834,0)+IFERROR(P834,0)-IFERROR(Q834,0))</f>
        <v/>
      </c>
      <c r="S834" s="5" t="n"/>
      <c r="T834" s="5" t="n"/>
      <c r="U834" s="11">
        <f>IF(B834="","",TRIM(LOWER(C834)&amp;"|"&amp;LOWER(D834)))</f>
        <v/>
      </c>
    </row>
    <row r="835">
      <c r="A835" s="11">
        <f>IF(B835="","",TEXT(ROW()-3,"""DC-""0000"))</f>
        <v/>
      </c>
      <c r="B835" s="5" t="n"/>
      <c r="C835" s="5" t="n"/>
      <c r="D835" s="5" t="n"/>
      <c r="E835" s="5" t="n"/>
      <c r="F835" s="5" t="n"/>
      <c r="G835" s="5" t="n"/>
      <c r="H835" s="8" t="n"/>
      <c r="I835" s="8" t="n"/>
      <c r="J835" s="8" t="n"/>
      <c r="K835" s="11">
        <f>IF(B835="","",MAX(0,IFERROR(I835,0)*IFERROR(H835,0)-IFERROR(J835,0)))</f>
        <v/>
      </c>
      <c r="L835" s="8" t="n"/>
      <c r="M835" s="11">
        <f>IF(B835="","",MAX(0,K835-L835))</f>
        <v/>
      </c>
      <c r="N835" s="11">
        <f>IF(B835="","",IF(L835&gt;=K835,"Paid",IF(L835&gt;0,"Partial","Unpaid")))</f>
        <v/>
      </c>
      <c r="O835" s="5" t="n"/>
      <c r="P835" s="8" t="n"/>
      <c r="Q835" s="8" t="n"/>
      <c r="R835" s="11">
        <f>IF(B835="","",IFERROR(K835,0)+IFERROR(P835,0)-IFERROR(Q835,0))</f>
        <v/>
      </c>
      <c r="S835" s="5" t="n"/>
      <c r="T835" s="5" t="n"/>
      <c r="U835" s="11">
        <f>IF(B835="","",TRIM(LOWER(C835)&amp;"|"&amp;LOWER(D835)))</f>
        <v/>
      </c>
    </row>
    <row r="836">
      <c r="A836" s="11">
        <f>IF(B836="","",TEXT(ROW()-3,"""DC-""0000"))</f>
        <v/>
      </c>
      <c r="B836" s="5" t="n"/>
      <c r="C836" s="5" t="n"/>
      <c r="D836" s="5" t="n"/>
      <c r="E836" s="5" t="n"/>
      <c r="F836" s="5" t="n"/>
      <c r="G836" s="5" t="n"/>
      <c r="H836" s="8" t="n"/>
      <c r="I836" s="8" t="n"/>
      <c r="J836" s="8" t="n"/>
      <c r="K836" s="11">
        <f>IF(B836="","",MAX(0,IFERROR(I836,0)*IFERROR(H836,0)-IFERROR(J836,0)))</f>
        <v/>
      </c>
      <c r="L836" s="8" t="n"/>
      <c r="M836" s="11">
        <f>IF(B836="","",MAX(0,K836-L836))</f>
        <v/>
      </c>
      <c r="N836" s="11">
        <f>IF(B836="","",IF(L836&gt;=K836,"Paid",IF(L836&gt;0,"Partial","Unpaid")))</f>
        <v/>
      </c>
      <c r="O836" s="5" t="n"/>
      <c r="P836" s="8" t="n"/>
      <c r="Q836" s="8" t="n"/>
      <c r="R836" s="11">
        <f>IF(B836="","",IFERROR(K836,0)+IFERROR(P836,0)-IFERROR(Q836,0))</f>
        <v/>
      </c>
      <c r="S836" s="5" t="n"/>
      <c r="T836" s="5" t="n"/>
      <c r="U836" s="11">
        <f>IF(B836="","",TRIM(LOWER(C836)&amp;"|"&amp;LOWER(D836)))</f>
        <v/>
      </c>
    </row>
    <row r="837">
      <c r="A837" s="11">
        <f>IF(B837="","",TEXT(ROW()-3,"""DC-""0000"))</f>
        <v/>
      </c>
      <c r="B837" s="5" t="n"/>
      <c r="C837" s="5" t="n"/>
      <c r="D837" s="5" t="n"/>
      <c r="E837" s="5" t="n"/>
      <c r="F837" s="5" t="n"/>
      <c r="G837" s="5" t="n"/>
      <c r="H837" s="8" t="n"/>
      <c r="I837" s="8" t="n"/>
      <c r="J837" s="8" t="n"/>
      <c r="K837" s="11">
        <f>IF(B837="","",MAX(0,IFERROR(I837,0)*IFERROR(H837,0)-IFERROR(J837,0)))</f>
        <v/>
      </c>
      <c r="L837" s="8" t="n"/>
      <c r="M837" s="11">
        <f>IF(B837="","",MAX(0,K837-L837))</f>
        <v/>
      </c>
      <c r="N837" s="11">
        <f>IF(B837="","",IF(L837&gt;=K837,"Paid",IF(L837&gt;0,"Partial","Unpaid")))</f>
        <v/>
      </c>
      <c r="O837" s="5" t="n"/>
      <c r="P837" s="8" t="n"/>
      <c r="Q837" s="8" t="n"/>
      <c r="R837" s="11">
        <f>IF(B837="","",IFERROR(K837,0)+IFERROR(P837,0)-IFERROR(Q837,0))</f>
        <v/>
      </c>
      <c r="S837" s="5" t="n"/>
      <c r="T837" s="5" t="n"/>
      <c r="U837" s="11">
        <f>IF(B837="","",TRIM(LOWER(C837)&amp;"|"&amp;LOWER(D837)))</f>
        <v/>
      </c>
    </row>
    <row r="838">
      <c r="A838" s="11">
        <f>IF(B838="","",TEXT(ROW()-3,"""DC-""0000"))</f>
        <v/>
      </c>
      <c r="B838" s="5" t="n"/>
      <c r="C838" s="5" t="n"/>
      <c r="D838" s="5" t="n"/>
      <c r="E838" s="5" t="n"/>
      <c r="F838" s="5" t="n"/>
      <c r="G838" s="5" t="n"/>
      <c r="H838" s="8" t="n"/>
      <c r="I838" s="8" t="n"/>
      <c r="J838" s="8" t="n"/>
      <c r="K838" s="11">
        <f>IF(B838="","",MAX(0,IFERROR(I838,0)*IFERROR(H838,0)-IFERROR(J838,0)))</f>
        <v/>
      </c>
      <c r="L838" s="8" t="n"/>
      <c r="M838" s="11">
        <f>IF(B838="","",MAX(0,K838-L838))</f>
        <v/>
      </c>
      <c r="N838" s="11">
        <f>IF(B838="","",IF(L838&gt;=K838,"Paid",IF(L838&gt;0,"Partial","Unpaid")))</f>
        <v/>
      </c>
      <c r="O838" s="5" t="n"/>
      <c r="P838" s="8" t="n"/>
      <c r="Q838" s="8" t="n"/>
      <c r="R838" s="11">
        <f>IF(B838="","",IFERROR(K838,0)+IFERROR(P838,0)-IFERROR(Q838,0))</f>
        <v/>
      </c>
      <c r="S838" s="5" t="n"/>
      <c r="T838" s="5" t="n"/>
      <c r="U838" s="11">
        <f>IF(B838="","",TRIM(LOWER(C838)&amp;"|"&amp;LOWER(D838)))</f>
        <v/>
      </c>
    </row>
    <row r="839">
      <c r="A839" s="11">
        <f>IF(B839="","",TEXT(ROW()-3,"""DC-""0000"))</f>
        <v/>
      </c>
      <c r="B839" s="5" t="n"/>
      <c r="C839" s="5" t="n"/>
      <c r="D839" s="5" t="n"/>
      <c r="E839" s="5" t="n"/>
      <c r="F839" s="5" t="n"/>
      <c r="G839" s="5" t="n"/>
      <c r="H839" s="8" t="n"/>
      <c r="I839" s="8" t="n"/>
      <c r="J839" s="8" t="n"/>
      <c r="K839" s="11">
        <f>IF(B839="","",MAX(0,IFERROR(I839,0)*IFERROR(H839,0)-IFERROR(J839,0)))</f>
        <v/>
      </c>
      <c r="L839" s="8" t="n"/>
      <c r="M839" s="11">
        <f>IF(B839="","",MAX(0,K839-L839))</f>
        <v/>
      </c>
      <c r="N839" s="11">
        <f>IF(B839="","",IF(L839&gt;=K839,"Paid",IF(L839&gt;0,"Partial","Unpaid")))</f>
        <v/>
      </c>
      <c r="O839" s="5" t="n"/>
      <c r="P839" s="8" t="n"/>
      <c r="Q839" s="8" t="n"/>
      <c r="R839" s="11">
        <f>IF(B839="","",IFERROR(K839,0)+IFERROR(P839,0)-IFERROR(Q839,0))</f>
        <v/>
      </c>
      <c r="S839" s="5" t="n"/>
      <c r="T839" s="5" t="n"/>
      <c r="U839" s="11">
        <f>IF(B839="","",TRIM(LOWER(C839)&amp;"|"&amp;LOWER(D839)))</f>
        <v/>
      </c>
    </row>
    <row r="840">
      <c r="A840" s="11">
        <f>IF(B840="","",TEXT(ROW()-3,"""DC-""0000"))</f>
        <v/>
      </c>
      <c r="B840" s="5" t="n"/>
      <c r="C840" s="5" t="n"/>
      <c r="D840" s="5" t="n"/>
      <c r="E840" s="5" t="n"/>
      <c r="F840" s="5" t="n"/>
      <c r="G840" s="5" t="n"/>
      <c r="H840" s="8" t="n"/>
      <c r="I840" s="8" t="n"/>
      <c r="J840" s="8" t="n"/>
      <c r="K840" s="11">
        <f>IF(B840="","",MAX(0,IFERROR(I840,0)*IFERROR(H840,0)-IFERROR(J840,0)))</f>
        <v/>
      </c>
      <c r="L840" s="8" t="n"/>
      <c r="M840" s="11">
        <f>IF(B840="","",MAX(0,K840-L840))</f>
        <v/>
      </c>
      <c r="N840" s="11">
        <f>IF(B840="","",IF(L840&gt;=K840,"Paid",IF(L840&gt;0,"Partial","Unpaid")))</f>
        <v/>
      </c>
      <c r="O840" s="5" t="n"/>
      <c r="P840" s="8" t="n"/>
      <c r="Q840" s="8" t="n"/>
      <c r="R840" s="11">
        <f>IF(B840="","",IFERROR(K840,0)+IFERROR(P840,0)-IFERROR(Q840,0))</f>
        <v/>
      </c>
      <c r="S840" s="5" t="n"/>
      <c r="T840" s="5" t="n"/>
      <c r="U840" s="11">
        <f>IF(B840="","",TRIM(LOWER(C840)&amp;"|"&amp;LOWER(D840)))</f>
        <v/>
      </c>
    </row>
    <row r="841">
      <c r="A841" s="11">
        <f>IF(B841="","",TEXT(ROW()-3,"""DC-""0000"))</f>
        <v/>
      </c>
      <c r="B841" s="5" t="n"/>
      <c r="C841" s="5" t="n"/>
      <c r="D841" s="5" t="n"/>
      <c r="E841" s="5" t="n"/>
      <c r="F841" s="5" t="n"/>
      <c r="G841" s="5" t="n"/>
      <c r="H841" s="8" t="n"/>
      <c r="I841" s="8" t="n"/>
      <c r="J841" s="8" t="n"/>
      <c r="K841" s="11">
        <f>IF(B841="","",MAX(0,IFERROR(I841,0)*IFERROR(H841,0)-IFERROR(J841,0)))</f>
        <v/>
      </c>
      <c r="L841" s="8" t="n"/>
      <c r="M841" s="11">
        <f>IF(B841="","",MAX(0,K841-L841))</f>
        <v/>
      </c>
      <c r="N841" s="11">
        <f>IF(B841="","",IF(L841&gt;=K841,"Paid",IF(L841&gt;0,"Partial","Unpaid")))</f>
        <v/>
      </c>
      <c r="O841" s="5" t="n"/>
      <c r="P841" s="8" t="n"/>
      <c r="Q841" s="8" t="n"/>
      <c r="R841" s="11">
        <f>IF(B841="","",IFERROR(K841,0)+IFERROR(P841,0)-IFERROR(Q841,0))</f>
        <v/>
      </c>
      <c r="S841" s="5" t="n"/>
      <c r="T841" s="5" t="n"/>
      <c r="U841" s="11">
        <f>IF(B841="","",TRIM(LOWER(C841)&amp;"|"&amp;LOWER(D841)))</f>
        <v/>
      </c>
    </row>
    <row r="842">
      <c r="A842" s="11">
        <f>IF(B842="","",TEXT(ROW()-3,"""DC-""0000"))</f>
        <v/>
      </c>
      <c r="B842" s="5" t="n"/>
      <c r="C842" s="5" t="n"/>
      <c r="D842" s="5" t="n"/>
      <c r="E842" s="5" t="n"/>
      <c r="F842" s="5" t="n"/>
      <c r="G842" s="5" t="n"/>
      <c r="H842" s="8" t="n"/>
      <c r="I842" s="8" t="n"/>
      <c r="J842" s="8" t="n"/>
      <c r="K842" s="11">
        <f>IF(B842="","",MAX(0,IFERROR(I842,0)*IFERROR(H842,0)-IFERROR(J842,0)))</f>
        <v/>
      </c>
      <c r="L842" s="8" t="n"/>
      <c r="M842" s="11">
        <f>IF(B842="","",MAX(0,K842-L842))</f>
        <v/>
      </c>
      <c r="N842" s="11">
        <f>IF(B842="","",IF(L842&gt;=K842,"Paid",IF(L842&gt;0,"Partial","Unpaid")))</f>
        <v/>
      </c>
      <c r="O842" s="5" t="n"/>
      <c r="P842" s="8" t="n"/>
      <c r="Q842" s="8" t="n"/>
      <c r="R842" s="11">
        <f>IF(B842="","",IFERROR(K842,0)+IFERROR(P842,0)-IFERROR(Q842,0))</f>
        <v/>
      </c>
      <c r="S842" s="5" t="n"/>
      <c r="T842" s="5" t="n"/>
      <c r="U842" s="11">
        <f>IF(B842="","",TRIM(LOWER(C842)&amp;"|"&amp;LOWER(D842)))</f>
        <v/>
      </c>
    </row>
    <row r="843">
      <c r="A843" s="11">
        <f>IF(B843="","",TEXT(ROW()-3,"""DC-""0000"))</f>
        <v/>
      </c>
      <c r="B843" s="5" t="n"/>
      <c r="C843" s="5" t="n"/>
      <c r="D843" s="5" t="n"/>
      <c r="E843" s="5" t="n"/>
      <c r="F843" s="5" t="n"/>
      <c r="G843" s="5" t="n"/>
      <c r="H843" s="8" t="n"/>
      <c r="I843" s="8" t="n"/>
      <c r="J843" s="8" t="n"/>
      <c r="K843" s="11">
        <f>IF(B843="","",MAX(0,IFERROR(I843,0)*IFERROR(H843,0)-IFERROR(J843,0)))</f>
        <v/>
      </c>
      <c r="L843" s="8" t="n"/>
      <c r="M843" s="11">
        <f>IF(B843="","",MAX(0,K843-L843))</f>
        <v/>
      </c>
      <c r="N843" s="11">
        <f>IF(B843="","",IF(L843&gt;=K843,"Paid",IF(L843&gt;0,"Partial","Unpaid")))</f>
        <v/>
      </c>
      <c r="O843" s="5" t="n"/>
      <c r="P843" s="8" t="n"/>
      <c r="Q843" s="8" t="n"/>
      <c r="R843" s="11">
        <f>IF(B843="","",IFERROR(K843,0)+IFERROR(P843,0)-IFERROR(Q843,0))</f>
        <v/>
      </c>
      <c r="S843" s="5" t="n"/>
      <c r="T843" s="5" t="n"/>
      <c r="U843" s="11">
        <f>IF(B843="","",TRIM(LOWER(C843)&amp;"|"&amp;LOWER(D843)))</f>
        <v/>
      </c>
    </row>
    <row r="844">
      <c r="A844" s="11">
        <f>IF(B844="","",TEXT(ROW()-3,"""DC-""0000"))</f>
        <v/>
      </c>
      <c r="B844" s="5" t="n"/>
      <c r="C844" s="5" t="n"/>
      <c r="D844" s="5" t="n"/>
      <c r="E844" s="5" t="n"/>
      <c r="F844" s="5" t="n"/>
      <c r="G844" s="5" t="n"/>
      <c r="H844" s="8" t="n"/>
      <c r="I844" s="8" t="n"/>
      <c r="J844" s="8" t="n"/>
      <c r="K844" s="11">
        <f>IF(B844="","",MAX(0,IFERROR(I844,0)*IFERROR(H844,0)-IFERROR(J844,0)))</f>
        <v/>
      </c>
      <c r="L844" s="8" t="n"/>
      <c r="M844" s="11">
        <f>IF(B844="","",MAX(0,K844-L844))</f>
        <v/>
      </c>
      <c r="N844" s="11">
        <f>IF(B844="","",IF(L844&gt;=K844,"Paid",IF(L844&gt;0,"Partial","Unpaid")))</f>
        <v/>
      </c>
      <c r="O844" s="5" t="n"/>
      <c r="P844" s="8" t="n"/>
      <c r="Q844" s="8" t="n"/>
      <c r="R844" s="11">
        <f>IF(B844="","",IFERROR(K844,0)+IFERROR(P844,0)-IFERROR(Q844,0))</f>
        <v/>
      </c>
      <c r="S844" s="5" t="n"/>
      <c r="T844" s="5" t="n"/>
      <c r="U844" s="11">
        <f>IF(B844="","",TRIM(LOWER(C844)&amp;"|"&amp;LOWER(D844)))</f>
        <v/>
      </c>
    </row>
    <row r="845">
      <c r="A845" s="11">
        <f>IF(B845="","",TEXT(ROW()-3,"""DC-""0000"))</f>
        <v/>
      </c>
      <c r="B845" s="5" t="n"/>
      <c r="C845" s="5" t="n"/>
      <c r="D845" s="5" t="n"/>
      <c r="E845" s="5" t="n"/>
      <c r="F845" s="5" t="n"/>
      <c r="G845" s="5" t="n"/>
      <c r="H845" s="8" t="n"/>
      <c r="I845" s="8" t="n"/>
      <c r="J845" s="8" t="n"/>
      <c r="K845" s="11">
        <f>IF(B845="","",MAX(0,IFERROR(I845,0)*IFERROR(H845,0)-IFERROR(J845,0)))</f>
        <v/>
      </c>
      <c r="L845" s="8" t="n"/>
      <c r="M845" s="11">
        <f>IF(B845="","",MAX(0,K845-L845))</f>
        <v/>
      </c>
      <c r="N845" s="11">
        <f>IF(B845="","",IF(L845&gt;=K845,"Paid",IF(L845&gt;0,"Partial","Unpaid")))</f>
        <v/>
      </c>
      <c r="O845" s="5" t="n"/>
      <c r="P845" s="8" t="n"/>
      <c r="Q845" s="8" t="n"/>
      <c r="R845" s="11">
        <f>IF(B845="","",IFERROR(K845,0)+IFERROR(P845,0)-IFERROR(Q845,0))</f>
        <v/>
      </c>
      <c r="S845" s="5" t="n"/>
      <c r="T845" s="5" t="n"/>
      <c r="U845" s="11">
        <f>IF(B845="","",TRIM(LOWER(C845)&amp;"|"&amp;LOWER(D845)))</f>
        <v/>
      </c>
    </row>
    <row r="846">
      <c r="A846" s="11">
        <f>IF(B846="","",TEXT(ROW()-3,"""DC-""0000"))</f>
        <v/>
      </c>
      <c r="B846" s="5" t="n"/>
      <c r="C846" s="5" t="n"/>
      <c r="D846" s="5" t="n"/>
      <c r="E846" s="5" t="n"/>
      <c r="F846" s="5" t="n"/>
      <c r="G846" s="5" t="n"/>
      <c r="H846" s="8" t="n"/>
      <c r="I846" s="8" t="n"/>
      <c r="J846" s="8" t="n"/>
      <c r="K846" s="11">
        <f>IF(B846="","",MAX(0,IFERROR(I846,0)*IFERROR(H846,0)-IFERROR(J846,0)))</f>
        <v/>
      </c>
      <c r="L846" s="8" t="n"/>
      <c r="M846" s="11">
        <f>IF(B846="","",MAX(0,K846-L846))</f>
        <v/>
      </c>
      <c r="N846" s="11">
        <f>IF(B846="","",IF(L846&gt;=K846,"Paid",IF(L846&gt;0,"Partial","Unpaid")))</f>
        <v/>
      </c>
      <c r="O846" s="5" t="n"/>
      <c r="P846" s="8" t="n"/>
      <c r="Q846" s="8" t="n"/>
      <c r="R846" s="11">
        <f>IF(B846="","",IFERROR(K846,0)+IFERROR(P846,0)-IFERROR(Q846,0))</f>
        <v/>
      </c>
      <c r="S846" s="5" t="n"/>
      <c r="T846" s="5" t="n"/>
      <c r="U846" s="11">
        <f>IF(B846="","",TRIM(LOWER(C846)&amp;"|"&amp;LOWER(D846)))</f>
        <v/>
      </c>
    </row>
    <row r="847">
      <c r="A847" s="11">
        <f>IF(B847="","",TEXT(ROW()-3,"""DC-""0000"))</f>
        <v/>
      </c>
      <c r="B847" s="5" t="n"/>
      <c r="C847" s="5" t="n"/>
      <c r="D847" s="5" t="n"/>
      <c r="E847" s="5" t="n"/>
      <c r="F847" s="5" t="n"/>
      <c r="G847" s="5" t="n"/>
      <c r="H847" s="8" t="n"/>
      <c r="I847" s="8" t="n"/>
      <c r="J847" s="8" t="n"/>
      <c r="K847" s="11">
        <f>IF(B847="","",MAX(0,IFERROR(I847,0)*IFERROR(H847,0)-IFERROR(J847,0)))</f>
        <v/>
      </c>
      <c r="L847" s="8" t="n"/>
      <c r="M847" s="11">
        <f>IF(B847="","",MAX(0,K847-L847))</f>
        <v/>
      </c>
      <c r="N847" s="11">
        <f>IF(B847="","",IF(L847&gt;=K847,"Paid",IF(L847&gt;0,"Partial","Unpaid")))</f>
        <v/>
      </c>
      <c r="O847" s="5" t="n"/>
      <c r="P847" s="8" t="n"/>
      <c r="Q847" s="8" t="n"/>
      <c r="R847" s="11">
        <f>IF(B847="","",IFERROR(K847,0)+IFERROR(P847,0)-IFERROR(Q847,0))</f>
        <v/>
      </c>
      <c r="S847" s="5" t="n"/>
      <c r="T847" s="5" t="n"/>
      <c r="U847" s="11">
        <f>IF(B847="","",TRIM(LOWER(C847)&amp;"|"&amp;LOWER(D847)))</f>
        <v/>
      </c>
    </row>
    <row r="848">
      <c r="A848" s="11">
        <f>IF(B848="","",TEXT(ROW()-3,"""DC-""0000"))</f>
        <v/>
      </c>
      <c r="B848" s="5" t="n"/>
      <c r="C848" s="5" t="n"/>
      <c r="D848" s="5" t="n"/>
      <c r="E848" s="5" t="n"/>
      <c r="F848" s="5" t="n"/>
      <c r="G848" s="5" t="n"/>
      <c r="H848" s="8" t="n"/>
      <c r="I848" s="8" t="n"/>
      <c r="J848" s="8" t="n"/>
      <c r="K848" s="11">
        <f>IF(B848="","",MAX(0,IFERROR(I848,0)*IFERROR(H848,0)-IFERROR(J848,0)))</f>
        <v/>
      </c>
      <c r="L848" s="8" t="n"/>
      <c r="M848" s="11">
        <f>IF(B848="","",MAX(0,K848-L848))</f>
        <v/>
      </c>
      <c r="N848" s="11">
        <f>IF(B848="","",IF(L848&gt;=K848,"Paid",IF(L848&gt;0,"Partial","Unpaid")))</f>
        <v/>
      </c>
      <c r="O848" s="5" t="n"/>
      <c r="P848" s="8" t="n"/>
      <c r="Q848" s="8" t="n"/>
      <c r="R848" s="11">
        <f>IF(B848="","",IFERROR(K848,0)+IFERROR(P848,0)-IFERROR(Q848,0))</f>
        <v/>
      </c>
      <c r="S848" s="5" t="n"/>
      <c r="T848" s="5" t="n"/>
      <c r="U848" s="11">
        <f>IF(B848="","",TRIM(LOWER(C848)&amp;"|"&amp;LOWER(D848)))</f>
        <v/>
      </c>
    </row>
    <row r="849">
      <c r="A849" s="11">
        <f>IF(B849="","",TEXT(ROW()-3,"""DC-""0000"))</f>
        <v/>
      </c>
      <c r="B849" s="5" t="n"/>
      <c r="C849" s="5" t="n"/>
      <c r="D849" s="5" t="n"/>
      <c r="E849" s="5" t="n"/>
      <c r="F849" s="5" t="n"/>
      <c r="G849" s="5" t="n"/>
      <c r="H849" s="8" t="n"/>
      <c r="I849" s="8" t="n"/>
      <c r="J849" s="8" t="n"/>
      <c r="K849" s="11">
        <f>IF(B849="","",MAX(0,IFERROR(I849,0)*IFERROR(H849,0)-IFERROR(J849,0)))</f>
        <v/>
      </c>
      <c r="L849" s="8" t="n"/>
      <c r="M849" s="11">
        <f>IF(B849="","",MAX(0,K849-L849))</f>
        <v/>
      </c>
      <c r="N849" s="11">
        <f>IF(B849="","",IF(L849&gt;=K849,"Paid",IF(L849&gt;0,"Partial","Unpaid")))</f>
        <v/>
      </c>
      <c r="O849" s="5" t="n"/>
      <c r="P849" s="8" t="n"/>
      <c r="Q849" s="8" t="n"/>
      <c r="R849" s="11">
        <f>IF(B849="","",IFERROR(K849,0)+IFERROR(P849,0)-IFERROR(Q849,0))</f>
        <v/>
      </c>
      <c r="S849" s="5" t="n"/>
      <c r="T849" s="5" t="n"/>
      <c r="U849" s="11">
        <f>IF(B849="","",TRIM(LOWER(C849)&amp;"|"&amp;LOWER(D849)))</f>
        <v/>
      </c>
    </row>
    <row r="850">
      <c r="A850" s="11">
        <f>IF(B850="","",TEXT(ROW()-3,"""DC-""0000"))</f>
        <v/>
      </c>
      <c r="B850" s="5" t="n"/>
      <c r="C850" s="5" t="n"/>
      <c r="D850" s="5" t="n"/>
      <c r="E850" s="5" t="n"/>
      <c r="F850" s="5" t="n"/>
      <c r="G850" s="5" t="n"/>
      <c r="H850" s="8" t="n"/>
      <c r="I850" s="8" t="n"/>
      <c r="J850" s="8" t="n"/>
      <c r="K850" s="11">
        <f>IF(B850="","",MAX(0,IFERROR(I850,0)*IFERROR(H850,0)-IFERROR(J850,0)))</f>
        <v/>
      </c>
      <c r="L850" s="8" t="n"/>
      <c r="M850" s="11">
        <f>IF(B850="","",MAX(0,K850-L850))</f>
        <v/>
      </c>
      <c r="N850" s="11">
        <f>IF(B850="","",IF(L850&gt;=K850,"Paid",IF(L850&gt;0,"Partial","Unpaid")))</f>
        <v/>
      </c>
      <c r="O850" s="5" t="n"/>
      <c r="P850" s="8" t="n"/>
      <c r="Q850" s="8" t="n"/>
      <c r="R850" s="11">
        <f>IF(B850="","",IFERROR(K850,0)+IFERROR(P850,0)-IFERROR(Q850,0))</f>
        <v/>
      </c>
      <c r="S850" s="5" t="n"/>
      <c r="T850" s="5" t="n"/>
      <c r="U850" s="11">
        <f>IF(B850="","",TRIM(LOWER(C850)&amp;"|"&amp;LOWER(D850)))</f>
        <v/>
      </c>
    </row>
    <row r="851">
      <c r="A851" s="11">
        <f>IF(B851="","",TEXT(ROW()-3,"""DC-""0000"))</f>
        <v/>
      </c>
      <c r="B851" s="5" t="n"/>
      <c r="C851" s="5" t="n"/>
      <c r="D851" s="5" t="n"/>
      <c r="E851" s="5" t="n"/>
      <c r="F851" s="5" t="n"/>
      <c r="G851" s="5" t="n"/>
      <c r="H851" s="8" t="n"/>
      <c r="I851" s="8" t="n"/>
      <c r="J851" s="8" t="n"/>
      <c r="K851" s="11">
        <f>IF(B851="","",MAX(0,IFERROR(I851,0)*IFERROR(H851,0)-IFERROR(J851,0)))</f>
        <v/>
      </c>
      <c r="L851" s="8" t="n"/>
      <c r="M851" s="11">
        <f>IF(B851="","",MAX(0,K851-L851))</f>
        <v/>
      </c>
      <c r="N851" s="11">
        <f>IF(B851="","",IF(L851&gt;=K851,"Paid",IF(L851&gt;0,"Partial","Unpaid")))</f>
        <v/>
      </c>
      <c r="O851" s="5" t="n"/>
      <c r="P851" s="8" t="n"/>
      <c r="Q851" s="8" t="n"/>
      <c r="R851" s="11">
        <f>IF(B851="","",IFERROR(K851,0)+IFERROR(P851,0)-IFERROR(Q851,0))</f>
        <v/>
      </c>
      <c r="S851" s="5" t="n"/>
      <c r="T851" s="5" t="n"/>
      <c r="U851" s="11">
        <f>IF(B851="","",TRIM(LOWER(C851)&amp;"|"&amp;LOWER(D851)))</f>
        <v/>
      </c>
    </row>
    <row r="852">
      <c r="A852" s="11">
        <f>IF(B852="","",TEXT(ROW()-3,"""DC-""0000"))</f>
        <v/>
      </c>
      <c r="B852" s="5" t="n"/>
      <c r="C852" s="5" t="n"/>
      <c r="D852" s="5" t="n"/>
      <c r="E852" s="5" t="n"/>
      <c r="F852" s="5" t="n"/>
      <c r="G852" s="5" t="n"/>
      <c r="H852" s="8" t="n"/>
      <c r="I852" s="8" t="n"/>
      <c r="J852" s="8" t="n"/>
      <c r="K852" s="11">
        <f>IF(B852="","",MAX(0,IFERROR(I852,0)*IFERROR(H852,0)-IFERROR(J852,0)))</f>
        <v/>
      </c>
      <c r="L852" s="8" t="n"/>
      <c r="M852" s="11">
        <f>IF(B852="","",MAX(0,K852-L852))</f>
        <v/>
      </c>
      <c r="N852" s="11">
        <f>IF(B852="","",IF(L852&gt;=K852,"Paid",IF(L852&gt;0,"Partial","Unpaid")))</f>
        <v/>
      </c>
      <c r="O852" s="5" t="n"/>
      <c r="P852" s="8" t="n"/>
      <c r="Q852" s="8" t="n"/>
      <c r="R852" s="11">
        <f>IF(B852="","",IFERROR(K852,0)+IFERROR(P852,0)-IFERROR(Q852,0))</f>
        <v/>
      </c>
      <c r="S852" s="5" t="n"/>
      <c r="T852" s="5" t="n"/>
      <c r="U852" s="11">
        <f>IF(B852="","",TRIM(LOWER(C852)&amp;"|"&amp;LOWER(D852)))</f>
        <v/>
      </c>
    </row>
    <row r="853">
      <c r="A853" s="11">
        <f>IF(B853="","",TEXT(ROW()-3,"""DC-""0000"))</f>
        <v/>
      </c>
      <c r="B853" s="5" t="n"/>
      <c r="C853" s="5" t="n"/>
      <c r="D853" s="5" t="n"/>
      <c r="E853" s="5" t="n"/>
      <c r="F853" s="5" t="n"/>
      <c r="G853" s="5" t="n"/>
      <c r="H853" s="8" t="n"/>
      <c r="I853" s="8" t="n"/>
      <c r="J853" s="8" t="n"/>
      <c r="K853" s="11">
        <f>IF(B853="","",MAX(0,IFERROR(I853,0)*IFERROR(H853,0)-IFERROR(J853,0)))</f>
        <v/>
      </c>
      <c r="L853" s="8" t="n"/>
      <c r="M853" s="11">
        <f>IF(B853="","",MAX(0,K853-L853))</f>
        <v/>
      </c>
      <c r="N853" s="11">
        <f>IF(B853="","",IF(L853&gt;=K853,"Paid",IF(L853&gt;0,"Partial","Unpaid")))</f>
        <v/>
      </c>
      <c r="O853" s="5" t="n"/>
      <c r="P853" s="8" t="n"/>
      <c r="Q853" s="8" t="n"/>
      <c r="R853" s="11">
        <f>IF(B853="","",IFERROR(K853,0)+IFERROR(P853,0)-IFERROR(Q853,0))</f>
        <v/>
      </c>
      <c r="S853" s="5" t="n"/>
      <c r="T853" s="5" t="n"/>
      <c r="U853" s="11">
        <f>IF(B853="","",TRIM(LOWER(C853)&amp;"|"&amp;LOWER(D853)))</f>
        <v/>
      </c>
    </row>
    <row r="854">
      <c r="A854" s="11">
        <f>IF(B854="","",TEXT(ROW()-3,"""DC-""0000"))</f>
        <v/>
      </c>
      <c r="B854" s="5" t="n"/>
      <c r="C854" s="5" t="n"/>
      <c r="D854" s="5" t="n"/>
      <c r="E854" s="5" t="n"/>
      <c r="F854" s="5" t="n"/>
      <c r="G854" s="5" t="n"/>
      <c r="H854" s="8" t="n"/>
      <c r="I854" s="8" t="n"/>
      <c r="J854" s="8" t="n"/>
      <c r="K854" s="11">
        <f>IF(B854="","",MAX(0,IFERROR(I854,0)*IFERROR(H854,0)-IFERROR(J854,0)))</f>
        <v/>
      </c>
      <c r="L854" s="8" t="n"/>
      <c r="M854" s="11">
        <f>IF(B854="","",MAX(0,K854-L854))</f>
        <v/>
      </c>
      <c r="N854" s="11">
        <f>IF(B854="","",IF(L854&gt;=K854,"Paid",IF(L854&gt;0,"Partial","Unpaid")))</f>
        <v/>
      </c>
      <c r="O854" s="5" t="n"/>
      <c r="P854" s="8" t="n"/>
      <c r="Q854" s="8" t="n"/>
      <c r="R854" s="11">
        <f>IF(B854="","",IFERROR(K854,0)+IFERROR(P854,0)-IFERROR(Q854,0))</f>
        <v/>
      </c>
      <c r="S854" s="5" t="n"/>
      <c r="T854" s="5" t="n"/>
      <c r="U854" s="11">
        <f>IF(B854="","",TRIM(LOWER(C854)&amp;"|"&amp;LOWER(D854)))</f>
        <v/>
      </c>
    </row>
    <row r="855">
      <c r="A855" s="11">
        <f>IF(B855="","",TEXT(ROW()-3,"""DC-""0000"))</f>
        <v/>
      </c>
      <c r="B855" s="5" t="n"/>
      <c r="C855" s="5" t="n"/>
      <c r="D855" s="5" t="n"/>
      <c r="E855" s="5" t="n"/>
      <c r="F855" s="5" t="n"/>
      <c r="G855" s="5" t="n"/>
      <c r="H855" s="8" t="n"/>
      <c r="I855" s="8" t="n"/>
      <c r="J855" s="8" t="n"/>
      <c r="K855" s="11">
        <f>IF(B855="","",MAX(0,IFERROR(I855,0)*IFERROR(H855,0)-IFERROR(J855,0)))</f>
        <v/>
      </c>
      <c r="L855" s="8" t="n"/>
      <c r="M855" s="11">
        <f>IF(B855="","",MAX(0,K855-L855))</f>
        <v/>
      </c>
      <c r="N855" s="11">
        <f>IF(B855="","",IF(L855&gt;=K855,"Paid",IF(L855&gt;0,"Partial","Unpaid")))</f>
        <v/>
      </c>
      <c r="O855" s="5" t="n"/>
      <c r="P855" s="8" t="n"/>
      <c r="Q855" s="8" t="n"/>
      <c r="R855" s="11">
        <f>IF(B855="","",IFERROR(K855,0)+IFERROR(P855,0)-IFERROR(Q855,0))</f>
        <v/>
      </c>
      <c r="S855" s="5" t="n"/>
      <c r="T855" s="5" t="n"/>
      <c r="U855" s="11">
        <f>IF(B855="","",TRIM(LOWER(C855)&amp;"|"&amp;LOWER(D855)))</f>
        <v/>
      </c>
    </row>
    <row r="856">
      <c r="A856" s="11">
        <f>IF(B856="","",TEXT(ROW()-3,"""DC-""0000"))</f>
        <v/>
      </c>
      <c r="B856" s="5" t="n"/>
      <c r="C856" s="5" t="n"/>
      <c r="D856" s="5" t="n"/>
      <c r="E856" s="5" t="n"/>
      <c r="F856" s="5" t="n"/>
      <c r="G856" s="5" t="n"/>
      <c r="H856" s="8" t="n"/>
      <c r="I856" s="8" t="n"/>
      <c r="J856" s="8" t="n"/>
      <c r="K856" s="11">
        <f>IF(B856="","",MAX(0,IFERROR(I856,0)*IFERROR(H856,0)-IFERROR(J856,0)))</f>
        <v/>
      </c>
      <c r="L856" s="8" t="n"/>
      <c r="M856" s="11">
        <f>IF(B856="","",MAX(0,K856-L856))</f>
        <v/>
      </c>
      <c r="N856" s="11">
        <f>IF(B856="","",IF(L856&gt;=K856,"Paid",IF(L856&gt;0,"Partial","Unpaid")))</f>
        <v/>
      </c>
      <c r="O856" s="5" t="n"/>
      <c r="P856" s="8" t="n"/>
      <c r="Q856" s="8" t="n"/>
      <c r="R856" s="11">
        <f>IF(B856="","",IFERROR(K856,0)+IFERROR(P856,0)-IFERROR(Q856,0))</f>
        <v/>
      </c>
      <c r="S856" s="5" t="n"/>
      <c r="T856" s="5" t="n"/>
      <c r="U856" s="11">
        <f>IF(B856="","",TRIM(LOWER(C856)&amp;"|"&amp;LOWER(D856)))</f>
        <v/>
      </c>
    </row>
    <row r="857">
      <c r="A857" s="11">
        <f>IF(B857="","",TEXT(ROW()-3,"""DC-""0000"))</f>
        <v/>
      </c>
      <c r="B857" s="5" t="n"/>
      <c r="C857" s="5" t="n"/>
      <c r="D857" s="5" t="n"/>
      <c r="E857" s="5" t="n"/>
      <c r="F857" s="5" t="n"/>
      <c r="G857" s="5" t="n"/>
      <c r="H857" s="8" t="n"/>
      <c r="I857" s="8" t="n"/>
      <c r="J857" s="8" t="n"/>
      <c r="K857" s="11">
        <f>IF(B857="","",MAX(0,IFERROR(I857,0)*IFERROR(H857,0)-IFERROR(J857,0)))</f>
        <v/>
      </c>
      <c r="L857" s="8" t="n"/>
      <c r="M857" s="11">
        <f>IF(B857="","",MAX(0,K857-L857))</f>
        <v/>
      </c>
      <c r="N857" s="11">
        <f>IF(B857="","",IF(L857&gt;=K857,"Paid",IF(L857&gt;0,"Partial","Unpaid")))</f>
        <v/>
      </c>
      <c r="O857" s="5" t="n"/>
      <c r="P857" s="8" t="n"/>
      <c r="Q857" s="8" t="n"/>
      <c r="R857" s="11">
        <f>IF(B857="","",IFERROR(K857,0)+IFERROR(P857,0)-IFERROR(Q857,0))</f>
        <v/>
      </c>
      <c r="S857" s="5" t="n"/>
      <c r="T857" s="5" t="n"/>
      <c r="U857" s="11">
        <f>IF(B857="","",TRIM(LOWER(C857)&amp;"|"&amp;LOWER(D857)))</f>
        <v/>
      </c>
    </row>
    <row r="858">
      <c r="A858" s="11">
        <f>IF(B858="","",TEXT(ROW()-3,"""DC-""0000"))</f>
        <v/>
      </c>
      <c r="B858" s="5" t="n"/>
      <c r="C858" s="5" t="n"/>
      <c r="D858" s="5" t="n"/>
      <c r="E858" s="5" t="n"/>
      <c r="F858" s="5" t="n"/>
      <c r="G858" s="5" t="n"/>
      <c r="H858" s="8" t="n"/>
      <c r="I858" s="8" t="n"/>
      <c r="J858" s="8" t="n"/>
      <c r="K858" s="11">
        <f>IF(B858="","",MAX(0,IFERROR(I858,0)*IFERROR(H858,0)-IFERROR(J858,0)))</f>
        <v/>
      </c>
      <c r="L858" s="8" t="n"/>
      <c r="M858" s="11">
        <f>IF(B858="","",MAX(0,K858-L858))</f>
        <v/>
      </c>
      <c r="N858" s="11">
        <f>IF(B858="","",IF(L858&gt;=K858,"Paid",IF(L858&gt;0,"Partial","Unpaid")))</f>
        <v/>
      </c>
      <c r="O858" s="5" t="n"/>
      <c r="P858" s="8" t="n"/>
      <c r="Q858" s="8" t="n"/>
      <c r="R858" s="11">
        <f>IF(B858="","",IFERROR(K858,0)+IFERROR(P858,0)-IFERROR(Q858,0))</f>
        <v/>
      </c>
      <c r="S858" s="5" t="n"/>
      <c r="T858" s="5" t="n"/>
      <c r="U858" s="11">
        <f>IF(B858="","",TRIM(LOWER(C858)&amp;"|"&amp;LOWER(D858)))</f>
        <v/>
      </c>
    </row>
    <row r="859">
      <c r="A859" s="11">
        <f>IF(B859="","",TEXT(ROW()-3,"""DC-""0000"))</f>
        <v/>
      </c>
      <c r="B859" s="5" t="n"/>
      <c r="C859" s="5" t="n"/>
      <c r="D859" s="5" t="n"/>
      <c r="E859" s="5" t="n"/>
      <c r="F859" s="5" t="n"/>
      <c r="G859" s="5" t="n"/>
      <c r="H859" s="8" t="n"/>
      <c r="I859" s="8" t="n"/>
      <c r="J859" s="8" t="n"/>
      <c r="K859" s="11">
        <f>IF(B859="","",MAX(0,IFERROR(I859,0)*IFERROR(H859,0)-IFERROR(J859,0)))</f>
        <v/>
      </c>
      <c r="L859" s="8" t="n"/>
      <c r="M859" s="11">
        <f>IF(B859="","",MAX(0,K859-L859))</f>
        <v/>
      </c>
      <c r="N859" s="11">
        <f>IF(B859="","",IF(L859&gt;=K859,"Paid",IF(L859&gt;0,"Partial","Unpaid")))</f>
        <v/>
      </c>
      <c r="O859" s="5" t="n"/>
      <c r="P859" s="8" t="n"/>
      <c r="Q859" s="8" t="n"/>
      <c r="R859" s="11">
        <f>IF(B859="","",IFERROR(K859,0)+IFERROR(P859,0)-IFERROR(Q859,0))</f>
        <v/>
      </c>
      <c r="S859" s="5" t="n"/>
      <c r="T859" s="5" t="n"/>
      <c r="U859" s="11">
        <f>IF(B859="","",TRIM(LOWER(C859)&amp;"|"&amp;LOWER(D859)))</f>
        <v/>
      </c>
    </row>
    <row r="860">
      <c r="A860" s="11">
        <f>IF(B860="","",TEXT(ROW()-3,"""DC-""0000"))</f>
        <v/>
      </c>
      <c r="B860" s="5" t="n"/>
      <c r="C860" s="5" t="n"/>
      <c r="D860" s="5" t="n"/>
      <c r="E860" s="5" t="n"/>
      <c r="F860" s="5" t="n"/>
      <c r="G860" s="5" t="n"/>
      <c r="H860" s="8" t="n"/>
      <c r="I860" s="8" t="n"/>
      <c r="J860" s="8" t="n"/>
      <c r="K860" s="11">
        <f>IF(B860="","",MAX(0,IFERROR(I860,0)*IFERROR(H860,0)-IFERROR(J860,0)))</f>
        <v/>
      </c>
      <c r="L860" s="8" t="n"/>
      <c r="M860" s="11">
        <f>IF(B860="","",MAX(0,K860-L860))</f>
        <v/>
      </c>
      <c r="N860" s="11">
        <f>IF(B860="","",IF(L860&gt;=K860,"Paid",IF(L860&gt;0,"Partial","Unpaid")))</f>
        <v/>
      </c>
      <c r="O860" s="5" t="n"/>
      <c r="P860" s="8" t="n"/>
      <c r="Q860" s="8" t="n"/>
      <c r="R860" s="11">
        <f>IF(B860="","",IFERROR(K860,0)+IFERROR(P860,0)-IFERROR(Q860,0))</f>
        <v/>
      </c>
      <c r="S860" s="5" t="n"/>
      <c r="T860" s="5" t="n"/>
      <c r="U860" s="11">
        <f>IF(B860="","",TRIM(LOWER(C860)&amp;"|"&amp;LOWER(D860)))</f>
        <v/>
      </c>
    </row>
    <row r="861">
      <c r="A861" s="11">
        <f>IF(B861="","",TEXT(ROW()-3,"""DC-""0000"))</f>
        <v/>
      </c>
      <c r="B861" s="5" t="n"/>
      <c r="C861" s="5" t="n"/>
      <c r="D861" s="5" t="n"/>
      <c r="E861" s="5" t="n"/>
      <c r="F861" s="5" t="n"/>
      <c r="G861" s="5" t="n"/>
      <c r="H861" s="8" t="n"/>
      <c r="I861" s="8" t="n"/>
      <c r="J861" s="8" t="n"/>
      <c r="K861" s="11">
        <f>IF(B861="","",MAX(0,IFERROR(I861,0)*IFERROR(H861,0)-IFERROR(J861,0)))</f>
        <v/>
      </c>
      <c r="L861" s="8" t="n"/>
      <c r="M861" s="11">
        <f>IF(B861="","",MAX(0,K861-L861))</f>
        <v/>
      </c>
      <c r="N861" s="11">
        <f>IF(B861="","",IF(L861&gt;=K861,"Paid",IF(L861&gt;0,"Partial","Unpaid")))</f>
        <v/>
      </c>
      <c r="O861" s="5" t="n"/>
      <c r="P861" s="8" t="n"/>
      <c r="Q861" s="8" t="n"/>
      <c r="R861" s="11">
        <f>IF(B861="","",IFERROR(K861,0)+IFERROR(P861,0)-IFERROR(Q861,0))</f>
        <v/>
      </c>
      <c r="S861" s="5" t="n"/>
      <c r="T861" s="5" t="n"/>
      <c r="U861" s="11">
        <f>IF(B861="","",TRIM(LOWER(C861)&amp;"|"&amp;LOWER(D861)))</f>
        <v/>
      </c>
    </row>
    <row r="862">
      <c r="A862" s="11">
        <f>IF(B862="","",TEXT(ROW()-3,"""DC-""0000"))</f>
        <v/>
      </c>
      <c r="B862" s="5" t="n"/>
      <c r="C862" s="5" t="n"/>
      <c r="D862" s="5" t="n"/>
      <c r="E862" s="5" t="n"/>
      <c r="F862" s="5" t="n"/>
      <c r="G862" s="5" t="n"/>
      <c r="H862" s="8" t="n"/>
      <c r="I862" s="8" t="n"/>
      <c r="J862" s="8" t="n"/>
      <c r="K862" s="11">
        <f>IF(B862="","",MAX(0,IFERROR(I862,0)*IFERROR(H862,0)-IFERROR(J862,0)))</f>
        <v/>
      </c>
      <c r="L862" s="8" t="n"/>
      <c r="M862" s="11">
        <f>IF(B862="","",MAX(0,K862-L862))</f>
        <v/>
      </c>
      <c r="N862" s="11">
        <f>IF(B862="","",IF(L862&gt;=K862,"Paid",IF(L862&gt;0,"Partial","Unpaid")))</f>
        <v/>
      </c>
      <c r="O862" s="5" t="n"/>
      <c r="P862" s="8" t="n"/>
      <c r="Q862" s="8" t="n"/>
      <c r="R862" s="11">
        <f>IF(B862="","",IFERROR(K862,0)+IFERROR(P862,0)-IFERROR(Q862,0))</f>
        <v/>
      </c>
      <c r="S862" s="5" t="n"/>
      <c r="T862" s="5" t="n"/>
      <c r="U862" s="11">
        <f>IF(B862="","",TRIM(LOWER(C862)&amp;"|"&amp;LOWER(D862)))</f>
        <v/>
      </c>
    </row>
    <row r="863">
      <c r="A863" s="11">
        <f>IF(B863="","",TEXT(ROW()-3,"""DC-""0000"))</f>
        <v/>
      </c>
      <c r="B863" s="5" t="n"/>
      <c r="C863" s="5" t="n"/>
      <c r="D863" s="5" t="n"/>
      <c r="E863" s="5" t="n"/>
      <c r="F863" s="5" t="n"/>
      <c r="G863" s="5" t="n"/>
      <c r="H863" s="8" t="n"/>
      <c r="I863" s="8" t="n"/>
      <c r="J863" s="8" t="n"/>
      <c r="K863" s="11">
        <f>IF(B863="","",MAX(0,IFERROR(I863,0)*IFERROR(H863,0)-IFERROR(J863,0)))</f>
        <v/>
      </c>
      <c r="L863" s="8" t="n"/>
      <c r="M863" s="11">
        <f>IF(B863="","",MAX(0,K863-L863))</f>
        <v/>
      </c>
      <c r="N863" s="11">
        <f>IF(B863="","",IF(L863&gt;=K863,"Paid",IF(L863&gt;0,"Partial","Unpaid")))</f>
        <v/>
      </c>
      <c r="O863" s="5" t="n"/>
      <c r="P863" s="8" t="n"/>
      <c r="Q863" s="8" t="n"/>
      <c r="R863" s="11">
        <f>IF(B863="","",IFERROR(K863,0)+IFERROR(P863,0)-IFERROR(Q863,0))</f>
        <v/>
      </c>
      <c r="S863" s="5" t="n"/>
      <c r="T863" s="5" t="n"/>
      <c r="U863" s="11">
        <f>IF(B863="","",TRIM(LOWER(C863)&amp;"|"&amp;LOWER(D863)))</f>
        <v/>
      </c>
    </row>
    <row r="864">
      <c r="A864" s="11">
        <f>IF(B864="","",TEXT(ROW()-3,"""DC-""0000"))</f>
        <v/>
      </c>
      <c r="B864" s="5" t="n"/>
      <c r="C864" s="5" t="n"/>
      <c r="D864" s="5" t="n"/>
      <c r="E864" s="5" t="n"/>
      <c r="F864" s="5" t="n"/>
      <c r="G864" s="5" t="n"/>
      <c r="H864" s="8" t="n"/>
      <c r="I864" s="8" t="n"/>
      <c r="J864" s="8" t="n"/>
      <c r="K864" s="11">
        <f>IF(B864="","",MAX(0,IFERROR(I864,0)*IFERROR(H864,0)-IFERROR(J864,0)))</f>
        <v/>
      </c>
      <c r="L864" s="8" t="n"/>
      <c r="M864" s="11">
        <f>IF(B864="","",MAX(0,K864-L864))</f>
        <v/>
      </c>
      <c r="N864" s="11">
        <f>IF(B864="","",IF(L864&gt;=K864,"Paid",IF(L864&gt;0,"Partial","Unpaid")))</f>
        <v/>
      </c>
      <c r="O864" s="5" t="n"/>
      <c r="P864" s="8" t="n"/>
      <c r="Q864" s="8" t="n"/>
      <c r="R864" s="11">
        <f>IF(B864="","",IFERROR(K864,0)+IFERROR(P864,0)-IFERROR(Q864,0))</f>
        <v/>
      </c>
      <c r="S864" s="5" t="n"/>
      <c r="T864" s="5" t="n"/>
      <c r="U864" s="11">
        <f>IF(B864="","",TRIM(LOWER(C864)&amp;"|"&amp;LOWER(D864)))</f>
        <v/>
      </c>
    </row>
    <row r="865">
      <c r="A865" s="11">
        <f>IF(B865="","",TEXT(ROW()-3,"""DC-""0000"))</f>
        <v/>
      </c>
      <c r="B865" s="5" t="n"/>
      <c r="C865" s="5" t="n"/>
      <c r="D865" s="5" t="n"/>
      <c r="E865" s="5" t="n"/>
      <c r="F865" s="5" t="n"/>
      <c r="G865" s="5" t="n"/>
      <c r="H865" s="8" t="n"/>
      <c r="I865" s="8" t="n"/>
      <c r="J865" s="8" t="n"/>
      <c r="K865" s="11">
        <f>IF(B865="","",MAX(0,IFERROR(I865,0)*IFERROR(H865,0)-IFERROR(J865,0)))</f>
        <v/>
      </c>
      <c r="L865" s="8" t="n"/>
      <c r="M865" s="11">
        <f>IF(B865="","",MAX(0,K865-L865))</f>
        <v/>
      </c>
      <c r="N865" s="11">
        <f>IF(B865="","",IF(L865&gt;=K865,"Paid",IF(L865&gt;0,"Partial","Unpaid")))</f>
        <v/>
      </c>
      <c r="O865" s="5" t="n"/>
      <c r="P865" s="8" t="n"/>
      <c r="Q865" s="8" t="n"/>
      <c r="R865" s="11">
        <f>IF(B865="","",IFERROR(K865,0)+IFERROR(P865,0)-IFERROR(Q865,0))</f>
        <v/>
      </c>
      <c r="S865" s="5" t="n"/>
      <c r="T865" s="5" t="n"/>
      <c r="U865" s="11">
        <f>IF(B865="","",TRIM(LOWER(C865)&amp;"|"&amp;LOWER(D865)))</f>
        <v/>
      </c>
    </row>
    <row r="866">
      <c r="A866" s="11">
        <f>IF(B866="","",TEXT(ROW()-3,"""DC-""0000"))</f>
        <v/>
      </c>
      <c r="B866" s="5" t="n"/>
      <c r="C866" s="5" t="n"/>
      <c r="D866" s="5" t="n"/>
      <c r="E866" s="5" t="n"/>
      <c r="F866" s="5" t="n"/>
      <c r="G866" s="5" t="n"/>
      <c r="H866" s="8" t="n"/>
      <c r="I866" s="8" t="n"/>
      <c r="J866" s="8" t="n"/>
      <c r="K866" s="11">
        <f>IF(B866="","",MAX(0,IFERROR(I866,0)*IFERROR(H866,0)-IFERROR(J866,0)))</f>
        <v/>
      </c>
      <c r="L866" s="8" t="n"/>
      <c r="M866" s="11">
        <f>IF(B866="","",MAX(0,K866-L866))</f>
        <v/>
      </c>
      <c r="N866" s="11">
        <f>IF(B866="","",IF(L866&gt;=K866,"Paid",IF(L866&gt;0,"Partial","Unpaid")))</f>
        <v/>
      </c>
      <c r="O866" s="5" t="n"/>
      <c r="P866" s="8" t="n"/>
      <c r="Q866" s="8" t="n"/>
      <c r="R866" s="11">
        <f>IF(B866="","",IFERROR(K866,0)+IFERROR(P866,0)-IFERROR(Q866,0))</f>
        <v/>
      </c>
      <c r="S866" s="5" t="n"/>
      <c r="T866" s="5" t="n"/>
      <c r="U866" s="11">
        <f>IF(B866="","",TRIM(LOWER(C866)&amp;"|"&amp;LOWER(D866)))</f>
        <v/>
      </c>
    </row>
    <row r="867">
      <c r="A867" s="11">
        <f>IF(B867="","",TEXT(ROW()-3,"""DC-""0000"))</f>
        <v/>
      </c>
      <c r="B867" s="5" t="n"/>
      <c r="C867" s="5" t="n"/>
      <c r="D867" s="5" t="n"/>
      <c r="E867" s="5" t="n"/>
      <c r="F867" s="5" t="n"/>
      <c r="G867" s="5" t="n"/>
      <c r="H867" s="8" t="n"/>
      <c r="I867" s="8" t="n"/>
      <c r="J867" s="8" t="n"/>
      <c r="K867" s="11">
        <f>IF(B867="","",MAX(0,IFERROR(I867,0)*IFERROR(H867,0)-IFERROR(J867,0)))</f>
        <v/>
      </c>
      <c r="L867" s="8" t="n"/>
      <c r="M867" s="11">
        <f>IF(B867="","",MAX(0,K867-L867))</f>
        <v/>
      </c>
      <c r="N867" s="11">
        <f>IF(B867="","",IF(L867&gt;=K867,"Paid",IF(L867&gt;0,"Partial","Unpaid")))</f>
        <v/>
      </c>
      <c r="O867" s="5" t="n"/>
      <c r="P867" s="8" t="n"/>
      <c r="Q867" s="8" t="n"/>
      <c r="R867" s="11">
        <f>IF(B867="","",IFERROR(K867,0)+IFERROR(P867,0)-IFERROR(Q867,0))</f>
        <v/>
      </c>
      <c r="S867" s="5" t="n"/>
      <c r="T867" s="5" t="n"/>
      <c r="U867" s="11">
        <f>IF(B867="","",TRIM(LOWER(C867)&amp;"|"&amp;LOWER(D867)))</f>
        <v/>
      </c>
    </row>
    <row r="868">
      <c r="A868" s="11">
        <f>IF(B868="","",TEXT(ROW()-3,"""DC-""0000"))</f>
        <v/>
      </c>
      <c r="B868" s="5" t="n"/>
      <c r="C868" s="5" t="n"/>
      <c r="D868" s="5" t="n"/>
      <c r="E868" s="5" t="n"/>
      <c r="F868" s="5" t="n"/>
      <c r="G868" s="5" t="n"/>
      <c r="H868" s="8" t="n"/>
      <c r="I868" s="8" t="n"/>
      <c r="J868" s="8" t="n"/>
      <c r="K868" s="11">
        <f>IF(B868="","",MAX(0,IFERROR(I868,0)*IFERROR(H868,0)-IFERROR(J868,0)))</f>
        <v/>
      </c>
      <c r="L868" s="8" t="n"/>
      <c r="M868" s="11">
        <f>IF(B868="","",MAX(0,K868-L868))</f>
        <v/>
      </c>
      <c r="N868" s="11">
        <f>IF(B868="","",IF(L868&gt;=K868,"Paid",IF(L868&gt;0,"Partial","Unpaid")))</f>
        <v/>
      </c>
      <c r="O868" s="5" t="n"/>
      <c r="P868" s="8" t="n"/>
      <c r="Q868" s="8" t="n"/>
      <c r="R868" s="11">
        <f>IF(B868="","",IFERROR(K868,0)+IFERROR(P868,0)-IFERROR(Q868,0))</f>
        <v/>
      </c>
      <c r="S868" s="5" t="n"/>
      <c r="T868" s="5" t="n"/>
      <c r="U868" s="11">
        <f>IF(B868="","",TRIM(LOWER(C868)&amp;"|"&amp;LOWER(D868)))</f>
        <v/>
      </c>
    </row>
    <row r="869">
      <c r="A869" s="11">
        <f>IF(B869="","",TEXT(ROW()-3,"""DC-""0000"))</f>
        <v/>
      </c>
      <c r="B869" s="5" t="n"/>
      <c r="C869" s="5" t="n"/>
      <c r="D869" s="5" t="n"/>
      <c r="E869" s="5" t="n"/>
      <c r="F869" s="5" t="n"/>
      <c r="G869" s="5" t="n"/>
      <c r="H869" s="8" t="n"/>
      <c r="I869" s="8" t="n"/>
      <c r="J869" s="8" t="n"/>
      <c r="K869" s="11">
        <f>IF(B869="","",MAX(0,IFERROR(I869,0)*IFERROR(H869,0)-IFERROR(J869,0)))</f>
        <v/>
      </c>
      <c r="L869" s="8" t="n"/>
      <c r="M869" s="11">
        <f>IF(B869="","",MAX(0,K869-L869))</f>
        <v/>
      </c>
      <c r="N869" s="11">
        <f>IF(B869="","",IF(L869&gt;=K869,"Paid",IF(L869&gt;0,"Partial","Unpaid")))</f>
        <v/>
      </c>
      <c r="O869" s="5" t="n"/>
      <c r="P869" s="8" t="n"/>
      <c r="Q869" s="8" t="n"/>
      <c r="R869" s="11">
        <f>IF(B869="","",IFERROR(K869,0)+IFERROR(P869,0)-IFERROR(Q869,0))</f>
        <v/>
      </c>
      <c r="S869" s="5" t="n"/>
      <c r="T869" s="5" t="n"/>
      <c r="U869" s="11">
        <f>IF(B869="","",TRIM(LOWER(C869)&amp;"|"&amp;LOWER(D869)))</f>
        <v/>
      </c>
    </row>
    <row r="870">
      <c r="A870" s="11">
        <f>IF(B870="","",TEXT(ROW()-3,"""DC-""0000"))</f>
        <v/>
      </c>
      <c r="B870" s="5" t="n"/>
      <c r="C870" s="5" t="n"/>
      <c r="D870" s="5" t="n"/>
      <c r="E870" s="5" t="n"/>
      <c r="F870" s="5" t="n"/>
      <c r="G870" s="5" t="n"/>
      <c r="H870" s="8" t="n"/>
      <c r="I870" s="8" t="n"/>
      <c r="J870" s="8" t="n"/>
      <c r="K870" s="11">
        <f>IF(B870="","",MAX(0,IFERROR(I870,0)*IFERROR(H870,0)-IFERROR(J870,0)))</f>
        <v/>
      </c>
      <c r="L870" s="8" t="n"/>
      <c r="M870" s="11">
        <f>IF(B870="","",MAX(0,K870-L870))</f>
        <v/>
      </c>
      <c r="N870" s="11">
        <f>IF(B870="","",IF(L870&gt;=K870,"Paid",IF(L870&gt;0,"Partial","Unpaid")))</f>
        <v/>
      </c>
      <c r="O870" s="5" t="n"/>
      <c r="P870" s="8" t="n"/>
      <c r="Q870" s="8" t="n"/>
      <c r="R870" s="11">
        <f>IF(B870="","",IFERROR(K870,0)+IFERROR(P870,0)-IFERROR(Q870,0))</f>
        <v/>
      </c>
      <c r="S870" s="5" t="n"/>
      <c r="T870" s="5" t="n"/>
      <c r="U870" s="11">
        <f>IF(B870="","",TRIM(LOWER(C870)&amp;"|"&amp;LOWER(D870)))</f>
        <v/>
      </c>
    </row>
    <row r="871">
      <c r="A871" s="11">
        <f>IF(B871="","",TEXT(ROW()-3,"""DC-""0000"))</f>
        <v/>
      </c>
      <c r="B871" s="5" t="n"/>
      <c r="C871" s="5" t="n"/>
      <c r="D871" s="5" t="n"/>
      <c r="E871" s="5" t="n"/>
      <c r="F871" s="5" t="n"/>
      <c r="G871" s="5" t="n"/>
      <c r="H871" s="8" t="n"/>
      <c r="I871" s="8" t="n"/>
      <c r="J871" s="8" t="n"/>
      <c r="K871" s="11">
        <f>IF(B871="","",MAX(0,IFERROR(I871,0)*IFERROR(H871,0)-IFERROR(J871,0)))</f>
        <v/>
      </c>
      <c r="L871" s="8" t="n"/>
      <c r="M871" s="11">
        <f>IF(B871="","",MAX(0,K871-L871))</f>
        <v/>
      </c>
      <c r="N871" s="11">
        <f>IF(B871="","",IF(L871&gt;=K871,"Paid",IF(L871&gt;0,"Partial","Unpaid")))</f>
        <v/>
      </c>
      <c r="O871" s="5" t="n"/>
      <c r="P871" s="8" t="n"/>
      <c r="Q871" s="8" t="n"/>
      <c r="R871" s="11">
        <f>IF(B871="","",IFERROR(K871,0)+IFERROR(P871,0)-IFERROR(Q871,0))</f>
        <v/>
      </c>
      <c r="S871" s="5" t="n"/>
      <c r="T871" s="5" t="n"/>
      <c r="U871" s="11">
        <f>IF(B871="","",TRIM(LOWER(C871)&amp;"|"&amp;LOWER(D871)))</f>
        <v/>
      </c>
    </row>
    <row r="872">
      <c r="A872" s="11">
        <f>IF(B872="","",TEXT(ROW()-3,"""DC-""0000"))</f>
        <v/>
      </c>
      <c r="B872" s="5" t="n"/>
      <c r="C872" s="5" t="n"/>
      <c r="D872" s="5" t="n"/>
      <c r="E872" s="5" t="n"/>
      <c r="F872" s="5" t="n"/>
      <c r="G872" s="5" t="n"/>
      <c r="H872" s="8" t="n"/>
      <c r="I872" s="8" t="n"/>
      <c r="J872" s="8" t="n"/>
      <c r="K872" s="11">
        <f>IF(B872="","",MAX(0,IFERROR(I872,0)*IFERROR(H872,0)-IFERROR(J872,0)))</f>
        <v/>
      </c>
      <c r="L872" s="8" t="n"/>
      <c r="M872" s="11">
        <f>IF(B872="","",MAX(0,K872-L872))</f>
        <v/>
      </c>
      <c r="N872" s="11">
        <f>IF(B872="","",IF(L872&gt;=K872,"Paid",IF(L872&gt;0,"Partial","Unpaid")))</f>
        <v/>
      </c>
      <c r="O872" s="5" t="n"/>
      <c r="P872" s="8" t="n"/>
      <c r="Q872" s="8" t="n"/>
      <c r="R872" s="11">
        <f>IF(B872="","",IFERROR(K872,0)+IFERROR(P872,0)-IFERROR(Q872,0))</f>
        <v/>
      </c>
      <c r="S872" s="5" t="n"/>
      <c r="T872" s="5" t="n"/>
      <c r="U872" s="11">
        <f>IF(B872="","",TRIM(LOWER(C872)&amp;"|"&amp;LOWER(D872)))</f>
        <v/>
      </c>
    </row>
    <row r="873">
      <c r="A873" s="11">
        <f>IF(B873="","",TEXT(ROW()-3,"""DC-""0000"))</f>
        <v/>
      </c>
      <c r="B873" s="5" t="n"/>
      <c r="C873" s="5" t="n"/>
      <c r="D873" s="5" t="n"/>
      <c r="E873" s="5" t="n"/>
      <c r="F873" s="5" t="n"/>
      <c r="G873" s="5" t="n"/>
      <c r="H873" s="8" t="n"/>
      <c r="I873" s="8" t="n"/>
      <c r="J873" s="8" t="n"/>
      <c r="K873" s="11">
        <f>IF(B873="","",MAX(0,IFERROR(I873,0)*IFERROR(H873,0)-IFERROR(J873,0)))</f>
        <v/>
      </c>
      <c r="L873" s="8" t="n"/>
      <c r="M873" s="11">
        <f>IF(B873="","",MAX(0,K873-L873))</f>
        <v/>
      </c>
      <c r="N873" s="11">
        <f>IF(B873="","",IF(L873&gt;=K873,"Paid",IF(L873&gt;0,"Partial","Unpaid")))</f>
        <v/>
      </c>
      <c r="O873" s="5" t="n"/>
      <c r="P873" s="8" t="n"/>
      <c r="Q873" s="8" t="n"/>
      <c r="R873" s="11">
        <f>IF(B873="","",IFERROR(K873,0)+IFERROR(P873,0)-IFERROR(Q873,0))</f>
        <v/>
      </c>
      <c r="S873" s="5" t="n"/>
      <c r="T873" s="5" t="n"/>
      <c r="U873" s="11">
        <f>IF(B873="","",TRIM(LOWER(C873)&amp;"|"&amp;LOWER(D873)))</f>
        <v/>
      </c>
    </row>
    <row r="874">
      <c r="A874" s="11">
        <f>IF(B874="","",TEXT(ROW()-3,"""DC-""0000"))</f>
        <v/>
      </c>
      <c r="B874" s="5" t="n"/>
      <c r="C874" s="5" t="n"/>
      <c r="D874" s="5" t="n"/>
      <c r="E874" s="5" t="n"/>
      <c r="F874" s="5" t="n"/>
      <c r="G874" s="5" t="n"/>
      <c r="H874" s="8" t="n"/>
      <c r="I874" s="8" t="n"/>
      <c r="J874" s="8" t="n"/>
      <c r="K874" s="11">
        <f>IF(B874="","",MAX(0,IFERROR(I874,0)*IFERROR(H874,0)-IFERROR(J874,0)))</f>
        <v/>
      </c>
      <c r="L874" s="8" t="n"/>
      <c r="M874" s="11">
        <f>IF(B874="","",MAX(0,K874-L874))</f>
        <v/>
      </c>
      <c r="N874" s="11">
        <f>IF(B874="","",IF(L874&gt;=K874,"Paid",IF(L874&gt;0,"Partial","Unpaid")))</f>
        <v/>
      </c>
      <c r="O874" s="5" t="n"/>
      <c r="P874" s="8" t="n"/>
      <c r="Q874" s="8" t="n"/>
      <c r="R874" s="11">
        <f>IF(B874="","",IFERROR(K874,0)+IFERROR(P874,0)-IFERROR(Q874,0))</f>
        <v/>
      </c>
      <c r="S874" s="5" t="n"/>
      <c r="T874" s="5" t="n"/>
      <c r="U874" s="11">
        <f>IF(B874="","",TRIM(LOWER(C874)&amp;"|"&amp;LOWER(D874)))</f>
        <v/>
      </c>
    </row>
    <row r="875">
      <c r="A875" s="11">
        <f>IF(B875="","",TEXT(ROW()-3,"""DC-""0000"))</f>
        <v/>
      </c>
      <c r="B875" s="5" t="n"/>
      <c r="C875" s="5" t="n"/>
      <c r="D875" s="5" t="n"/>
      <c r="E875" s="5" t="n"/>
      <c r="F875" s="5" t="n"/>
      <c r="G875" s="5" t="n"/>
      <c r="H875" s="8" t="n"/>
      <c r="I875" s="8" t="n"/>
      <c r="J875" s="8" t="n"/>
      <c r="K875" s="11">
        <f>IF(B875="","",MAX(0,IFERROR(I875,0)*IFERROR(H875,0)-IFERROR(J875,0)))</f>
        <v/>
      </c>
      <c r="L875" s="8" t="n"/>
      <c r="M875" s="11">
        <f>IF(B875="","",MAX(0,K875-L875))</f>
        <v/>
      </c>
      <c r="N875" s="11">
        <f>IF(B875="","",IF(L875&gt;=K875,"Paid",IF(L875&gt;0,"Partial","Unpaid")))</f>
        <v/>
      </c>
      <c r="O875" s="5" t="n"/>
      <c r="P875" s="8" t="n"/>
      <c r="Q875" s="8" t="n"/>
      <c r="R875" s="11">
        <f>IF(B875="","",IFERROR(K875,0)+IFERROR(P875,0)-IFERROR(Q875,0))</f>
        <v/>
      </c>
      <c r="S875" s="5" t="n"/>
      <c r="T875" s="5" t="n"/>
      <c r="U875" s="11">
        <f>IF(B875="","",TRIM(LOWER(C875)&amp;"|"&amp;LOWER(D875)))</f>
        <v/>
      </c>
    </row>
    <row r="876">
      <c r="A876" s="11">
        <f>IF(B876="","",TEXT(ROW()-3,"""DC-""0000"))</f>
        <v/>
      </c>
      <c r="B876" s="5" t="n"/>
      <c r="C876" s="5" t="n"/>
      <c r="D876" s="5" t="n"/>
      <c r="E876" s="5" t="n"/>
      <c r="F876" s="5" t="n"/>
      <c r="G876" s="5" t="n"/>
      <c r="H876" s="8" t="n"/>
      <c r="I876" s="8" t="n"/>
      <c r="J876" s="8" t="n"/>
      <c r="K876" s="11">
        <f>IF(B876="","",MAX(0,IFERROR(I876,0)*IFERROR(H876,0)-IFERROR(J876,0)))</f>
        <v/>
      </c>
      <c r="L876" s="8" t="n"/>
      <c r="M876" s="11">
        <f>IF(B876="","",MAX(0,K876-L876))</f>
        <v/>
      </c>
      <c r="N876" s="11">
        <f>IF(B876="","",IF(L876&gt;=K876,"Paid",IF(L876&gt;0,"Partial","Unpaid")))</f>
        <v/>
      </c>
      <c r="O876" s="5" t="n"/>
      <c r="P876" s="8" t="n"/>
      <c r="Q876" s="8" t="n"/>
      <c r="R876" s="11">
        <f>IF(B876="","",IFERROR(K876,0)+IFERROR(P876,0)-IFERROR(Q876,0))</f>
        <v/>
      </c>
      <c r="S876" s="5" t="n"/>
      <c r="T876" s="5" t="n"/>
      <c r="U876" s="11">
        <f>IF(B876="","",TRIM(LOWER(C876)&amp;"|"&amp;LOWER(D876)))</f>
        <v/>
      </c>
    </row>
    <row r="877">
      <c r="A877" s="11">
        <f>IF(B877="","",TEXT(ROW()-3,"""DC-""0000"))</f>
        <v/>
      </c>
      <c r="B877" s="5" t="n"/>
      <c r="C877" s="5" t="n"/>
      <c r="D877" s="5" t="n"/>
      <c r="E877" s="5" t="n"/>
      <c r="F877" s="5" t="n"/>
      <c r="G877" s="5" t="n"/>
      <c r="H877" s="8" t="n"/>
      <c r="I877" s="8" t="n"/>
      <c r="J877" s="8" t="n"/>
      <c r="K877" s="11">
        <f>IF(B877="","",MAX(0,IFERROR(I877,0)*IFERROR(H877,0)-IFERROR(J877,0)))</f>
        <v/>
      </c>
      <c r="L877" s="8" t="n"/>
      <c r="M877" s="11">
        <f>IF(B877="","",MAX(0,K877-L877))</f>
        <v/>
      </c>
      <c r="N877" s="11">
        <f>IF(B877="","",IF(L877&gt;=K877,"Paid",IF(L877&gt;0,"Partial","Unpaid")))</f>
        <v/>
      </c>
      <c r="O877" s="5" t="n"/>
      <c r="P877" s="8" t="n"/>
      <c r="Q877" s="8" t="n"/>
      <c r="R877" s="11">
        <f>IF(B877="","",IFERROR(K877,0)+IFERROR(P877,0)-IFERROR(Q877,0))</f>
        <v/>
      </c>
      <c r="S877" s="5" t="n"/>
      <c r="T877" s="5" t="n"/>
      <c r="U877" s="11">
        <f>IF(B877="","",TRIM(LOWER(C877)&amp;"|"&amp;LOWER(D877)))</f>
        <v/>
      </c>
    </row>
    <row r="878">
      <c r="A878" s="11">
        <f>IF(B878="","",TEXT(ROW()-3,"""DC-""0000"))</f>
        <v/>
      </c>
      <c r="B878" s="5" t="n"/>
      <c r="C878" s="5" t="n"/>
      <c r="D878" s="5" t="n"/>
      <c r="E878" s="5" t="n"/>
      <c r="F878" s="5" t="n"/>
      <c r="G878" s="5" t="n"/>
      <c r="H878" s="8" t="n"/>
      <c r="I878" s="8" t="n"/>
      <c r="J878" s="8" t="n"/>
      <c r="K878" s="11">
        <f>IF(B878="","",MAX(0,IFERROR(I878,0)*IFERROR(H878,0)-IFERROR(J878,0)))</f>
        <v/>
      </c>
      <c r="L878" s="8" t="n"/>
      <c r="M878" s="11">
        <f>IF(B878="","",MAX(0,K878-L878))</f>
        <v/>
      </c>
      <c r="N878" s="11">
        <f>IF(B878="","",IF(L878&gt;=K878,"Paid",IF(L878&gt;0,"Partial","Unpaid")))</f>
        <v/>
      </c>
      <c r="O878" s="5" t="n"/>
      <c r="P878" s="8" t="n"/>
      <c r="Q878" s="8" t="n"/>
      <c r="R878" s="11">
        <f>IF(B878="","",IFERROR(K878,0)+IFERROR(P878,0)-IFERROR(Q878,0))</f>
        <v/>
      </c>
      <c r="S878" s="5" t="n"/>
      <c r="T878" s="5" t="n"/>
      <c r="U878" s="11">
        <f>IF(B878="","",TRIM(LOWER(C878)&amp;"|"&amp;LOWER(D878)))</f>
        <v/>
      </c>
    </row>
    <row r="879">
      <c r="A879" s="11">
        <f>IF(B879="","",TEXT(ROW()-3,"""DC-""0000"))</f>
        <v/>
      </c>
      <c r="B879" s="5" t="n"/>
      <c r="C879" s="5" t="n"/>
      <c r="D879" s="5" t="n"/>
      <c r="E879" s="5" t="n"/>
      <c r="F879" s="5" t="n"/>
      <c r="G879" s="5" t="n"/>
      <c r="H879" s="8" t="n"/>
      <c r="I879" s="8" t="n"/>
      <c r="J879" s="8" t="n"/>
      <c r="K879" s="11">
        <f>IF(B879="","",MAX(0,IFERROR(I879,0)*IFERROR(H879,0)-IFERROR(J879,0)))</f>
        <v/>
      </c>
      <c r="L879" s="8" t="n"/>
      <c r="M879" s="11">
        <f>IF(B879="","",MAX(0,K879-L879))</f>
        <v/>
      </c>
      <c r="N879" s="11">
        <f>IF(B879="","",IF(L879&gt;=K879,"Paid",IF(L879&gt;0,"Partial","Unpaid")))</f>
        <v/>
      </c>
      <c r="O879" s="5" t="n"/>
      <c r="P879" s="8" t="n"/>
      <c r="Q879" s="8" t="n"/>
      <c r="R879" s="11">
        <f>IF(B879="","",IFERROR(K879,0)+IFERROR(P879,0)-IFERROR(Q879,0))</f>
        <v/>
      </c>
      <c r="S879" s="5" t="n"/>
      <c r="T879" s="5" t="n"/>
      <c r="U879" s="11">
        <f>IF(B879="","",TRIM(LOWER(C879)&amp;"|"&amp;LOWER(D879)))</f>
        <v/>
      </c>
    </row>
    <row r="880">
      <c r="A880" s="11">
        <f>IF(B880="","",TEXT(ROW()-3,"""DC-""0000"))</f>
        <v/>
      </c>
      <c r="B880" s="5" t="n"/>
      <c r="C880" s="5" t="n"/>
      <c r="D880" s="5" t="n"/>
      <c r="E880" s="5" t="n"/>
      <c r="F880" s="5" t="n"/>
      <c r="G880" s="5" t="n"/>
      <c r="H880" s="8" t="n"/>
      <c r="I880" s="8" t="n"/>
      <c r="J880" s="8" t="n"/>
      <c r="K880" s="11">
        <f>IF(B880="","",MAX(0,IFERROR(I880,0)*IFERROR(H880,0)-IFERROR(J880,0)))</f>
        <v/>
      </c>
      <c r="L880" s="8" t="n"/>
      <c r="M880" s="11">
        <f>IF(B880="","",MAX(0,K880-L880))</f>
        <v/>
      </c>
      <c r="N880" s="11">
        <f>IF(B880="","",IF(L880&gt;=K880,"Paid",IF(L880&gt;0,"Partial","Unpaid")))</f>
        <v/>
      </c>
      <c r="O880" s="5" t="n"/>
      <c r="P880" s="8" t="n"/>
      <c r="Q880" s="8" t="n"/>
      <c r="R880" s="11">
        <f>IF(B880="","",IFERROR(K880,0)+IFERROR(P880,0)-IFERROR(Q880,0))</f>
        <v/>
      </c>
      <c r="S880" s="5" t="n"/>
      <c r="T880" s="5" t="n"/>
      <c r="U880" s="11">
        <f>IF(B880="","",TRIM(LOWER(C880)&amp;"|"&amp;LOWER(D880)))</f>
        <v/>
      </c>
    </row>
    <row r="881">
      <c r="A881" s="11">
        <f>IF(B881="","",TEXT(ROW()-3,"""DC-""0000"))</f>
        <v/>
      </c>
      <c r="B881" s="5" t="n"/>
      <c r="C881" s="5" t="n"/>
      <c r="D881" s="5" t="n"/>
      <c r="E881" s="5" t="n"/>
      <c r="F881" s="5" t="n"/>
      <c r="G881" s="5" t="n"/>
      <c r="H881" s="8" t="n"/>
      <c r="I881" s="8" t="n"/>
      <c r="J881" s="8" t="n"/>
      <c r="K881" s="11">
        <f>IF(B881="","",MAX(0,IFERROR(I881,0)*IFERROR(H881,0)-IFERROR(J881,0)))</f>
        <v/>
      </c>
      <c r="L881" s="8" t="n"/>
      <c r="M881" s="11">
        <f>IF(B881="","",MAX(0,K881-L881))</f>
        <v/>
      </c>
      <c r="N881" s="11">
        <f>IF(B881="","",IF(L881&gt;=K881,"Paid",IF(L881&gt;0,"Partial","Unpaid")))</f>
        <v/>
      </c>
      <c r="O881" s="5" t="n"/>
      <c r="P881" s="8" t="n"/>
      <c r="Q881" s="8" t="n"/>
      <c r="R881" s="11">
        <f>IF(B881="","",IFERROR(K881,0)+IFERROR(P881,0)-IFERROR(Q881,0))</f>
        <v/>
      </c>
      <c r="S881" s="5" t="n"/>
      <c r="T881" s="5" t="n"/>
      <c r="U881" s="11">
        <f>IF(B881="","",TRIM(LOWER(C881)&amp;"|"&amp;LOWER(D881)))</f>
        <v/>
      </c>
    </row>
    <row r="882">
      <c r="A882" s="11">
        <f>IF(B882="","",TEXT(ROW()-3,"""DC-""0000"))</f>
        <v/>
      </c>
      <c r="B882" s="5" t="n"/>
      <c r="C882" s="5" t="n"/>
      <c r="D882" s="5" t="n"/>
      <c r="E882" s="5" t="n"/>
      <c r="F882" s="5" t="n"/>
      <c r="G882" s="5" t="n"/>
      <c r="H882" s="8" t="n"/>
      <c r="I882" s="8" t="n"/>
      <c r="J882" s="8" t="n"/>
      <c r="K882" s="11">
        <f>IF(B882="","",MAX(0,IFERROR(I882,0)*IFERROR(H882,0)-IFERROR(J882,0)))</f>
        <v/>
      </c>
      <c r="L882" s="8" t="n"/>
      <c r="M882" s="11">
        <f>IF(B882="","",MAX(0,K882-L882))</f>
        <v/>
      </c>
      <c r="N882" s="11">
        <f>IF(B882="","",IF(L882&gt;=K882,"Paid",IF(L882&gt;0,"Partial","Unpaid")))</f>
        <v/>
      </c>
      <c r="O882" s="5" t="n"/>
      <c r="P882" s="8" t="n"/>
      <c r="Q882" s="8" t="n"/>
      <c r="R882" s="11">
        <f>IF(B882="","",IFERROR(K882,0)+IFERROR(P882,0)-IFERROR(Q882,0))</f>
        <v/>
      </c>
      <c r="S882" s="5" t="n"/>
      <c r="T882" s="5" t="n"/>
      <c r="U882" s="11">
        <f>IF(B882="","",TRIM(LOWER(C882)&amp;"|"&amp;LOWER(D882)))</f>
        <v/>
      </c>
    </row>
    <row r="883">
      <c r="A883" s="11">
        <f>IF(B883="","",TEXT(ROW()-3,"""DC-""0000"))</f>
        <v/>
      </c>
      <c r="B883" s="5" t="n"/>
      <c r="C883" s="5" t="n"/>
      <c r="D883" s="5" t="n"/>
      <c r="E883" s="5" t="n"/>
      <c r="F883" s="5" t="n"/>
      <c r="G883" s="5" t="n"/>
      <c r="H883" s="8" t="n"/>
      <c r="I883" s="8" t="n"/>
      <c r="J883" s="8" t="n"/>
      <c r="K883" s="11">
        <f>IF(B883="","",MAX(0,IFERROR(I883,0)*IFERROR(H883,0)-IFERROR(J883,0)))</f>
        <v/>
      </c>
      <c r="L883" s="8" t="n"/>
      <c r="M883" s="11">
        <f>IF(B883="","",MAX(0,K883-L883))</f>
        <v/>
      </c>
      <c r="N883" s="11">
        <f>IF(B883="","",IF(L883&gt;=K883,"Paid",IF(L883&gt;0,"Partial","Unpaid")))</f>
        <v/>
      </c>
      <c r="O883" s="5" t="n"/>
      <c r="P883" s="8" t="n"/>
      <c r="Q883" s="8" t="n"/>
      <c r="R883" s="11">
        <f>IF(B883="","",IFERROR(K883,0)+IFERROR(P883,0)-IFERROR(Q883,0))</f>
        <v/>
      </c>
      <c r="S883" s="5" t="n"/>
      <c r="T883" s="5" t="n"/>
      <c r="U883" s="11">
        <f>IF(B883="","",TRIM(LOWER(C883)&amp;"|"&amp;LOWER(D883)))</f>
        <v/>
      </c>
    </row>
    <row r="884">
      <c r="A884" s="11">
        <f>IF(B884="","",TEXT(ROW()-3,"""DC-""0000"))</f>
        <v/>
      </c>
      <c r="B884" s="5" t="n"/>
      <c r="C884" s="5" t="n"/>
      <c r="D884" s="5" t="n"/>
      <c r="E884" s="5" t="n"/>
      <c r="F884" s="5" t="n"/>
      <c r="G884" s="5" t="n"/>
      <c r="H884" s="8" t="n"/>
      <c r="I884" s="8" t="n"/>
      <c r="J884" s="8" t="n"/>
      <c r="K884" s="11">
        <f>IF(B884="","",MAX(0,IFERROR(I884,0)*IFERROR(H884,0)-IFERROR(J884,0)))</f>
        <v/>
      </c>
      <c r="L884" s="8" t="n"/>
      <c r="M884" s="11">
        <f>IF(B884="","",MAX(0,K884-L884))</f>
        <v/>
      </c>
      <c r="N884" s="11">
        <f>IF(B884="","",IF(L884&gt;=K884,"Paid",IF(L884&gt;0,"Partial","Unpaid")))</f>
        <v/>
      </c>
      <c r="O884" s="5" t="n"/>
      <c r="P884" s="8" t="n"/>
      <c r="Q884" s="8" t="n"/>
      <c r="R884" s="11">
        <f>IF(B884="","",IFERROR(K884,0)+IFERROR(P884,0)-IFERROR(Q884,0))</f>
        <v/>
      </c>
      <c r="S884" s="5" t="n"/>
      <c r="T884" s="5" t="n"/>
      <c r="U884" s="11">
        <f>IF(B884="","",TRIM(LOWER(C884)&amp;"|"&amp;LOWER(D884)))</f>
        <v/>
      </c>
    </row>
    <row r="885">
      <c r="A885" s="11">
        <f>IF(B885="","",TEXT(ROW()-3,"""DC-""0000"))</f>
        <v/>
      </c>
      <c r="B885" s="5" t="n"/>
      <c r="C885" s="5" t="n"/>
      <c r="D885" s="5" t="n"/>
      <c r="E885" s="5" t="n"/>
      <c r="F885" s="5" t="n"/>
      <c r="G885" s="5" t="n"/>
      <c r="H885" s="8" t="n"/>
      <c r="I885" s="8" t="n"/>
      <c r="J885" s="8" t="n"/>
      <c r="K885" s="11">
        <f>IF(B885="","",MAX(0,IFERROR(I885,0)*IFERROR(H885,0)-IFERROR(J885,0)))</f>
        <v/>
      </c>
      <c r="L885" s="8" t="n"/>
      <c r="M885" s="11">
        <f>IF(B885="","",MAX(0,K885-L885))</f>
        <v/>
      </c>
      <c r="N885" s="11">
        <f>IF(B885="","",IF(L885&gt;=K885,"Paid",IF(L885&gt;0,"Partial","Unpaid")))</f>
        <v/>
      </c>
      <c r="O885" s="5" t="n"/>
      <c r="P885" s="8" t="n"/>
      <c r="Q885" s="8" t="n"/>
      <c r="R885" s="11">
        <f>IF(B885="","",IFERROR(K885,0)+IFERROR(P885,0)-IFERROR(Q885,0))</f>
        <v/>
      </c>
      <c r="S885" s="5" t="n"/>
      <c r="T885" s="5" t="n"/>
      <c r="U885" s="11">
        <f>IF(B885="","",TRIM(LOWER(C885)&amp;"|"&amp;LOWER(D885)))</f>
        <v/>
      </c>
    </row>
    <row r="886">
      <c r="A886" s="11">
        <f>IF(B886="","",TEXT(ROW()-3,"""DC-""0000"))</f>
        <v/>
      </c>
      <c r="B886" s="5" t="n"/>
      <c r="C886" s="5" t="n"/>
      <c r="D886" s="5" t="n"/>
      <c r="E886" s="5" t="n"/>
      <c r="F886" s="5" t="n"/>
      <c r="G886" s="5" t="n"/>
      <c r="H886" s="8" t="n"/>
      <c r="I886" s="8" t="n"/>
      <c r="J886" s="8" t="n"/>
      <c r="K886" s="11">
        <f>IF(B886="","",MAX(0,IFERROR(I886,0)*IFERROR(H886,0)-IFERROR(J886,0)))</f>
        <v/>
      </c>
      <c r="L886" s="8" t="n"/>
      <c r="M886" s="11">
        <f>IF(B886="","",MAX(0,K886-L886))</f>
        <v/>
      </c>
      <c r="N886" s="11">
        <f>IF(B886="","",IF(L886&gt;=K886,"Paid",IF(L886&gt;0,"Partial","Unpaid")))</f>
        <v/>
      </c>
      <c r="O886" s="5" t="n"/>
      <c r="P886" s="8" t="n"/>
      <c r="Q886" s="8" t="n"/>
      <c r="R886" s="11">
        <f>IF(B886="","",IFERROR(K886,0)+IFERROR(P886,0)-IFERROR(Q886,0))</f>
        <v/>
      </c>
      <c r="S886" s="5" t="n"/>
      <c r="T886" s="5" t="n"/>
      <c r="U886" s="11">
        <f>IF(B886="","",TRIM(LOWER(C886)&amp;"|"&amp;LOWER(D886)))</f>
        <v/>
      </c>
    </row>
    <row r="887">
      <c r="A887" s="11">
        <f>IF(B887="","",TEXT(ROW()-3,"""DC-""0000"))</f>
        <v/>
      </c>
      <c r="B887" s="5" t="n"/>
      <c r="C887" s="5" t="n"/>
      <c r="D887" s="5" t="n"/>
      <c r="E887" s="5" t="n"/>
      <c r="F887" s="5" t="n"/>
      <c r="G887" s="5" t="n"/>
      <c r="H887" s="8" t="n"/>
      <c r="I887" s="8" t="n"/>
      <c r="J887" s="8" t="n"/>
      <c r="K887" s="11">
        <f>IF(B887="","",MAX(0,IFERROR(I887,0)*IFERROR(H887,0)-IFERROR(J887,0)))</f>
        <v/>
      </c>
      <c r="L887" s="8" t="n"/>
      <c r="M887" s="11">
        <f>IF(B887="","",MAX(0,K887-L887))</f>
        <v/>
      </c>
      <c r="N887" s="11">
        <f>IF(B887="","",IF(L887&gt;=K887,"Paid",IF(L887&gt;0,"Partial","Unpaid")))</f>
        <v/>
      </c>
      <c r="O887" s="5" t="n"/>
      <c r="P887" s="8" t="n"/>
      <c r="Q887" s="8" t="n"/>
      <c r="R887" s="11">
        <f>IF(B887="","",IFERROR(K887,0)+IFERROR(P887,0)-IFERROR(Q887,0))</f>
        <v/>
      </c>
      <c r="S887" s="5" t="n"/>
      <c r="T887" s="5" t="n"/>
      <c r="U887" s="11">
        <f>IF(B887="","",TRIM(LOWER(C887)&amp;"|"&amp;LOWER(D887)))</f>
        <v/>
      </c>
    </row>
    <row r="888">
      <c r="A888" s="11">
        <f>IF(B888="","",TEXT(ROW()-3,"""DC-""0000"))</f>
        <v/>
      </c>
      <c r="B888" s="5" t="n"/>
      <c r="C888" s="5" t="n"/>
      <c r="D888" s="5" t="n"/>
      <c r="E888" s="5" t="n"/>
      <c r="F888" s="5" t="n"/>
      <c r="G888" s="5" t="n"/>
      <c r="H888" s="8" t="n"/>
      <c r="I888" s="8" t="n"/>
      <c r="J888" s="8" t="n"/>
      <c r="K888" s="11">
        <f>IF(B888="","",MAX(0,IFERROR(I888,0)*IFERROR(H888,0)-IFERROR(J888,0)))</f>
        <v/>
      </c>
      <c r="L888" s="8" t="n"/>
      <c r="M888" s="11">
        <f>IF(B888="","",MAX(0,K888-L888))</f>
        <v/>
      </c>
      <c r="N888" s="11">
        <f>IF(B888="","",IF(L888&gt;=K888,"Paid",IF(L888&gt;0,"Partial","Unpaid")))</f>
        <v/>
      </c>
      <c r="O888" s="5" t="n"/>
      <c r="P888" s="8" t="n"/>
      <c r="Q888" s="8" t="n"/>
      <c r="R888" s="11">
        <f>IF(B888="","",IFERROR(K888,0)+IFERROR(P888,0)-IFERROR(Q888,0))</f>
        <v/>
      </c>
      <c r="S888" s="5" t="n"/>
      <c r="T888" s="5" t="n"/>
      <c r="U888" s="11">
        <f>IF(B888="","",TRIM(LOWER(C888)&amp;"|"&amp;LOWER(D888)))</f>
        <v/>
      </c>
    </row>
    <row r="889">
      <c r="A889" s="11">
        <f>IF(B889="","",TEXT(ROW()-3,"""DC-""0000"))</f>
        <v/>
      </c>
      <c r="B889" s="5" t="n"/>
      <c r="C889" s="5" t="n"/>
      <c r="D889" s="5" t="n"/>
      <c r="E889" s="5" t="n"/>
      <c r="F889" s="5" t="n"/>
      <c r="G889" s="5" t="n"/>
      <c r="H889" s="8" t="n"/>
      <c r="I889" s="8" t="n"/>
      <c r="J889" s="8" t="n"/>
      <c r="K889" s="11">
        <f>IF(B889="","",MAX(0,IFERROR(I889,0)*IFERROR(H889,0)-IFERROR(J889,0)))</f>
        <v/>
      </c>
      <c r="L889" s="8" t="n"/>
      <c r="M889" s="11">
        <f>IF(B889="","",MAX(0,K889-L889))</f>
        <v/>
      </c>
      <c r="N889" s="11">
        <f>IF(B889="","",IF(L889&gt;=K889,"Paid",IF(L889&gt;0,"Partial","Unpaid")))</f>
        <v/>
      </c>
      <c r="O889" s="5" t="n"/>
      <c r="P889" s="8" t="n"/>
      <c r="Q889" s="8" t="n"/>
      <c r="R889" s="11">
        <f>IF(B889="","",IFERROR(K889,0)+IFERROR(P889,0)-IFERROR(Q889,0))</f>
        <v/>
      </c>
      <c r="S889" s="5" t="n"/>
      <c r="T889" s="5" t="n"/>
      <c r="U889" s="11">
        <f>IF(B889="","",TRIM(LOWER(C889)&amp;"|"&amp;LOWER(D889)))</f>
        <v/>
      </c>
    </row>
    <row r="890">
      <c r="A890" s="11">
        <f>IF(B890="","",TEXT(ROW()-3,"""DC-""0000"))</f>
        <v/>
      </c>
      <c r="B890" s="5" t="n"/>
      <c r="C890" s="5" t="n"/>
      <c r="D890" s="5" t="n"/>
      <c r="E890" s="5" t="n"/>
      <c r="F890" s="5" t="n"/>
      <c r="G890" s="5" t="n"/>
      <c r="H890" s="8" t="n"/>
      <c r="I890" s="8" t="n"/>
      <c r="J890" s="8" t="n"/>
      <c r="K890" s="11">
        <f>IF(B890="","",MAX(0,IFERROR(I890,0)*IFERROR(H890,0)-IFERROR(J890,0)))</f>
        <v/>
      </c>
      <c r="L890" s="8" t="n"/>
      <c r="M890" s="11">
        <f>IF(B890="","",MAX(0,K890-L890))</f>
        <v/>
      </c>
      <c r="N890" s="11">
        <f>IF(B890="","",IF(L890&gt;=K890,"Paid",IF(L890&gt;0,"Partial","Unpaid")))</f>
        <v/>
      </c>
      <c r="O890" s="5" t="n"/>
      <c r="P890" s="8" t="n"/>
      <c r="Q890" s="8" t="n"/>
      <c r="R890" s="11">
        <f>IF(B890="","",IFERROR(K890,0)+IFERROR(P890,0)-IFERROR(Q890,0))</f>
        <v/>
      </c>
      <c r="S890" s="5" t="n"/>
      <c r="T890" s="5" t="n"/>
      <c r="U890" s="11">
        <f>IF(B890="","",TRIM(LOWER(C890)&amp;"|"&amp;LOWER(D890)))</f>
        <v/>
      </c>
    </row>
    <row r="891">
      <c r="A891" s="11">
        <f>IF(B891="","",TEXT(ROW()-3,"""DC-""0000"))</f>
        <v/>
      </c>
      <c r="B891" s="5" t="n"/>
      <c r="C891" s="5" t="n"/>
      <c r="D891" s="5" t="n"/>
      <c r="E891" s="5" t="n"/>
      <c r="F891" s="5" t="n"/>
      <c r="G891" s="5" t="n"/>
      <c r="H891" s="8" t="n"/>
      <c r="I891" s="8" t="n"/>
      <c r="J891" s="8" t="n"/>
      <c r="K891" s="11">
        <f>IF(B891="","",MAX(0,IFERROR(I891,0)*IFERROR(H891,0)-IFERROR(J891,0)))</f>
        <v/>
      </c>
      <c r="L891" s="8" t="n"/>
      <c r="M891" s="11">
        <f>IF(B891="","",MAX(0,K891-L891))</f>
        <v/>
      </c>
      <c r="N891" s="11">
        <f>IF(B891="","",IF(L891&gt;=K891,"Paid",IF(L891&gt;0,"Partial","Unpaid")))</f>
        <v/>
      </c>
      <c r="O891" s="5" t="n"/>
      <c r="P891" s="8" t="n"/>
      <c r="Q891" s="8" t="n"/>
      <c r="R891" s="11">
        <f>IF(B891="","",IFERROR(K891,0)+IFERROR(P891,0)-IFERROR(Q891,0))</f>
        <v/>
      </c>
      <c r="S891" s="5" t="n"/>
      <c r="T891" s="5" t="n"/>
      <c r="U891" s="11">
        <f>IF(B891="","",TRIM(LOWER(C891)&amp;"|"&amp;LOWER(D891)))</f>
        <v/>
      </c>
    </row>
    <row r="892">
      <c r="A892" s="11">
        <f>IF(B892="","",TEXT(ROW()-3,"""DC-""0000"))</f>
        <v/>
      </c>
      <c r="B892" s="5" t="n"/>
      <c r="C892" s="5" t="n"/>
      <c r="D892" s="5" t="n"/>
      <c r="E892" s="5" t="n"/>
      <c r="F892" s="5" t="n"/>
      <c r="G892" s="5" t="n"/>
      <c r="H892" s="8" t="n"/>
      <c r="I892" s="8" t="n"/>
      <c r="J892" s="8" t="n"/>
      <c r="K892" s="11">
        <f>IF(B892="","",MAX(0,IFERROR(I892,0)*IFERROR(H892,0)-IFERROR(J892,0)))</f>
        <v/>
      </c>
      <c r="L892" s="8" t="n"/>
      <c r="M892" s="11">
        <f>IF(B892="","",MAX(0,K892-L892))</f>
        <v/>
      </c>
      <c r="N892" s="11">
        <f>IF(B892="","",IF(L892&gt;=K892,"Paid",IF(L892&gt;0,"Partial","Unpaid")))</f>
        <v/>
      </c>
      <c r="O892" s="5" t="n"/>
      <c r="P892" s="8" t="n"/>
      <c r="Q892" s="8" t="n"/>
      <c r="R892" s="11">
        <f>IF(B892="","",IFERROR(K892,0)+IFERROR(P892,0)-IFERROR(Q892,0))</f>
        <v/>
      </c>
      <c r="S892" s="5" t="n"/>
      <c r="T892" s="5" t="n"/>
      <c r="U892" s="11">
        <f>IF(B892="","",TRIM(LOWER(C892)&amp;"|"&amp;LOWER(D892)))</f>
        <v/>
      </c>
    </row>
    <row r="893">
      <c r="A893" s="11">
        <f>IF(B893="","",TEXT(ROW()-3,"""DC-""0000"))</f>
        <v/>
      </c>
      <c r="B893" s="5" t="n"/>
      <c r="C893" s="5" t="n"/>
      <c r="D893" s="5" t="n"/>
      <c r="E893" s="5" t="n"/>
      <c r="F893" s="5" t="n"/>
      <c r="G893" s="5" t="n"/>
      <c r="H893" s="8" t="n"/>
      <c r="I893" s="8" t="n"/>
      <c r="J893" s="8" t="n"/>
      <c r="K893" s="11">
        <f>IF(B893="","",MAX(0,IFERROR(I893,0)*IFERROR(H893,0)-IFERROR(J893,0)))</f>
        <v/>
      </c>
      <c r="L893" s="8" t="n"/>
      <c r="M893" s="11">
        <f>IF(B893="","",MAX(0,K893-L893))</f>
        <v/>
      </c>
      <c r="N893" s="11">
        <f>IF(B893="","",IF(L893&gt;=K893,"Paid",IF(L893&gt;0,"Partial","Unpaid")))</f>
        <v/>
      </c>
      <c r="O893" s="5" t="n"/>
      <c r="P893" s="8" t="n"/>
      <c r="Q893" s="8" t="n"/>
      <c r="R893" s="11">
        <f>IF(B893="","",IFERROR(K893,0)+IFERROR(P893,0)-IFERROR(Q893,0))</f>
        <v/>
      </c>
      <c r="S893" s="5" t="n"/>
      <c r="T893" s="5" t="n"/>
      <c r="U893" s="11">
        <f>IF(B893="","",TRIM(LOWER(C893)&amp;"|"&amp;LOWER(D893)))</f>
        <v/>
      </c>
    </row>
    <row r="894">
      <c r="A894" s="11">
        <f>IF(B894="","",TEXT(ROW()-3,"""DC-""0000"))</f>
        <v/>
      </c>
      <c r="B894" s="5" t="n"/>
      <c r="C894" s="5" t="n"/>
      <c r="D894" s="5" t="n"/>
      <c r="E894" s="5" t="n"/>
      <c r="F894" s="5" t="n"/>
      <c r="G894" s="5" t="n"/>
      <c r="H894" s="8" t="n"/>
      <c r="I894" s="8" t="n"/>
      <c r="J894" s="8" t="n"/>
      <c r="K894" s="11">
        <f>IF(B894="","",MAX(0,IFERROR(I894,0)*IFERROR(H894,0)-IFERROR(J894,0)))</f>
        <v/>
      </c>
      <c r="L894" s="8" t="n"/>
      <c r="M894" s="11">
        <f>IF(B894="","",MAX(0,K894-L894))</f>
        <v/>
      </c>
      <c r="N894" s="11">
        <f>IF(B894="","",IF(L894&gt;=K894,"Paid",IF(L894&gt;0,"Partial","Unpaid")))</f>
        <v/>
      </c>
      <c r="O894" s="5" t="n"/>
      <c r="P894" s="8" t="n"/>
      <c r="Q894" s="8" t="n"/>
      <c r="R894" s="11">
        <f>IF(B894="","",IFERROR(K894,0)+IFERROR(P894,0)-IFERROR(Q894,0))</f>
        <v/>
      </c>
      <c r="S894" s="5" t="n"/>
      <c r="T894" s="5" t="n"/>
      <c r="U894" s="11">
        <f>IF(B894="","",TRIM(LOWER(C894)&amp;"|"&amp;LOWER(D894)))</f>
        <v/>
      </c>
    </row>
    <row r="895">
      <c r="A895" s="11">
        <f>IF(B895="","",TEXT(ROW()-3,"""DC-""0000"))</f>
        <v/>
      </c>
      <c r="B895" s="5" t="n"/>
      <c r="C895" s="5" t="n"/>
      <c r="D895" s="5" t="n"/>
      <c r="E895" s="5" t="n"/>
      <c r="F895" s="5" t="n"/>
      <c r="G895" s="5" t="n"/>
      <c r="H895" s="8" t="n"/>
      <c r="I895" s="8" t="n"/>
      <c r="J895" s="8" t="n"/>
      <c r="K895" s="11">
        <f>IF(B895="","",MAX(0,IFERROR(I895,0)*IFERROR(H895,0)-IFERROR(J895,0)))</f>
        <v/>
      </c>
      <c r="L895" s="8" t="n"/>
      <c r="M895" s="11">
        <f>IF(B895="","",MAX(0,K895-L895))</f>
        <v/>
      </c>
      <c r="N895" s="11">
        <f>IF(B895="","",IF(L895&gt;=K895,"Paid",IF(L895&gt;0,"Partial","Unpaid")))</f>
        <v/>
      </c>
      <c r="O895" s="5" t="n"/>
      <c r="P895" s="8" t="n"/>
      <c r="Q895" s="8" t="n"/>
      <c r="R895" s="11">
        <f>IF(B895="","",IFERROR(K895,0)+IFERROR(P895,0)-IFERROR(Q895,0))</f>
        <v/>
      </c>
      <c r="S895" s="5" t="n"/>
      <c r="T895" s="5" t="n"/>
      <c r="U895" s="11">
        <f>IF(B895="","",TRIM(LOWER(C895)&amp;"|"&amp;LOWER(D895)))</f>
        <v/>
      </c>
    </row>
    <row r="896">
      <c r="A896" s="11">
        <f>IF(B896="","",TEXT(ROW()-3,"""DC-""0000"))</f>
        <v/>
      </c>
      <c r="B896" s="5" t="n"/>
      <c r="C896" s="5" t="n"/>
      <c r="D896" s="5" t="n"/>
      <c r="E896" s="5" t="n"/>
      <c r="F896" s="5" t="n"/>
      <c r="G896" s="5" t="n"/>
      <c r="H896" s="8" t="n"/>
      <c r="I896" s="8" t="n"/>
      <c r="J896" s="8" t="n"/>
      <c r="K896" s="11">
        <f>IF(B896="","",MAX(0,IFERROR(I896,0)*IFERROR(H896,0)-IFERROR(J896,0)))</f>
        <v/>
      </c>
      <c r="L896" s="8" t="n"/>
      <c r="M896" s="11">
        <f>IF(B896="","",MAX(0,K896-L896))</f>
        <v/>
      </c>
      <c r="N896" s="11">
        <f>IF(B896="","",IF(L896&gt;=K896,"Paid",IF(L896&gt;0,"Partial","Unpaid")))</f>
        <v/>
      </c>
      <c r="O896" s="5" t="n"/>
      <c r="P896" s="8" t="n"/>
      <c r="Q896" s="8" t="n"/>
      <c r="R896" s="11">
        <f>IF(B896="","",IFERROR(K896,0)+IFERROR(P896,0)-IFERROR(Q896,0))</f>
        <v/>
      </c>
      <c r="S896" s="5" t="n"/>
      <c r="T896" s="5" t="n"/>
      <c r="U896" s="11">
        <f>IF(B896="","",TRIM(LOWER(C896)&amp;"|"&amp;LOWER(D896)))</f>
        <v/>
      </c>
    </row>
    <row r="897">
      <c r="A897" s="11">
        <f>IF(B897="","",TEXT(ROW()-3,"""DC-""0000"))</f>
        <v/>
      </c>
      <c r="B897" s="5" t="n"/>
      <c r="C897" s="5" t="n"/>
      <c r="D897" s="5" t="n"/>
      <c r="E897" s="5" t="n"/>
      <c r="F897" s="5" t="n"/>
      <c r="G897" s="5" t="n"/>
      <c r="H897" s="8" t="n"/>
      <c r="I897" s="8" t="n"/>
      <c r="J897" s="8" t="n"/>
      <c r="K897" s="11">
        <f>IF(B897="","",MAX(0,IFERROR(I897,0)*IFERROR(H897,0)-IFERROR(J897,0)))</f>
        <v/>
      </c>
      <c r="L897" s="8" t="n"/>
      <c r="M897" s="11">
        <f>IF(B897="","",MAX(0,K897-L897))</f>
        <v/>
      </c>
      <c r="N897" s="11">
        <f>IF(B897="","",IF(L897&gt;=K897,"Paid",IF(L897&gt;0,"Partial","Unpaid")))</f>
        <v/>
      </c>
      <c r="O897" s="5" t="n"/>
      <c r="P897" s="8" t="n"/>
      <c r="Q897" s="8" t="n"/>
      <c r="R897" s="11">
        <f>IF(B897="","",IFERROR(K897,0)+IFERROR(P897,0)-IFERROR(Q897,0))</f>
        <v/>
      </c>
      <c r="S897" s="5" t="n"/>
      <c r="T897" s="5" t="n"/>
      <c r="U897" s="11">
        <f>IF(B897="","",TRIM(LOWER(C897)&amp;"|"&amp;LOWER(D897)))</f>
        <v/>
      </c>
    </row>
    <row r="898">
      <c r="A898" s="11">
        <f>IF(B898="","",TEXT(ROW()-3,"""DC-""0000"))</f>
        <v/>
      </c>
      <c r="B898" s="5" t="n"/>
      <c r="C898" s="5" t="n"/>
      <c r="D898" s="5" t="n"/>
      <c r="E898" s="5" t="n"/>
      <c r="F898" s="5" t="n"/>
      <c r="G898" s="5" t="n"/>
      <c r="H898" s="8" t="n"/>
      <c r="I898" s="8" t="n"/>
      <c r="J898" s="8" t="n"/>
      <c r="K898" s="11">
        <f>IF(B898="","",MAX(0,IFERROR(I898,0)*IFERROR(H898,0)-IFERROR(J898,0)))</f>
        <v/>
      </c>
      <c r="L898" s="8" t="n"/>
      <c r="M898" s="11">
        <f>IF(B898="","",MAX(0,K898-L898))</f>
        <v/>
      </c>
      <c r="N898" s="11">
        <f>IF(B898="","",IF(L898&gt;=K898,"Paid",IF(L898&gt;0,"Partial","Unpaid")))</f>
        <v/>
      </c>
      <c r="O898" s="5" t="n"/>
      <c r="P898" s="8" t="n"/>
      <c r="Q898" s="8" t="n"/>
      <c r="R898" s="11">
        <f>IF(B898="","",IFERROR(K898,0)+IFERROR(P898,0)-IFERROR(Q898,0))</f>
        <v/>
      </c>
      <c r="S898" s="5" t="n"/>
      <c r="T898" s="5" t="n"/>
      <c r="U898" s="11">
        <f>IF(B898="","",TRIM(LOWER(C898)&amp;"|"&amp;LOWER(D898)))</f>
        <v/>
      </c>
    </row>
    <row r="899">
      <c r="A899" s="11">
        <f>IF(B899="","",TEXT(ROW()-3,"""DC-""0000"))</f>
        <v/>
      </c>
      <c r="B899" s="5" t="n"/>
      <c r="C899" s="5" t="n"/>
      <c r="D899" s="5" t="n"/>
      <c r="E899" s="5" t="n"/>
      <c r="F899" s="5" t="n"/>
      <c r="G899" s="5" t="n"/>
      <c r="H899" s="8" t="n"/>
      <c r="I899" s="8" t="n"/>
      <c r="J899" s="8" t="n"/>
      <c r="K899" s="11">
        <f>IF(B899="","",MAX(0,IFERROR(I899,0)*IFERROR(H899,0)-IFERROR(J899,0)))</f>
        <v/>
      </c>
      <c r="L899" s="8" t="n"/>
      <c r="M899" s="11">
        <f>IF(B899="","",MAX(0,K899-L899))</f>
        <v/>
      </c>
      <c r="N899" s="11">
        <f>IF(B899="","",IF(L899&gt;=K899,"Paid",IF(L899&gt;0,"Partial","Unpaid")))</f>
        <v/>
      </c>
      <c r="O899" s="5" t="n"/>
      <c r="P899" s="8" t="n"/>
      <c r="Q899" s="8" t="n"/>
      <c r="R899" s="11">
        <f>IF(B899="","",IFERROR(K899,0)+IFERROR(P899,0)-IFERROR(Q899,0))</f>
        <v/>
      </c>
      <c r="S899" s="5" t="n"/>
      <c r="T899" s="5" t="n"/>
      <c r="U899" s="11">
        <f>IF(B899="","",TRIM(LOWER(C899)&amp;"|"&amp;LOWER(D899)))</f>
        <v/>
      </c>
    </row>
    <row r="900">
      <c r="A900" s="11">
        <f>IF(B900="","",TEXT(ROW()-3,"""DC-""0000"))</f>
        <v/>
      </c>
      <c r="B900" s="5" t="n"/>
      <c r="C900" s="5" t="n"/>
      <c r="D900" s="5" t="n"/>
      <c r="E900" s="5" t="n"/>
      <c r="F900" s="5" t="n"/>
      <c r="G900" s="5" t="n"/>
      <c r="H900" s="8" t="n"/>
      <c r="I900" s="8" t="n"/>
      <c r="J900" s="8" t="n"/>
      <c r="K900" s="11">
        <f>IF(B900="","",MAX(0,IFERROR(I900,0)*IFERROR(H900,0)-IFERROR(J900,0)))</f>
        <v/>
      </c>
      <c r="L900" s="8" t="n"/>
      <c r="M900" s="11">
        <f>IF(B900="","",MAX(0,K900-L900))</f>
        <v/>
      </c>
      <c r="N900" s="11">
        <f>IF(B900="","",IF(L900&gt;=K900,"Paid",IF(L900&gt;0,"Partial","Unpaid")))</f>
        <v/>
      </c>
      <c r="O900" s="5" t="n"/>
      <c r="P900" s="8" t="n"/>
      <c r="Q900" s="8" t="n"/>
      <c r="R900" s="11">
        <f>IF(B900="","",IFERROR(K900,0)+IFERROR(P900,0)-IFERROR(Q900,0))</f>
        <v/>
      </c>
      <c r="S900" s="5" t="n"/>
      <c r="T900" s="5" t="n"/>
      <c r="U900" s="11">
        <f>IF(B900="","",TRIM(LOWER(C900)&amp;"|"&amp;LOWER(D900)))</f>
        <v/>
      </c>
    </row>
    <row r="901">
      <c r="A901" s="11">
        <f>IF(B901="","",TEXT(ROW()-3,"""DC-""0000"))</f>
        <v/>
      </c>
      <c r="B901" s="5" t="n"/>
      <c r="C901" s="5" t="n"/>
      <c r="D901" s="5" t="n"/>
      <c r="E901" s="5" t="n"/>
      <c r="F901" s="5" t="n"/>
      <c r="G901" s="5" t="n"/>
      <c r="H901" s="8" t="n"/>
      <c r="I901" s="8" t="n"/>
      <c r="J901" s="8" t="n"/>
      <c r="K901" s="11">
        <f>IF(B901="","",MAX(0,IFERROR(I901,0)*IFERROR(H901,0)-IFERROR(J901,0)))</f>
        <v/>
      </c>
      <c r="L901" s="8" t="n"/>
      <c r="M901" s="11">
        <f>IF(B901="","",MAX(0,K901-L901))</f>
        <v/>
      </c>
      <c r="N901" s="11">
        <f>IF(B901="","",IF(L901&gt;=K901,"Paid",IF(L901&gt;0,"Partial","Unpaid")))</f>
        <v/>
      </c>
      <c r="O901" s="5" t="n"/>
      <c r="P901" s="8" t="n"/>
      <c r="Q901" s="8" t="n"/>
      <c r="R901" s="11">
        <f>IF(B901="","",IFERROR(K901,0)+IFERROR(P901,0)-IFERROR(Q901,0))</f>
        <v/>
      </c>
      <c r="S901" s="5" t="n"/>
      <c r="T901" s="5" t="n"/>
      <c r="U901" s="11">
        <f>IF(B901="","",TRIM(LOWER(C901)&amp;"|"&amp;LOWER(D901)))</f>
        <v/>
      </c>
    </row>
    <row r="902">
      <c r="A902" s="11">
        <f>IF(B902="","",TEXT(ROW()-3,"""DC-""0000"))</f>
        <v/>
      </c>
      <c r="B902" s="5" t="n"/>
      <c r="C902" s="5" t="n"/>
      <c r="D902" s="5" t="n"/>
      <c r="E902" s="5" t="n"/>
      <c r="F902" s="5" t="n"/>
      <c r="G902" s="5" t="n"/>
      <c r="H902" s="8" t="n"/>
      <c r="I902" s="8" t="n"/>
      <c r="J902" s="8" t="n"/>
      <c r="K902" s="11">
        <f>IF(B902="","",MAX(0,IFERROR(I902,0)*IFERROR(H902,0)-IFERROR(J902,0)))</f>
        <v/>
      </c>
      <c r="L902" s="8" t="n"/>
      <c r="M902" s="11">
        <f>IF(B902="","",MAX(0,K902-L902))</f>
        <v/>
      </c>
      <c r="N902" s="11">
        <f>IF(B902="","",IF(L902&gt;=K902,"Paid",IF(L902&gt;0,"Partial","Unpaid")))</f>
        <v/>
      </c>
      <c r="O902" s="5" t="n"/>
      <c r="P902" s="8" t="n"/>
      <c r="Q902" s="8" t="n"/>
      <c r="R902" s="11">
        <f>IF(B902="","",IFERROR(K902,0)+IFERROR(P902,0)-IFERROR(Q902,0))</f>
        <v/>
      </c>
      <c r="S902" s="5" t="n"/>
      <c r="T902" s="5" t="n"/>
      <c r="U902" s="11">
        <f>IF(B902="","",TRIM(LOWER(C902)&amp;"|"&amp;LOWER(D902)))</f>
        <v/>
      </c>
    </row>
    <row r="903">
      <c r="A903" s="11">
        <f>IF(B903="","",TEXT(ROW()-3,"""DC-""0000"))</f>
        <v/>
      </c>
      <c r="B903" s="5" t="n"/>
      <c r="C903" s="5" t="n"/>
      <c r="D903" s="5" t="n"/>
      <c r="E903" s="5" t="n"/>
      <c r="F903" s="5" t="n"/>
      <c r="G903" s="5" t="n"/>
      <c r="H903" s="8" t="n"/>
      <c r="I903" s="8" t="n"/>
      <c r="J903" s="8" t="n"/>
      <c r="K903" s="11">
        <f>IF(B903="","",MAX(0,IFERROR(I903,0)*IFERROR(H903,0)-IFERROR(J903,0)))</f>
        <v/>
      </c>
      <c r="L903" s="8" t="n"/>
      <c r="M903" s="11">
        <f>IF(B903="","",MAX(0,K903-L903))</f>
        <v/>
      </c>
      <c r="N903" s="11">
        <f>IF(B903="","",IF(L903&gt;=K903,"Paid",IF(L903&gt;0,"Partial","Unpaid")))</f>
        <v/>
      </c>
      <c r="O903" s="5" t="n"/>
      <c r="P903" s="8" t="n"/>
      <c r="Q903" s="8" t="n"/>
      <c r="R903" s="11">
        <f>IF(B903="","",IFERROR(K903,0)+IFERROR(P903,0)-IFERROR(Q903,0))</f>
        <v/>
      </c>
      <c r="S903" s="5" t="n"/>
      <c r="T903" s="5" t="n"/>
      <c r="U903" s="11">
        <f>IF(B903="","",TRIM(LOWER(C903)&amp;"|"&amp;LOWER(D903)))</f>
        <v/>
      </c>
    </row>
    <row r="904">
      <c r="A904" s="11">
        <f>IF(B904="","",TEXT(ROW()-3,"""DC-""0000"))</f>
        <v/>
      </c>
      <c r="B904" s="5" t="n"/>
      <c r="C904" s="5" t="n"/>
      <c r="D904" s="5" t="n"/>
      <c r="E904" s="5" t="n"/>
      <c r="F904" s="5" t="n"/>
      <c r="G904" s="5" t="n"/>
      <c r="H904" s="8" t="n"/>
      <c r="I904" s="8" t="n"/>
      <c r="J904" s="8" t="n"/>
      <c r="K904" s="11">
        <f>IF(B904="","",MAX(0,IFERROR(I904,0)*IFERROR(H904,0)-IFERROR(J904,0)))</f>
        <v/>
      </c>
      <c r="L904" s="8" t="n"/>
      <c r="M904" s="11">
        <f>IF(B904="","",MAX(0,K904-L904))</f>
        <v/>
      </c>
      <c r="N904" s="11">
        <f>IF(B904="","",IF(L904&gt;=K904,"Paid",IF(L904&gt;0,"Partial","Unpaid")))</f>
        <v/>
      </c>
      <c r="O904" s="5" t="n"/>
      <c r="P904" s="8" t="n"/>
      <c r="Q904" s="8" t="n"/>
      <c r="R904" s="11">
        <f>IF(B904="","",IFERROR(K904,0)+IFERROR(P904,0)-IFERROR(Q904,0))</f>
        <v/>
      </c>
      <c r="S904" s="5" t="n"/>
      <c r="T904" s="5" t="n"/>
      <c r="U904" s="11">
        <f>IF(B904="","",TRIM(LOWER(C904)&amp;"|"&amp;LOWER(D904)))</f>
        <v/>
      </c>
    </row>
    <row r="905">
      <c r="A905" s="11">
        <f>IF(B905="","",TEXT(ROW()-3,"""DC-""0000"))</f>
        <v/>
      </c>
      <c r="B905" s="5" t="n"/>
      <c r="C905" s="5" t="n"/>
      <c r="D905" s="5" t="n"/>
      <c r="E905" s="5" t="n"/>
      <c r="F905" s="5" t="n"/>
      <c r="G905" s="5" t="n"/>
      <c r="H905" s="8" t="n"/>
      <c r="I905" s="8" t="n"/>
      <c r="J905" s="8" t="n"/>
      <c r="K905" s="11">
        <f>IF(B905="","",MAX(0,IFERROR(I905,0)*IFERROR(H905,0)-IFERROR(J905,0)))</f>
        <v/>
      </c>
      <c r="L905" s="8" t="n"/>
      <c r="M905" s="11">
        <f>IF(B905="","",MAX(0,K905-L905))</f>
        <v/>
      </c>
      <c r="N905" s="11">
        <f>IF(B905="","",IF(L905&gt;=K905,"Paid",IF(L905&gt;0,"Partial","Unpaid")))</f>
        <v/>
      </c>
      <c r="O905" s="5" t="n"/>
      <c r="P905" s="8" t="n"/>
      <c r="Q905" s="8" t="n"/>
      <c r="R905" s="11">
        <f>IF(B905="","",IFERROR(K905,0)+IFERROR(P905,0)-IFERROR(Q905,0))</f>
        <v/>
      </c>
      <c r="S905" s="5" t="n"/>
      <c r="T905" s="5" t="n"/>
      <c r="U905" s="11">
        <f>IF(B905="","",TRIM(LOWER(C905)&amp;"|"&amp;LOWER(D905)))</f>
        <v/>
      </c>
    </row>
    <row r="906">
      <c r="A906" s="11">
        <f>IF(B906="","",TEXT(ROW()-3,"""DC-""0000"))</f>
        <v/>
      </c>
      <c r="B906" s="5" t="n"/>
      <c r="C906" s="5" t="n"/>
      <c r="D906" s="5" t="n"/>
      <c r="E906" s="5" t="n"/>
      <c r="F906" s="5" t="n"/>
      <c r="G906" s="5" t="n"/>
      <c r="H906" s="8" t="n"/>
      <c r="I906" s="8" t="n"/>
      <c r="J906" s="8" t="n"/>
      <c r="K906" s="11">
        <f>IF(B906="","",MAX(0,IFERROR(I906,0)*IFERROR(H906,0)-IFERROR(J906,0)))</f>
        <v/>
      </c>
      <c r="L906" s="8" t="n"/>
      <c r="M906" s="11">
        <f>IF(B906="","",MAX(0,K906-L906))</f>
        <v/>
      </c>
      <c r="N906" s="11">
        <f>IF(B906="","",IF(L906&gt;=K906,"Paid",IF(L906&gt;0,"Partial","Unpaid")))</f>
        <v/>
      </c>
      <c r="O906" s="5" t="n"/>
      <c r="P906" s="8" t="n"/>
      <c r="Q906" s="8" t="n"/>
      <c r="R906" s="11">
        <f>IF(B906="","",IFERROR(K906,0)+IFERROR(P906,0)-IFERROR(Q906,0))</f>
        <v/>
      </c>
      <c r="S906" s="5" t="n"/>
      <c r="T906" s="5" t="n"/>
      <c r="U906" s="11">
        <f>IF(B906="","",TRIM(LOWER(C906)&amp;"|"&amp;LOWER(D906)))</f>
        <v/>
      </c>
    </row>
    <row r="907">
      <c r="A907" s="11">
        <f>IF(B907="","",TEXT(ROW()-3,"""DC-""0000"))</f>
        <v/>
      </c>
      <c r="B907" s="5" t="n"/>
      <c r="C907" s="5" t="n"/>
      <c r="D907" s="5" t="n"/>
      <c r="E907" s="5" t="n"/>
      <c r="F907" s="5" t="n"/>
      <c r="G907" s="5" t="n"/>
      <c r="H907" s="8" t="n"/>
      <c r="I907" s="8" t="n"/>
      <c r="J907" s="8" t="n"/>
      <c r="K907" s="11">
        <f>IF(B907="","",MAX(0,IFERROR(I907,0)*IFERROR(H907,0)-IFERROR(J907,0)))</f>
        <v/>
      </c>
      <c r="L907" s="8" t="n"/>
      <c r="M907" s="11">
        <f>IF(B907="","",MAX(0,K907-L907))</f>
        <v/>
      </c>
      <c r="N907" s="11">
        <f>IF(B907="","",IF(L907&gt;=K907,"Paid",IF(L907&gt;0,"Partial","Unpaid")))</f>
        <v/>
      </c>
      <c r="O907" s="5" t="n"/>
      <c r="P907" s="8" t="n"/>
      <c r="Q907" s="8" t="n"/>
      <c r="R907" s="11">
        <f>IF(B907="","",IFERROR(K907,0)+IFERROR(P907,0)-IFERROR(Q907,0))</f>
        <v/>
      </c>
      <c r="S907" s="5" t="n"/>
      <c r="T907" s="5" t="n"/>
      <c r="U907" s="11">
        <f>IF(B907="","",TRIM(LOWER(C907)&amp;"|"&amp;LOWER(D907)))</f>
        <v/>
      </c>
    </row>
    <row r="908">
      <c r="A908" s="11">
        <f>IF(B908="","",TEXT(ROW()-3,"""DC-""0000"))</f>
        <v/>
      </c>
      <c r="B908" s="5" t="n"/>
      <c r="C908" s="5" t="n"/>
      <c r="D908" s="5" t="n"/>
      <c r="E908" s="5" t="n"/>
      <c r="F908" s="5" t="n"/>
      <c r="G908" s="5" t="n"/>
      <c r="H908" s="8" t="n"/>
      <c r="I908" s="8" t="n"/>
      <c r="J908" s="8" t="n"/>
      <c r="K908" s="11">
        <f>IF(B908="","",MAX(0,IFERROR(I908,0)*IFERROR(H908,0)-IFERROR(J908,0)))</f>
        <v/>
      </c>
      <c r="L908" s="8" t="n"/>
      <c r="M908" s="11">
        <f>IF(B908="","",MAX(0,K908-L908))</f>
        <v/>
      </c>
      <c r="N908" s="11">
        <f>IF(B908="","",IF(L908&gt;=K908,"Paid",IF(L908&gt;0,"Partial","Unpaid")))</f>
        <v/>
      </c>
      <c r="O908" s="5" t="n"/>
      <c r="P908" s="8" t="n"/>
      <c r="Q908" s="8" t="n"/>
      <c r="R908" s="11">
        <f>IF(B908="","",IFERROR(K908,0)+IFERROR(P908,0)-IFERROR(Q908,0))</f>
        <v/>
      </c>
      <c r="S908" s="5" t="n"/>
      <c r="T908" s="5" t="n"/>
      <c r="U908" s="11">
        <f>IF(B908="","",TRIM(LOWER(C908)&amp;"|"&amp;LOWER(D908)))</f>
        <v/>
      </c>
    </row>
    <row r="909">
      <c r="A909" s="11">
        <f>IF(B909="","",TEXT(ROW()-3,"""DC-""0000"))</f>
        <v/>
      </c>
      <c r="B909" s="5" t="n"/>
      <c r="C909" s="5" t="n"/>
      <c r="D909" s="5" t="n"/>
      <c r="E909" s="5" t="n"/>
      <c r="F909" s="5" t="n"/>
      <c r="G909" s="5" t="n"/>
      <c r="H909" s="8" t="n"/>
      <c r="I909" s="8" t="n"/>
      <c r="J909" s="8" t="n"/>
      <c r="K909" s="11">
        <f>IF(B909="","",MAX(0,IFERROR(I909,0)*IFERROR(H909,0)-IFERROR(J909,0)))</f>
        <v/>
      </c>
      <c r="L909" s="8" t="n"/>
      <c r="M909" s="11">
        <f>IF(B909="","",MAX(0,K909-L909))</f>
        <v/>
      </c>
      <c r="N909" s="11">
        <f>IF(B909="","",IF(L909&gt;=K909,"Paid",IF(L909&gt;0,"Partial","Unpaid")))</f>
        <v/>
      </c>
      <c r="O909" s="5" t="n"/>
      <c r="P909" s="8" t="n"/>
      <c r="Q909" s="8" t="n"/>
      <c r="R909" s="11">
        <f>IF(B909="","",IFERROR(K909,0)+IFERROR(P909,0)-IFERROR(Q909,0))</f>
        <v/>
      </c>
      <c r="S909" s="5" t="n"/>
      <c r="T909" s="5" t="n"/>
      <c r="U909" s="11">
        <f>IF(B909="","",TRIM(LOWER(C909)&amp;"|"&amp;LOWER(D909)))</f>
        <v/>
      </c>
    </row>
    <row r="910">
      <c r="A910" s="11">
        <f>IF(B910="","",TEXT(ROW()-3,"""DC-""0000"))</f>
        <v/>
      </c>
      <c r="B910" s="5" t="n"/>
      <c r="C910" s="5" t="n"/>
      <c r="D910" s="5" t="n"/>
      <c r="E910" s="5" t="n"/>
      <c r="F910" s="5" t="n"/>
      <c r="G910" s="5" t="n"/>
      <c r="H910" s="8" t="n"/>
      <c r="I910" s="8" t="n"/>
      <c r="J910" s="8" t="n"/>
      <c r="K910" s="11">
        <f>IF(B910="","",MAX(0,IFERROR(I910,0)*IFERROR(H910,0)-IFERROR(J910,0)))</f>
        <v/>
      </c>
      <c r="L910" s="8" t="n"/>
      <c r="M910" s="11">
        <f>IF(B910="","",MAX(0,K910-L910))</f>
        <v/>
      </c>
      <c r="N910" s="11">
        <f>IF(B910="","",IF(L910&gt;=K910,"Paid",IF(L910&gt;0,"Partial","Unpaid")))</f>
        <v/>
      </c>
      <c r="O910" s="5" t="n"/>
      <c r="P910" s="8" t="n"/>
      <c r="Q910" s="8" t="n"/>
      <c r="R910" s="11">
        <f>IF(B910="","",IFERROR(K910,0)+IFERROR(P910,0)-IFERROR(Q910,0))</f>
        <v/>
      </c>
      <c r="S910" s="5" t="n"/>
      <c r="T910" s="5" t="n"/>
      <c r="U910" s="11">
        <f>IF(B910="","",TRIM(LOWER(C910)&amp;"|"&amp;LOWER(D910)))</f>
        <v/>
      </c>
    </row>
    <row r="911">
      <c r="A911" s="11">
        <f>IF(B911="","",TEXT(ROW()-3,"""DC-""0000"))</f>
        <v/>
      </c>
      <c r="B911" s="5" t="n"/>
      <c r="C911" s="5" t="n"/>
      <c r="D911" s="5" t="n"/>
      <c r="E911" s="5" t="n"/>
      <c r="F911" s="5" t="n"/>
      <c r="G911" s="5" t="n"/>
      <c r="H911" s="8" t="n"/>
      <c r="I911" s="8" t="n"/>
      <c r="J911" s="8" t="n"/>
      <c r="K911" s="11">
        <f>IF(B911="","",MAX(0,IFERROR(I911,0)*IFERROR(H911,0)-IFERROR(J911,0)))</f>
        <v/>
      </c>
      <c r="L911" s="8" t="n"/>
      <c r="M911" s="11">
        <f>IF(B911="","",MAX(0,K911-L911))</f>
        <v/>
      </c>
      <c r="N911" s="11">
        <f>IF(B911="","",IF(L911&gt;=K911,"Paid",IF(L911&gt;0,"Partial","Unpaid")))</f>
        <v/>
      </c>
      <c r="O911" s="5" t="n"/>
      <c r="P911" s="8" t="n"/>
      <c r="Q911" s="8" t="n"/>
      <c r="R911" s="11">
        <f>IF(B911="","",IFERROR(K911,0)+IFERROR(P911,0)-IFERROR(Q911,0))</f>
        <v/>
      </c>
      <c r="S911" s="5" t="n"/>
      <c r="T911" s="5" t="n"/>
      <c r="U911" s="11">
        <f>IF(B911="","",TRIM(LOWER(C911)&amp;"|"&amp;LOWER(D911)))</f>
        <v/>
      </c>
    </row>
    <row r="912">
      <c r="A912" s="11">
        <f>IF(B912="","",TEXT(ROW()-3,"""DC-""0000"))</f>
        <v/>
      </c>
      <c r="B912" s="5" t="n"/>
      <c r="C912" s="5" t="n"/>
      <c r="D912" s="5" t="n"/>
      <c r="E912" s="5" t="n"/>
      <c r="F912" s="5" t="n"/>
      <c r="G912" s="5" t="n"/>
      <c r="H912" s="8" t="n"/>
      <c r="I912" s="8" t="n"/>
      <c r="J912" s="8" t="n"/>
      <c r="K912" s="11">
        <f>IF(B912="","",MAX(0,IFERROR(I912,0)*IFERROR(H912,0)-IFERROR(J912,0)))</f>
        <v/>
      </c>
      <c r="L912" s="8" t="n"/>
      <c r="M912" s="11">
        <f>IF(B912="","",MAX(0,K912-L912))</f>
        <v/>
      </c>
      <c r="N912" s="11">
        <f>IF(B912="","",IF(L912&gt;=K912,"Paid",IF(L912&gt;0,"Partial","Unpaid")))</f>
        <v/>
      </c>
      <c r="O912" s="5" t="n"/>
      <c r="P912" s="8" t="n"/>
      <c r="Q912" s="8" t="n"/>
      <c r="R912" s="11">
        <f>IF(B912="","",IFERROR(K912,0)+IFERROR(P912,0)-IFERROR(Q912,0))</f>
        <v/>
      </c>
      <c r="S912" s="5" t="n"/>
      <c r="T912" s="5" t="n"/>
      <c r="U912" s="11">
        <f>IF(B912="","",TRIM(LOWER(C912)&amp;"|"&amp;LOWER(D912)))</f>
        <v/>
      </c>
    </row>
    <row r="913">
      <c r="A913" s="11">
        <f>IF(B913="","",TEXT(ROW()-3,"""DC-""0000"))</f>
        <v/>
      </c>
      <c r="B913" s="5" t="n"/>
      <c r="C913" s="5" t="n"/>
      <c r="D913" s="5" t="n"/>
      <c r="E913" s="5" t="n"/>
      <c r="F913" s="5" t="n"/>
      <c r="G913" s="5" t="n"/>
      <c r="H913" s="8" t="n"/>
      <c r="I913" s="8" t="n"/>
      <c r="J913" s="8" t="n"/>
      <c r="K913" s="11">
        <f>IF(B913="","",MAX(0,IFERROR(I913,0)*IFERROR(H913,0)-IFERROR(J913,0)))</f>
        <v/>
      </c>
      <c r="L913" s="8" t="n"/>
      <c r="M913" s="11">
        <f>IF(B913="","",MAX(0,K913-L913))</f>
        <v/>
      </c>
      <c r="N913" s="11">
        <f>IF(B913="","",IF(L913&gt;=K913,"Paid",IF(L913&gt;0,"Partial","Unpaid")))</f>
        <v/>
      </c>
      <c r="O913" s="5" t="n"/>
      <c r="P913" s="8" t="n"/>
      <c r="Q913" s="8" t="n"/>
      <c r="R913" s="11">
        <f>IF(B913="","",IFERROR(K913,0)+IFERROR(P913,0)-IFERROR(Q913,0))</f>
        <v/>
      </c>
      <c r="S913" s="5" t="n"/>
      <c r="T913" s="5" t="n"/>
      <c r="U913" s="11">
        <f>IF(B913="","",TRIM(LOWER(C913)&amp;"|"&amp;LOWER(D913)))</f>
        <v/>
      </c>
    </row>
    <row r="914">
      <c r="A914" s="11">
        <f>IF(B914="","",TEXT(ROW()-3,"""DC-""0000"))</f>
        <v/>
      </c>
      <c r="B914" s="5" t="n"/>
      <c r="C914" s="5" t="n"/>
      <c r="D914" s="5" t="n"/>
      <c r="E914" s="5" t="n"/>
      <c r="F914" s="5" t="n"/>
      <c r="G914" s="5" t="n"/>
      <c r="H914" s="8" t="n"/>
      <c r="I914" s="8" t="n"/>
      <c r="J914" s="8" t="n"/>
      <c r="K914" s="11">
        <f>IF(B914="","",MAX(0,IFERROR(I914,0)*IFERROR(H914,0)-IFERROR(J914,0)))</f>
        <v/>
      </c>
      <c r="L914" s="8" t="n"/>
      <c r="M914" s="11">
        <f>IF(B914="","",MAX(0,K914-L914))</f>
        <v/>
      </c>
      <c r="N914" s="11">
        <f>IF(B914="","",IF(L914&gt;=K914,"Paid",IF(L914&gt;0,"Partial","Unpaid")))</f>
        <v/>
      </c>
      <c r="O914" s="5" t="n"/>
      <c r="P914" s="8" t="n"/>
      <c r="Q914" s="8" t="n"/>
      <c r="R914" s="11">
        <f>IF(B914="","",IFERROR(K914,0)+IFERROR(P914,0)-IFERROR(Q914,0))</f>
        <v/>
      </c>
      <c r="S914" s="5" t="n"/>
      <c r="T914" s="5" t="n"/>
      <c r="U914" s="11">
        <f>IF(B914="","",TRIM(LOWER(C914)&amp;"|"&amp;LOWER(D914)))</f>
        <v/>
      </c>
    </row>
    <row r="915">
      <c r="A915" s="11">
        <f>IF(B915="","",TEXT(ROW()-3,"""DC-""0000"))</f>
        <v/>
      </c>
      <c r="B915" s="5" t="n"/>
      <c r="C915" s="5" t="n"/>
      <c r="D915" s="5" t="n"/>
      <c r="E915" s="5" t="n"/>
      <c r="F915" s="5" t="n"/>
      <c r="G915" s="5" t="n"/>
      <c r="H915" s="8" t="n"/>
      <c r="I915" s="8" t="n"/>
      <c r="J915" s="8" t="n"/>
      <c r="K915" s="11">
        <f>IF(B915="","",MAX(0,IFERROR(I915,0)*IFERROR(H915,0)-IFERROR(J915,0)))</f>
        <v/>
      </c>
      <c r="L915" s="8" t="n"/>
      <c r="M915" s="11">
        <f>IF(B915="","",MAX(0,K915-L915))</f>
        <v/>
      </c>
      <c r="N915" s="11">
        <f>IF(B915="","",IF(L915&gt;=K915,"Paid",IF(L915&gt;0,"Partial","Unpaid")))</f>
        <v/>
      </c>
      <c r="O915" s="5" t="n"/>
      <c r="P915" s="8" t="n"/>
      <c r="Q915" s="8" t="n"/>
      <c r="R915" s="11">
        <f>IF(B915="","",IFERROR(K915,0)+IFERROR(P915,0)-IFERROR(Q915,0))</f>
        <v/>
      </c>
      <c r="S915" s="5" t="n"/>
      <c r="T915" s="5" t="n"/>
      <c r="U915" s="11">
        <f>IF(B915="","",TRIM(LOWER(C915)&amp;"|"&amp;LOWER(D915)))</f>
        <v/>
      </c>
    </row>
    <row r="916">
      <c r="A916" s="11">
        <f>IF(B916="","",TEXT(ROW()-3,"""DC-""0000"))</f>
        <v/>
      </c>
      <c r="B916" s="5" t="n"/>
      <c r="C916" s="5" t="n"/>
      <c r="D916" s="5" t="n"/>
      <c r="E916" s="5" t="n"/>
      <c r="F916" s="5" t="n"/>
      <c r="G916" s="5" t="n"/>
      <c r="H916" s="8" t="n"/>
      <c r="I916" s="8" t="n"/>
      <c r="J916" s="8" t="n"/>
      <c r="K916" s="11">
        <f>IF(B916="","",MAX(0,IFERROR(I916,0)*IFERROR(H916,0)-IFERROR(J916,0)))</f>
        <v/>
      </c>
      <c r="L916" s="8" t="n"/>
      <c r="M916" s="11">
        <f>IF(B916="","",MAX(0,K916-L916))</f>
        <v/>
      </c>
      <c r="N916" s="11">
        <f>IF(B916="","",IF(L916&gt;=K916,"Paid",IF(L916&gt;0,"Partial","Unpaid")))</f>
        <v/>
      </c>
      <c r="O916" s="5" t="n"/>
      <c r="P916" s="8" t="n"/>
      <c r="Q916" s="8" t="n"/>
      <c r="R916" s="11">
        <f>IF(B916="","",IFERROR(K916,0)+IFERROR(P916,0)-IFERROR(Q916,0))</f>
        <v/>
      </c>
      <c r="S916" s="5" t="n"/>
      <c r="T916" s="5" t="n"/>
      <c r="U916" s="11">
        <f>IF(B916="","",TRIM(LOWER(C916)&amp;"|"&amp;LOWER(D916)))</f>
        <v/>
      </c>
    </row>
    <row r="917">
      <c r="A917" s="11">
        <f>IF(B917="","",TEXT(ROW()-3,"""DC-""0000"))</f>
        <v/>
      </c>
      <c r="B917" s="5" t="n"/>
      <c r="C917" s="5" t="n"/>
      <c r="D917" s="5" t="n"/>
      <c r="E917" s="5" t="n"/>
      <c r="F917" s="5" t="n"/>
      <c r="G917" s="5" t="n"/>
      <c r="H917" s="8" t="n"/>
      <c r="I917" s="8" t="n"/>
      <c r="J917" s="8" t="n"/>
      <c r="K917" s="11">
        <f>IF(B917="","",MAX(0,IFERROR(I917,0)*IFERROR(H917,0)-IFERROR(J917,0)))</f>
        <v/>
      </c>
      <c r="L917" s="8" t="n"/>
      <c r="M917" s="11">
        <f>IF(B917="","",MAX(0,K917-L917))</f>
        <v/>
      </c>
      <c r="N917" s="11">
        <f>IF(B917="","",IF(L917&gt;=K917,"Paid",IF(L917&gt;0,"Partial","Unpaid")))</f>
        <v/>
      </c>
      <c r="O917" s="5" t="n"/>
      <c r="P917" s="8" t="n"/>
      <c r="Q917" s="8" t="n"/>
      <c r="R917" s="11">
        <f>IF(B917="","",IFERROR(K917,0)+IFERROR(P917,0)-IFERROR(Q917,0))</f>
        <v/>
      </c>
      <c r="S917" s="5" t="n"/>
      <c r="T917" s="5" t="n"/>
      <c r="U917" s="11">
        <f>IF(B917="","",TRIM(LOWER(C917)&amp;"|"&amp;LOWER(D917)))</f>
        <v/>
      </c>
    </row>
    <row r="918">
      <c r="A918" s="11">
        <f>IF(B918="","",TEXT(ROW()-3,"""DC-""0000"))</f>
        <v/>
      </c>
      <c r="B918" s="5" t="n"/>
      <c r="C918" s="5" t="n"/>
      <c r="D918" s="5" t="n"/>
      <c r="E918" s="5" t="n"/>
      <c r="F918" s="5" t="n"/>
      <c r="G918" s="5" t="n"/>
      <c r="H918" s="8" t="n"/>
      <c r="I918" s="8" t="n"/>
      <c r="J918" s="8" t="n"/>
      <c r="K918" s="11">
        <f>IF(B918="","",MAX(0,IFERROR(I918,0)*IFERROR(H918,0)-IFERROR(J918,0)))</f>
        <v/>
      </c>
      <c r="L918" s="8" t="n"/>
      <c r="M918" s="11">
        <f>IF(B918="","",MAX(0,K918-L918))</f>
        <v/>
      </c>
      <c r="N918" s="11">
        <f>IF(B918="","",IF(L918&gt;=K918,"Paid",IF(L918&gt;0,"Partial","Unpaid")))</f>
        <v/>
      </c>
      <c r="O918" s="5" t="n"/>
      <c r="P918" s="8" t="n"/>
      <c r="Q918" s="8" t="n"/>
      <c r="R918" s="11">
        <f>IF(B918="","",IFERROR(K918,0)+IFERROR(P918,0)-IFERROR(Q918,0))</f>
        <v/>
      </c>
      <c r="S918" s="5" t="n"/>
      <c r="T918" s="5" t="n"/>
      <c r="U918" s="11">
        <f>IF(B918="","",TRIM(LOWER(C918)&amp;"|"&amp;LOWER(D918)))</f>
        <v/>
      </c>
    </row>
    <row r="919">
      <c r="A919" s="11">
        <f>IF(B919="","",TEXT(ROW()-3,"""DC-""0000"))</f>
        <v/>
      </c>
      <c r="B919" s="5" t="n"/>
      <c r="C919" s="5" t="n"/>
      <c r="D919" s="5" t="n"/>
      <c r="E919" s="5" t="n"/>
      <c r="F919" s="5" t="n"/>
      <c r="G919" s="5" t="n"/>
      <c r="H919" s="8" t="n"/>
      <c r="I919" s="8" t="n"/>
      <c r="J919" s="8" t="n"/>
      <c r="K919" s="11">
        <f>IF(B919="","",MAX(0,IFERROR(I919,0)*IFERROR(H919,0)-IFERROR(J919,0)))</f>
        <v/>
      </c>
      <c r="L919" s="8" t="n"/>
      <c r="M919" s="11">
        <f>IF(B919="","",MAX(0,K919-L919))</f>
        <v/>
      </c>
      <c r="N919" s="11">
        <f>IF(B919="","",IF(L919&gt;=K919,"Paid",IF(L919&gt;0,"Partial","Unpaid")))</f>
        <v/>
      </c>
      <c r="O919" s="5" t="n"/>
      <c r="P919" s="8" t="n"/>
      <c r="Q919" s="8" t="n"/>
      <c r="R919" s="11">
        <f>IF(B919="","",IFERROR(K919,0)+IFERROR(P919,0)-IFERROR(Q919,0))</f>
        <v/>
      </c>
      <c r="S919" s="5" t="n"/>
      <c r="T919" s="5" t="n"/>
      <c r="U919" s="11">
        <f>IF(B919="","",TRIM(LOWER(C919)&amp;"|"&amp;LOWER(D919)))</f>
        <v/>
      </c>
    </row>
    <row r="920">
      <c r="A920" s="11">
        <f>IF(B920="","",TEXT(ROW()-3,"""DC-""0000"))</f>
        <v/>
      </c>
      <c r="B920" s="5" t="n"/>
      <c r="C920" s="5" t="n"/>
      <c r="D920" s="5" t="n"/>
      <c r="E920" s="5" t="n"/>
      <c r="F920" s="5" t="n"/>
      <c r="G920" s="5" t="n"/>
      <c r="H920" s="8" t="n"/>
      <c r="I920" s="8" t="n"/>
      <c r="J920" s="8" t="n"/>
      <c r="K920" s="11">
        <f>IF(B920="","",MAX(0,IFERROR(I920,0)*IFERROR(H920,0)-IFERROR(J920,0)))</f>
        <v/>
      </c>
      <c r="L920" s="8" t="n"/>
      <c r="M920" s="11">
        <f>IF(B920="","",MAX(0,K920-L920))</f>
        <v/>
      </c>
      <c r="N920" s="11">
        <f>IF(B920="","",IF(L920&gt;=K920,"Paid",IF(L920&gt;0,"Partial","Unpaid")))</f>
        <v/>
      </c>
      <c r="O920" s="5" t="n"/>
      <c r="P920" s="8" t="n"/>
      <c r="Q920" s="8" t="n"/>
      <c r="R920" s="11">
        <f>IF(B920="","",IFERROR(K920,0)+IFERROR(P920,0)-IFERROR(Q920,0))</f>
        <v/>
      </c>
      <c r="S920" s="5" t="n"/>
      <c r="T920" s="5" t="n"/>
      <c r="U920" s="11">
        <f>IF(B920="","",TRIM(LOWER(C920)&amp;"|"&amp;LOWER(D920)))</f>
        <v/>
      </c>
    </row>
    <row r="921">
      <c r="A921" s="11">
        <f>IF(B921="","",TEXT(ROW()-3,"""DC-""0000"))</f>
        <v/>
      </c>
      <c r="B921" s="5" t="n"/>
      <c r="C921" s="5" t="n"/>
      <c r="D921" s="5" t="n"/>
      <c r="E921" s="5" t="n"/>
      <c r="F921" s="5" t="n"/>
      <c r="G921" s="5" t="n"/>
      <c r="H921" s="8" t="n"/>
      <c r="I921" s="8" t="n"/>
      <c r="J921" s="8" t="n"/>
      <c r="K921" s="11">
        <f>IF(B921="","",MAX(0,IFERROR(I921,0)*IFERROR(H921,0)-IFERROR(J921,0)))</f>
        <v/>
      </c>
      <c r="L921" s="8" t="n"/>
      <c r="M921" s="11">
        <f>IF(B921="","",MAX(0,K921-L921))</f>
        <v/>
      </c>
      <c r="N921" s="11">
        <f>IF(B921="","",IF(L921&gt;=K921,"Paid",IF(L921&gt;0,"Partial","Unpaid")))</f>
        <v/>
      </c>
      <c r="O921" s="5" t="n"/>
      <c r="P921" s="8" t="n"/>
      <c r="Q921" s="8" t="n"/>
      <c r="R921" s="11">
        <f>IF(B921="","",IFERROR(K921,0)+IFERROR(P921,0)-IFERROR(Q921,0))</f>
        <v/>
      </c>
      <c r="S921" s="5" t="n"/>
      <c r="T921" s="5" t="n"/>
      <c r="U921" s="11">
        <f>IF(B921="","",TRIM(LOWER(C921)&amp;"|"&amp;LOWER(D921)))</f>
        <v/>
      </c>
    </row>
    <row r="922">
      <c r="A922" s="11">
        <f>IF(B922="","",TEXT(ROW()-3,"""DC-""0000"))</f>
        <v/>
      </c>
      <c r="B922" s="5" t="n"/>
      <c r="C922" s="5" t="n"/>
      <c r="D922" s="5" t="n"/>
      <c r="E922" s="5" t="n"/>
      <c r="F922" s="5" t="n"/>
      <c r="G922" s="5" t="n"/>
      <c r="H922" s="8" t="n"/>
      <c r="I922" s="8" t="n"/>
      <c r="J922" s="8" t="n"/>
      <c r="K922" s="11">
        <f>IF(B922="","",MAX(0,IFERROR(I922,0)*IFERROR(H922,0)-IFERROR(J922,0)))</f>
        <v/>
      </c>
      <c r="L922" s="8" t="n"/>
      <c r="M922" s="11">
        <f>IF(B922="","",MAX(0,K922-L922))</f>
        <v/>
      </c>
      <c r="N922" s="11">
        <f>IF(B922="","",IF(L922&gt;=K922,"Paid",IF(L922&gt;0,"Partial","Unpaid")))</f>
        <v/>
      </c>
      <c r="O922" s="5" t="n"/>
      <c r="P922" s="8" t="n"/>
      <c r="Q922" s="8" t="n"/>
      <c r="R922" s="11">
        <f>IF(B922="","",IFERROR(K922,0)+IFERROR(P922,0)-IFERROR(Q922,0))</f>
        <v/>
      </c>
      <c r="S922" s="5" t="n"/>
      <c r="T922" s="5" t="n"/>
      <c r="U922" s="11">
        <f>IF(B922="","",TRIM(LOWER(C922)&amp;"|"&amp;LOWER(D922)))</f>
        <v/>
      </c>
    </row>
    <row r="923">
      <c r="A923" s="11">
        <f>IF(B923="","",TEXT(ROW()-3,"""DC-""0000"))</f>
        <v/>
      </c>
      <c r="B923" s="5" t="n"/>
      <c r="C923" s="5" t="n"/>
      <c r="D923" s="5" t="n"/>
      <c r="E923" s="5" t="n"/>
      <c r="F923" s="5" t="n"/>
      <c r="G923" s="5" t="n"/>
      <c r="H923" s="8" t="n"/>
      <c r="I923" s="8" t="n"/>
      <c r="J923" s="8" t="n"/>
      <c r="K923" s="11">
        <f>IF(B923="","",MAX(0,IFERROR(I923,0)*IFERROR(H923,0)-IFERROR(J923,0)))</f>
        <v/>
      </c>
      <c r="L923" s="8" t="n"/>
      <c r="M923" s="11">
        <f>IF(B923="","",MAX(0,K923-L923))</f>
        <v/>
      </c>
      <c r="N923" s="11">
        <f>IF(B923="","",IF(L923&gt;=K923,"Paid",IF(L923&gt;0,"Partial","Unpaid")))</f>
        <v/>
      </c>
      <c r="O923" s="5" t="n"/>
      <c r="P923" s="8" t="n"/>
      <c r="Q923" s="8" t="n"/>
      <c r="R923" s="11">
        <f>IF(B923="","",IFERROR(K923,0)+IFERROR(P923,0)-IFERROR(Q923,0))</f>
        <v/>
      </c>
      <c r="S923" s="5" t="n"/>
      <c r="T923" s="5" t="n"/>
      <c r="U923" s="11">
        <f>IF(B923="","",TRIM(LOWER(C923)&amp;"|"&amp;LOWER(D923)))</f>
        <v/>
      </c>
    </row>
    <row r="924">
      <c r="A924" s="11">
        <f>IF(B924="","",TEXT(ROW()-3,"""DC-""0000"))</f>
        <v/>
      </c>
      <c r="B924" s="5" t="n"/>
      <c r="C924" s="5" t="n"/>
      <c r="D924" s="5" t="n"/>
      <c r="E924" s="5" t="n"/>
      <c r="F924" s="5" t="n"/>
      <c r="G924" s="5" t="n"/>
      <c r="H924" s="8" t="n"/>
      <c r="I924" s="8" t="n"/>
      <c r="J924" s="8" t="n"/>
      <c r="K924" s="11">
        <f>IF(B924="","",MAX(0,IFERROR(I924,0)*IFERROR(H924,0)-IFERROR(J924,0)))</f>
        <v/>
      </c>
      <c r="L924" s="8" t="n"/>
      <c r="M924" s="11">
        <f>IF(B924="","",MAX(0,K924-L924))</f>
        <v/>
      </c>
      <c r="N924" s="11">
        <f>IF(B924="","",IF(L924&gt;=K924,"Paid",IF(L924&gt;0,"Partial","Unpaid")))</f>
        <v/>
      </c>
      <c r="O924" s="5" t="n"/>
      <c r="P924" s="8" t="n"/>
      <c r="Q924" s="8" t="n"/>
      <c r="R924" s="11">
        <f>IF(B924="","",IFERROR(K924,0)+IFERROR(P924,0)-IFERROR(Q924,0))</f>
        <v/>
      </c>
      <c r="S924" s="5" t="n"/>
      <c r="T924" s="5" t="n"/>
      <c r="U924" s="11">
        <f>IF(B924="","",TRIM(LOWER(C924)&amp;"|"&amp;LOWER(D924)))</f>
        <v/>
      </c>
    </row>
    <row r="925">
      <c r="A925" s="11">
        <f>IF(B925="","",TEXT(ROW()-3,"""DC-""0000"))</f>
        <v/>
      </c>
      <c r="B925" s="5" t="n"/>
      <c r="C925" s="5" t="n"/>
      <c r="D925" s="5" t="n"/>
      <c r="E925" s="5" t="n"/>
      <c r="F925" s="5" t="n"/>
      <c r="G925" s="5" t="n"/>
      <c r="H925" s="8" t="n"/>
      <c r="I925" s="8" t="n"/>
      <c r="J925" s="8" t="n"/>
      <c r="K925" s="11">
        <f>IF(B925="","",MAX(0,IFERROR(I925,0)*IFERROR(H925,0)-IFERROR(J925,0)))</f>
        <v/>
      </c>
      <c r="L925" s="8" t="n"/>
      <c r="M925" s="11">
        <f>IF(B925="","",MAX(0,K925-L925))</f>
        <v/>
      </c>
      <c r="N925" s="11">
        <f>IF(B925="","",IF(L925&gt;=K925,"Paid",IF(L925&gt;0,"Partial","Unpaid")))</f>
        <v/>
      </c>
      <c r="O925" s="5" t="n"/>
      <c r="P925" s="8" t="n"/>
      <c r="Q925" s="8" t="n"/>
      <c r="R925" s="11">
        <f>IF(B925="","",IFERROR(K925,0)+IFERROR(P925,0)-IFERROR(Q925,0))</f>
        <v/>
      </c>
      <c r="S925" s="5" t="n"/>
      <c r="T925" s="5" t="n"/>
      <c r="U925" s="11">
        <f>IF(B925="","",TRIM(LOWER(C925)&amp;"|"&amp;LOWER(D925)))</f>
        <v/>
      </c>
    </row>
    <row r="926">
      <c r="A926" s="11">
        <f>IF(B926="","",TEXT(ROW()-3,"""DC-""0000"))</f>
        <v/>
      </c>
      <c r="B926" s="5" t="n"/>
      <c r="C926" s="5" t="n"/>
      <c r="D926" s="5" t="n"/>
      <c r="E926" s="5" t="n"/>
      <c r="F926" s="5" t="n"/>
      <c r="G926" s="5" t="n"/>
      <c r="H926" s="8" t="n"/>
      <c r="I926" s="8" t="n"/>
      <c r="J926" s="8" t="n"/>
      <c r="K926" s="11">
        <f>IF(B926="","",MAX(0,IFERROR(I926,0)*IFERROR(H926,0)-IFERROR(J926,0)))</f>
        <v/>
      </c>
      <c r="L926" s="8" t="n"/>
      <c r="M926" s="11">
        <f>IF(B926="","",MAX(0,K926-L926))</f>
        <v/>
      </c>
      <c r="N926" s="11">
        <f>IF(B926="","",IF(L926&gt;=K926,"Paid",IF(L926&gt;0,"Partial","Unpaid")))</f>
        <v/>
      </c>
      <c r="O926" s="5" t="n"/>
      <c r="P926" s="8" t="n"/>
      <c r="Q926" s="8" t="n"/>
      <c r="R926" s="11">
        <f>IF(B926="","",IFERROR(K926,0)+IFERROR(P926,0)-IFERROR(Q926,0))</f>
        <v/>
      </c>
      <c r="S926" s="5" t="n"/>
      <c r="T926" s="5" t="n"/>
      <c r="U926" s="11">
        <f>IF(B926="","",TRIM(LOWER(C926)&amp;"|"&amp;LOWER(D926)))</f>
        <v/>
      </c>
    </row>
    <row r="927">
      <c r="A927" s="11">
        <f>IF(B927="","",TEXT(ROW()-3,"""DC-""0000"))</f>
        <v/>
      </c>
      <c r="B927" s="5" t="n"/>
      <c r="C927" s="5" t="n"/>
      <c r="D927" s="5" t="n"/>
      <c r="E927" s="5" t="n"/>
      <c r="F927" s="5" t="n"/>
      <c r="G927" s="5" t="n"/>
      <c r="H927" s="8" t="n"/>
      <c r="I927" s="8" t="n"/>
      <c r="J927" s="8" t="n"/>
      <c r="K927" s="11">
        <f>IF(B927="","",MAX(0,IFERROR(I927,0)*IFERROR(H927,0)-IFERROR(J927,0)))</f>
        <v/>
      </c>
      <c r="L927" s="8" t="n"/>
      <c r="M927" s="11">
        <f>IF(B927="","",MAX(0,K927-L927))</f>
        <v/>
      </c>
      <c r="N927" s="11">
        <f>IF(B927="","",IF(L927&gt;=K927,"Paid",IF(L927&gt;0,"Partial","Unpaid")))</f>
        <v/>
      </c>
      <c r="O927" s="5" t="n"/>
      <c r="P927" s="8" t="n"/>
      <c r="Q927" s="8" t="n"/>
      <c r="R927" s="11">
        <f>IF(B927="","",IFERROR(K927,0)+IFERROR(P927,0)-IFERROR(Q927,0))</f>
        <v/>
      </c>
      <c r="S927" s="5" t="n"/>
      <c r="T927" s="5" t="n"/>
      <c r="U927" s="11">
        <f>IF(B927="","",TRIM(LOWER(C927)&amp;"|"&amp;LOWER(D927)))</f>
        <v/>
      </c>
    </row>
    <row r="928">
      <c r="A928" s="11">
        <f>IF(B928="","",TEXT(ROW()-3,"""DC-""0000"))</f>
        <v/>
      </c>
      <c r="B928" s="5" t="n"/>
      <c r="C928" s="5" t="n"/>
      <c r="D928" s="5" t="n"/>
      <c r="E928" s="5" t="n"/>
      <c r="F928" s="5" t="n"/>
      <c r="G928" s="5" t="n"/>
      <c r="H928" s="8" t="n"/>
      <c r="I928" s="8" t="n"/>
      <c r="J928" s="8" t="n"/>
      <c r="K928" s="11">
        <f>IF(B928="","",MAX(0,IFERROR(I928,0)*IFERROR(H928,0)-IFERROR(J928,0)))</f>
        <v/>
      </c>
      <c r="L928" s="8" t="n"/>
      <c r="M928" s="11">
        <f>IF(B928="","",MAX(0,K928-L928))</f>
        <v/>
      </c>
      <c r="N928" s="11">
        <f>IF(B928="","",IF(L928&gt;=K928,"Paid",IF(L928&gt;0,"Partial","Unpaid")))</f>
        <v/>
      </c>
      <c r="O928" s="5" t="n"/>
      <c r="P928" s="8" t="n"/>
      <c r="Q928" s="8" t="n"/>
      <c r="R928" s="11">
        <f>IF(B928="","",IFERROR(K928,0)+IFERROR(P928,0)-IFERROR(Q928,0))</f>
        <v/>
      </c>
      <c r="S928" s="5" t="n"/>
      <c r="T928" s="5" t="n"/>
      <c r="U928" s="11">
        <f>IF(B928="","",TRIM(LOWER(C928)&amp;"|"&amp;LOWER(D928)))</f>
        <v/>
      </c>
    </row>
    <row r="929">
      <c r="A929" s="11">
        <f>IF(B929="","",TEXT(ROW()-3,"""DC-""0000"))</f>
        <v/>
      </c>
      <c r="B929" s="5" t="n"/>
      <c r="C929" s="5" t="n"/>
      <c r="D929" s="5" t="n"/>
      <c r="E929" s="5" t="n"/>
      <c r="F929" s="5" t="n"/>
      <c r="G929" s="5" t="n"/>
      <c r="H929" s="8" t="n"/>
      <c r="I929" s="8" t="n"/>
      <c r="J929" s="8" t="n"/>
      <c r="K929" s="11">
        <f>IF(B929="","",MAX(0,IFERROR(I929,0)*IFERROR(H929,0)-IFERROR(J929,0)))</f>
        <v/>
      </c>
      <c r="L929" s="8" t="n"/>
      <c r="M929" s="11">
        <f>IF(B929="","",MAX(0,K929-L929))</f>
        <v/>
      </c>
      <c r="N929" s="11">
        <f>IF(B929="","",IF(L929&gt;=K929,"Paid",IF(L929&gt;0,"Partial","Unpaid")))</f>
        <v/>
      </c>
      <c r="O929" s="5" t="n"/>
      <c r="P929" s="8" t="n"/>
      <c r="Q929" s="8" t="n"/>
      <c r="R929" s="11">
        <f>IF(B929="","",IFERROR(K929,0)+IFERROR(P929,0)-IFERROR(Q929,0))</f>
        <v/>
      </c>
      <c r="S929" s="5" t="n"/>
      <c r="T929" s="5" t="n"/>
      <c r="U929" s="11">
        <f>IF(B929="","",TRIM(LOWER(C929)&amp;"|"&amp;LOWER(D929)))</f>
        <v/>
      </c>
    </row>
    <row r="930">
      <c r="A930" s="11">
        <f>IF(B930="","",TEXT(ROW()-3,"""DC-""0000"))</f>
        <v/>
      </c>
      <c r="B930" s="5" t="n"/>
      <c r="C930" s="5" t="n"/>
      <c r="D930" s="5" t="n"/>
      <c r="E930" s="5" t="n"/>
      <c r="F930" s="5" t="n"/>
      <c r="G930" s="5" t="n"/>
      <c r="H930" s="8" t="n"/>
      <c r="I930" s="8" t="n"/>
      <c r="J930" s="8" t="n"/>
      <c r="K930" s="11">
        <f>IF(B930="","",MAX(0,IFERROR(I930,0)*IFERROR(H930,0)-IFERROR(J930,0)))</f>
        <v/>
      </c>
      <c r="L930" s="8" t="n"/>
      <c r="M930" s="11">
        <f>IF(B930="","",MAX(0,K930-L930))</f>
        <v/>
      </c>
      <c r="N930" s="11">
        <f>IF(B930="","",IF(L930&gt;=K930,"Paid",IF(L930&gt;0,"Partial","Unpaid")))</f>
        <v/>
      </c>
      <c r="O930" s="5" t="n"/>
      <c r="P930" s="8" t="n"/>
      <c r="Q930" s="8" t="n"/>
      <c r="R930" s="11">
        <f>IF(B930="","",IFERROR(K930,0)+IFERROR(P930,0)-IFERROR(Q930,0))</f>
        <v/>
      </c>
      <c r="S930" s="5" t="n"/>
      <c r="T930" s="5" t="n"/>
      <c r="U930" s="11">
        <f>IF(B930="","",TRIM(LOWER(C930)&amp;"|"&amp;LOWER(D930)))</f>
        <v/>
      </c>
    </row>
    <row r="931">
      <c r="A931" s="11">
        <f>IF(B931="","",TEXT(ROW()-3,"""DC-""0000"))</f>
        <v/>
      </c>
      <c r="B931" s="5" t="n"/>
      <c r="C931" s="5" t="n"/>
      <c r="D931" s="5" t="n"/>
      <c r="E931" s="5" t="n"/>
      <c r="F931" s="5" t="n"/>
      <c r="G931" s="5" t="n"/>
      <c r="H931" s="8" t="n"/>
      <c r="I931" s="8" t="n"/>
      <c r="J931" s="8" t="n"/>
      <c r="K931" s="11">
        <f>IF(B931="","",MAX(0,IFERROR(I931,0)*IFERROR(H931,0)-IFERROR(J931,0)))</f>
        <v/>
      </c>
      <c r="L931" s="8" t="n"/>
      <c r="M931" s="11">
        <f>IF(B931="","",MAX(0,K931-L931))</f>
        <v/>
      </c>
      <c r="N931" s="11">
        <f>IF(B931="","",IF(L931&gt;=K931,"Paid",IF(L931&gt;0,"Partial","Unpaid")))</f>
        <v/>
      </c>
      <c r="O931" s="5" t="n"/>
      <c r="P931" s="8" t="n"/>
      <c r="Q931" s="8" t="n"/>
      <c r="R931" s="11">
        <f>IF(B931="","",IFERROR(K931,0)+IFERROR(P931,0)-IFERROR(Q931,0))</f>
        <v/>
      </c>
      <c r="S931" s="5" t="n"/>
      <c r="T931" s="5" t="n"/>
      <c r="U931" s="11">
        <f>IF(B931="","",TRIM(LOWER(C931)&amp;"|"&amp;LOWER(D931)))</f>
        <v/>
      </c>
    </row>
    <row r="932">
      <c r="A932" s="11">
        <f>IF(B932="","",TEXT(ROW()-3,"""DC-""0000"))</f>
        <v/>
      </c>
      <c r="B932" s="5" t="n"/>
      <c r="C932" s="5" t="n"/>
      <c r="D932" s="5" t="n"/>
      <c r="E932" s="5" t="n"/>
      <c r="F932" s="5" t="n"/>
      <c r="G932" s="5" t="n"/>
      <c r="H932" s="8" t="n"/>
      <c r="I932" s="8" t="n"/>
      <c r="J932" s="8" t="n"/>
      <c r="K932" s="11">
        <f>IF(B932="","",MAX(0,IFERROR(I932,0)*IFERROR(H932,0)-IFERROR(J932,0)))</f>
        <v/>
      </c>
      <c r="L932" s="8" t="n"/>
      <c r="M932" s="11">
        <f>IF(B932="","",MAX(0,K932-L932))</f>
        <v/>
      </c>
      <c r="N932" s="11">
        <f>IF(B932="","",IF(L932&gt;=K932,"Paid",IF(L932&gt;0,"Partial","Unpaid")))</f>
        <v/>
      </c>
      <c r="O932" s="5" t="n"/>
      <c r="P932" s="8" t="n"/>
      <c r="Q932" s="8" t="n"/>
      <c r="R932" s="11">
        <f>IF(B932="","",IFERROR(K932,0)+IFERROR(P932,0)-IFERROR(Q932,0))</f>
        <v/>
      </c>
      <c r="S932" s="5" t="n"/>
      <c r="T932" s="5" t="n"/>
      <c r="U932" s="11">
        <f>IF(B932="","",TRIM(LOWER(C932)&amp;"|"&amp;LOWER(D932)))</f>
        <v/>
      </c>
    </row>
    <row r="933">
      <c r="A933" s="11">
        <f>IF(B933="","",TEXT(ROW()-3,"""DC-""0000"))</f>
        <v/>
      </c>
      <c r="B933" s="5" t="n"/>
      <c r="C933" s="5" t="n"/>
      <c r="D933" s="5" t="n"/>
      <c r="E933" s="5" t="n"/>
      <c r="F933" s="5" t="n"/>
      <c r="G933" s="5" t="n"/>
      <c r="H933" s="8" t="n"/>
      <c r="I933" s="8" t="n"/>
      <c r="J933" s="8" t="n"/>
      <c r="K933" s="11">
        <f>IF(B933="","",MAX(0,IFERROR(I933,0)*IFERROR(H933,0)-IFERROR(J933,0)))</f>
        <v/>
      </c>
      <c r="L933" s="8" t="n"/>
      <c r="M933" s="11">
        <f>IF(B933="","",MAX(0,K933-L933))</f>
        <v/>
      </c>
      <c r="N933" s="11">
        <f>IF(B933="","",IF(L933&gt;=K933,"Paid",IF(L933&gt;0,"Partial","Unpaid")))</f>
        <v/>
      </c>
      <c r="O933" s="5" t="n"/>
      <c r="P933" s="8" t="n"/>
      <c r="Q933" s="8" t="n"/>
      <c r="R933" s="11">
        <f>IF(B933="","",IFERROR(K933,0)+IFERROR(P933,0)-IFERROR(Q933,0))</f>
        <v/>
      </c>
      <c r="S933" s="5" t="n"/>
      <c r="T933" s="5" t="n"/>
      <c r="U933" s="11">
        <f>IF(B933="","",TRIM(LOWER(C933)&amp;"|"&amp;LOWER(D933)))</f>
        <v/>
      </c>
    </row>
    <row r="934">
      <c r="A934" s="11">
        <f>IF(B934="","",TEXT(ROW()-3,"""DC-""0000"))</f>
        <v/>
      </c>
      <c r="B934" s="5" t="n"/>
      <c r="C934" s="5" t="n"/>
      <c r="D934" s="5" t="n"/>
      <c r="E934" s="5" t="n"/>
      <c r="F934" s="5" t="n"/>
      <c r="G934" s="5" t="n"/>
      <c r="H934" s="8" t="n"/>
      <c r="I934" s="8" t="n"/>
      <c r="J934" s="8" t="n"/>
      <c r="K934" s="11">
        <f>IF(B934="","",MAX(0,IFERROR(I934,0)*IFERROR(H934,0)-IFERROR(J934,0)))</f>
        <v/>
      </c>
      <c r="L934" s="8" t="n"/>
      <c r="M934" s="11">
        <f>IF(B934="","",MAX(0,K934-L934))</f>
        <v/>
      </c>
      <c r="N934" s="11">
        <f>IF(B934="","",IF(L934&gt;=K934,"Paid",IF(L934&gt;0,"Partial","Unpaid")))</f>
        <v/>
      </c>
      <c r="O934" s="5" t="n"/>
      <c r="P934" s="8" t="n"/>
      <c r="Q934" s="8" t="n"/>
      <c r="R934" s="11">
        <f>IF(B934="","",IFERROR(K934,0)+IFERROR(P934,0)-IFERROR(Q934,0))</f>
        <v/>
      </c>
      <c r="S934" s="5" t="n"/>
      <c r="T934" s="5" t="n"/>
      <c r="U934" s="11">
        <f>IF(B934="","",TRIM(LOWER(C934)&amp;"|"&amp;LOWER(D934)))</f>
        <v/>
      </c>
    </row>
    <row r="935">
      <c r="A935" s="11">
        <f>IF(B935="","",TEXT(ROW()-3,"""DC-""0000"))</f>
        <v/>
      </c>
      <c r="B935" s="5" t="n"/>
      <c r="C935" s="5" t="n"/>
      <c r="D935" s="5" t="n"/>
      <c r="E935" s="5" t="n"/>
      <c r="F935" s="5" t="n"/>
      <c r="G935" s="5" t="n"/>
      <c r="H935" s="8" t="n"/>
      <c r="I935" s="8" t="n"/>
      <c r="J935" s="8" t="n"/>
      <c r="K935" s="11">
        <f>IF(B935="","",MAX(0,IFERROR(I935,0)*IFERROR(H935,0)-IFERROR(J935,0)))</f>
        <v/>
      </c>
      <c r="L935" s="8" t="n"/>
      <c r="M935" s="11">
        <f>IF(B935="","",MAX(0,K935-L935))</f>
        <v/>
      </c>
      <c r="N935" s="11">
        <f>IF(B935="","",IF(L935&gt;=K935,"Paid",IF(L935&gt;0,"Partial","Unpaid")))</f>
        <v/>
      </c>
      <c r="O935" s="5" t="n"/>
      <c r="P935" s="8" t="n"/>
      <c r="Q935" s="8" t="n"/>
      <c r="R935" s="11">
        <f>IF(B935="","",IFERROR(K935,0)+IFERROR(P935,0)-IFERROR(Q935,0))</f>
        <v/>
      </c>
      <c r="S935" s="5" t="n"/>
      <c r="T935" s="5" t="n"/>
      <c r="U935" s="11">
        <f>IF(B935="","",TRIM(LOWER(C935)&amp;"|"&amp;LOWER(D935)))</f>
        <v/>
      </c>
    </row>
    <row r="936">
      <c r="A936" s="11">
        <f>IF(B936="","",TEXT(ROW()-3,"""DC-""0000"))</f>
        <v/>
      </c>
      <c r="B936" s="5" t="n"/>
      <c r="C936" s="5" t="n"/>
      <c r="D936" s="5" t="n"/>
      <c r="E936" s="5" t="n"/>
      <c r="F936" s="5" t="n"/>
      <c r="G936" s="5" t="n"/>
      <c r="H936" s="8" t="n"/>
      <c r="I936" s="8" t="n"/>
      <c r="J936" s="8" t="n"/>
      <c r="K936" s="11">
        <f>IF(B936="","",MAX(0,IFERROR(I936,0)*IFERROR(H936,0)-IFERROR(J936,0)))</f>
        <v/>
      </c>
      <c r="L936" s="8" t="n"/>
      <c r="M936" s="11">
        <f>IF(B936="","",MAX(0,K936-L936))</f>
        <v/>
      </c>
      <c r="N936" s="11">
        <f>IF(B936="","",IF(L936&gt;=K936,"Paid",IF(L936&gt;0,"Partial","Unpaid")))</f>
        <v/>
      </c>
      <c r="O936" s="5" t="n"/>
      <c r="P936" s="8" t="n"/>
      <c r="Q936" s="8" t="n"/>
      <c r="R936" s="11">
        <f>IF(B936="","",IFERROR(K936,0)+IFERROR(P936,0)-IFERROR(Q936,0))</f>
        <v/>
      </c>
      <c r="S936" s="5" t="n"/>
      <c r="T936" s="5" t="n"/>
      <c r="U936" s="11">
        <f>IF(B936="","",TRIM(LOWER(C936)&amp;"|"&amp;LOWER(D936)))</f>
        <v/>
      </c>
    </row>
    <row r="937">
      <c r="A937" s="11">
        <f>IF(B937="","",TEXT(ROW()-3,"""DC-""0000"))</f>
        <v/>
      </c>
      <c r="B937" s="5" t="n"/>
      <c r="C937" s="5" t="n"/>
      <c r="D937" s="5" t="n"/>
      <c r="E937" s="5" t="n"/>
      <c r="F937" s="5" t="n"/>
      <c r="G937" s="5" t="n"/>
      <c r="H937" s="8" t="n"/>
      <c r="I937" s="8" t="n"/>
      <c r="J937" s="8" t="n"/>
      <c r="K937" s="11">
        <f>IF(B937="","",MAX(0,IFERROR(I937,0)*IFERROR(H937,0)-IFERROR(J937,0)))</f>
        <v/>
      </c>
      <c r="L937" s="8" t="n"/>
      <c r="M937" s="11">
        <f>IF(B937="","",MAX(0,K937-L937))</f>
        <v/>
      </c>
      <c r="N937" s="11">
        <f>IF(B937="","",IF(L937&gt;=K937,"Paid",IF(L937&gt;0,"Partial","Unpaid")))</f>
        <v/>
      </c>
      <c r="O937" s="5" t="n"/>
      <c r="P937" s="8" t="n"/>
      <c r="Q937" s="8" t="n"/>
      <c r="R937" s="11">
        <f>IF(B937="","",IFERROR(K937,0)+IFERROR(P937,0)-IFERROR(Q937,0))</f>
        <v/>
      </c>
      <c r="S937" s="5" t="n"/>
      <c r="T937" s="5" t="n"/>
      <c r="U937" s="11">
        <f>IF(B937="","",TRIM(LOWER(C937)&amp;"|"&amp;LOWER(D937)))</f>
        <v/>
      </c>
    </row>
    <row r="938">
      <c r="A938" s="11">
        <f>IF(B938="","",TEXT(ROW()-3,"""DC-""0000"))</f>
        <v/>
      </c>
      <c r="B938" s="5" t="n"/>
      <c r="C938" s="5" t="n"/>
      <c r="D938" s="5" t="n"/>
      <c r="E938" s="5" t="n"/>
      <c r="F938" s="5" t="n"/>
      <c r="G938" s="5" t="n"/>
      <c r="H938" s="8" t="n"/>
      <c r="I938" s="8" t="n"/>
      <c r="J938" s="8" t="n"/>
      <c r="K938" s="11">
        <f>IF(B938="","",MAX(0,IFERROR(I938,0)*IFERROR(H938,0)-IFERROR(J938,0)))</f>
        <v/>
      </c>
      <c r="L938" s="8" t="n"/>
      <c r="M938" s="11">
        <f>IF(B938="","",MAX(0,K938-L938))</f>
        <v/>
      </c>
      <c r="N938" s="11">
        <f>IF(B938="","",IF(L938&gt;=K938,"Paid",IF(L938&gt;0,"Partial","Unpaid")))</f>
        <v/>
      </c>
      <c r="O938" s="5" t="n"/>
      <c r="P938" s="8" t="n"/>
      <c r="Q938" s="8" t="n"/>
      <c r="R938" s="11">
        <f>IF(B938="","",IFERROR(K938,0)+IFERROR(P938,0)-IFERROR(Q938,0))</f>
        <v/>
      </c>
      <c r="S938" s="5" t="n"/>
      <c r="T938" s="5" t="n"/>
      <c r="U938" s="11">
        <f>IF(B938="","",TRIM(LOWER(C938)&amp;"|"&amp;LOWER(D938)))</f>
        <v/>
      </c>
    </row>
    <row r="939">
      <c r="A939" s="11">
        <f>IF(B939="","",TEXT(ROW()-3,"""DC-""0000"))</f>
        <v/>
      </c>
      <c r="B939" s="5" t="n"/>
      <c r="C939" s="5" t="n"/>
      <c r="D939" s="5" t="n"/>
      <c r="E939" s="5" t="n"/>
      <c r="F939" s="5" t="n"/>
      <c r="G939" s="5" t="n"/>
      <c r="H939" s="8" t="n"/>
      <c r="I939" s="8" t="n"/>
      <c r="J939" s="8" t="n"/>
      <c r="K939" s="11">
        <f>IF(B939="","",MAX(0,IFERROR(I939,0)*IFERROR(H939,0)-IFERROR(J939,0)))</f>
        <v/>
      </c>
      <c r="L939" s="8" t="n"/>
      <c r="M939" s="11">
        <f>IF(B939="","",MAX(0,K939-L939))</f>
        <v/>
      </c>
      <c r="N939" s="11">
        <f>IF(B939="","",IF(L939&gt;=K939,"Paid",IF(L939&gt;0,"Partial","Unpaid")))</f>
        <v/>
      </c>
      <c r="O939" s="5" t="n"/>
      <c r="P939" s="8" t="n"/>
      <c r="Q939" s="8" t="n"/>
      <c r="R939" s="11">
        <f>IF(B939="","",IFERROR(K939,0)+IFERROR(P939,0)-IFERROR(Q939,0))</f>
        <v/>
      </c>
      <c r="S939" s="5" t="n"/>
      <c r="T939" s="5" t="n"/>
      <c r="U939" s="11">
        <f>IF(B939="","",TRIM(LOWER(C939)&amp;"|"&amp;LOWER(D939)))</f>
        <v/>
      </c>
    </row>
    <row r="940">
      <c r="A940" s="11">
        <f>IF(B940="","",TEXT(ROW()-3,"""DC-""0000"))</f>
        <v/>
      </c>
      <c r="B940" s="5" t="n"/>
      <c r="C940" s="5" t="n"/>
      <c r="D940" s="5" t="n"/>
      <c r="E940" s="5" t="n"/>
      <c r="F940" s="5" t="n"/>
      <c r="G940" s="5" t="n"/>
      <c r="H940" s="8" t="n"/>
      <c r="I940" s="8" t="n"/>
      <c r="J940" s="8" t="n"/>
      <c r="K940" s="11">
        <f>IF(B940="","",MAX(0,IFERROR(I940,0)*IFERROR(H940,0)-IFERROR(J940,0)))</f>
        <v/>
      </c>
      <c r="L940" s="8" t="n"/>
      <c r="M940" s="11">
        <f>IF(B940="","",MAX(0,K940-L940))</f>
        <v/>
      </c>
      <c r="N940" s="11">
        <f>IF(B940="","",IF(L940&gt;=K940,"Paid",IF(L940&gt;0,"Partial","Unpaid")))</f>
        <v/>
      </c>
      <c r="O940" s="5" t="n"/>
      <c r="P940" s="8" t="n"/>
      <c r="Q940" s="8" t="n"/>
      <c r="R940" s="11">
        <f>IF(B940="","",IFERROR(K940,0)+IFERROR(P940,0)-IFERROR(Q940,0))</f>
        <v/>
      </c>
      <c r="S940" s="5" t="n"/>
      <c r="T940" s="5" t="n"/>
      <c r="U940" s="11">
        <f>IF(B940="","",TRIM(LOWER(C940)&amp;"|"&amp;LOWER(D940)))</f>
        <v/>
      </c>
    </row>
    <row r="941">
      <c r="A941" s="11">
        <f>IF(B941="","",TEXT(ROW()-3,"""DC-""0000"))</f>
        <v/>
      </c>
      <c r="B941" s="5" t="n"/>
      <c r="C941" s="5" t="n"/>
      <c r="D941" s="5" t="n"/>
      <c r="E941" s="5" t="n"/>
      <c r="F941" s="5" t="n"/>
      <c r="G941" s="5" t="n"/>
      <c r="H941" s="8" t="n"/>
      <c r="I941" s="8" t="n"/>
      <c r="J941" s="8" t="n"/>
      <c r="K941" s="11">
        <f>IF(B941="","",MAX(0,IFERROR(I941,0)*IFERROR(H941,0)-IFERROR(J941,0)))</f>
        <v/>
      </c>
      <c r="L941" s="8" t="n"/>
      <c r="M941" s="11">
        <f>IF(B941="","",MAX(0,K941-L941))</f>
        <v/>
      </c>
      <c r="N941" s="11">
        <f>IF(B941="","",IF(L941&gt;=K941,"Paid",IF(L941&gt;0,"Partial","Unpaid")))</f>
        <v/>
      </c>
      <c r="O941" s="5" t="n"/>
      <c r="P941" s="8" t="n"/>
      <c r="Q941" s="8" t="n"/>
      <c r="R941" s="11">
        <f>IF(B941="","",IFERROR(K941,0)+IFERROR(P941,0)-IFERROR(Q941,0))</f>
        <v/>
      </c>
      <c r="S941" s="5" t="n"/>
      <c r="T941" s="5" t="n"/>
      <c r="U941" s="11">
        <f>IF(B941="","",TRIM(LOWER(C941)&amp;"|"&amp;LOWER(D941)))</f>
        <v/>
      </c>
    </row>
    <row r="942">
      <c r="A942" s="11">
        <f>IF(B942="","",TEXT(ROW()-3,"""DC-""0000"))</f>
        <v/>
      </c>
      <c r="B942" s="5" t="n"/>
      <c r="C942" s="5" t="n"/>
      <c r="D942" s="5" t="n"/>
      <c r="E942" s="5" t="n"/>
      <c r="F942" s="5" t="n"/>
      <c r="G942" s="5" t="n"/>
      <c r="H942" s="8" t="n"/>
      <c r="I942" s="8" t="n"/>
      <c r="J942" s="8" t="n"/>
      <c r="K942" s="11">
        <f>IF(B942="","",MAX(0,IFERROR(I942,0)*IFERROR(H942,0)-IFERROR(J942,0)))</f>
        <v/>
      </c>
      <c r="L942" s="8" t="n"/>
      <c r="M942" s="11">
        <f>IF(B942="","",MAX(0,K942-L942))</f>
        <v/>
      </c>
      <c r="N942" s="11">
        <f>IF(B942="","",IF(L942&gt;=K942,"Paid",IF(L942&gt;0,"Partial","Unpaid")))</f>
        <v/>
      </c>
      <c r="O942" s="5" t="n"/>
      <c r="P942" s="8" t="n"/>
      <c r="Q942" s="8" t="n"/>
      <c r="R942" s="11">
        <f>IF(B942="","",IFERROR(K942,0)+IFERROR(P942,0)-IFERROR(Q942,0))</f>
        <v/>
      </c>
      <c r="S942" s="5" t="n"/>
      <c r="T942" s="5" t="n"/>
      <c r="U942" s="11">
        <f>IF(B942="","",TRIM(LOWER(C942)&amp;"|"&amp;LOWER(D942)))</f>
        <v/>
      </c>
    </row>
    <row r="943">
      <c r="A943" s="11">
        <f>IF(B943="","",TEXT(ROW()-3,"""DC-""0000"))</f>
        <v/>
      </c>
      <c r="B943" s="5" t="n"/>
      <c r="C943" s="5" t="n"/>
      <c r="D943" s="5" t="n"/>
      <c r="E943" s="5" t="n"/>
      <c r="F943" s="5" t="n"/>
      <c r="G943" s="5" t="n"/>
      <c r="H943" s="8" t="n"/>
      <c r="I943" s="8" t="n"/>
      <c r="J943" s="8" t="n"/>
      <c r="K943" s="11">
        <f>IF(B943="","",MAX(0,IFERROR(I943,0)*IFERROR(H943,0)-IFERROR(J943,0)))</f>
        <v/>
      </c>
      <c r="L943" s="8" t="n"/>
      <c r="M943" s="11">
        <f>IF(B943="","",MAX(0,K943-L943))</f>
        <v/>
      </c>
      <c r="N943" s="11">
        <f>IF(B943="","",IF(L943&gt;=K943,"Paid",IF(L943&gt;0,"Partial","Unpaid")))</f>
        <v/>
      </c>
      <c r="O943" s="5" t="n"/>
      <c r="P943" s="8" t="n"/>
      <c r="Q943" s="8" t="n"/>
      <c r="R943" s="11">
        <f>IF(B943="","",IFERROR(K943,0)+IFERROR(P943,0)-IFERROR(Q943,0))</f>
        <v/>
      </c>
      <c r="S943" s="5" t="n"/>
      <c r="T943" s="5" t="n"/>
      <c r="U943" s="11">
        <f>IF(B943="","",TRIM(LOWER(C943)&amp;"|"&amp;LOWER(D943)))</f>
        <v/>
      </c>
    </row>
    <row r="944">
      <c r="A944" s="11">
        <f>IF(B944="","",TEXT(ROW()-3,"""DC-""0000"))</f>
        <v/>
      </c>
      <c r="B944" s="5" t="n"/>
      <c r="C944" s="5" t="n"/>
      <c r="D944" s="5" t="n"/>
      <c r="E944" s="5" t="n"/>
      <c r="F944" s="5" t="n"/>
      <c r="G944" s="5" t="n"/>
      <c r="H944" s="8" t="n"/>
      <c r="I944" s="8" t="n"/>
      <c r="J944" s="8" t="n"/>
      <c r="K944" s="11">
        <f>IF(B944="","",MAX(0,IFERROR(I944,0)*IFERROR(H944,0)-IFERROR(J944,0)))</f>
        <v/>
      </c>
      <c r="L944" s="8" t="n"/>
      <c r="M944" s="11">
        <f>IF(B944="","",MAX(0,K944-L944))</f>
        <v/>
      </c>
      <c r="N944" s="11">
        <f>IF(B944="","",IF(L944&gt;=K944,"Paid",IF(L944&gt;0,"Partial","Unpaid")))</f>
        <v/>
      </c>
      <c r="O944" s="5" t="n"/>
      <c r="P944" s="8" t="n"/>
      <c r="Q944" s="8" t="n"/>
      <c r="R944" s="11">
        <f>IF(B944="","",IFERROR(K944,0)+IFERROR(P944,0)-IFERROR(Q944,0))</f>
        <v/>
      </c>
      <c r="S944" s="5" t="n"/>
      <c r="T944" s="5" t="n"/>
      <c r="U944" s="11">
        <f>IF(B944="","",TRIM(LOWER(C944)&amp;"|"&amp;LOWER(D944)))</f>
        <v/>
      </c>
    </row>
    <row r="945">
      <c r="A945" s="11">
        <f>IF(B945="","",TEXT(ROW()-3,"""DC-""0000"))</f>
        <v/>
      </c>
      <c r="B945" s="5" t="n"/>
      <c r="C945" s="5" t="n"/>
      <c r="D945" s="5" t="n"/>
      <c r="E945" s="5" t="n"/>
      <c r="F945" s="5" t="n"/>
      <c r="G945" s="5" t="n"/>
      <c r="H945" s="8" t="n"/>
      <c r="I945" s="8" t="n"/>
      <c r="J945" s="8" t="n"/>
      <c r="K945" s="11">
        <f>IF(B945="","",MAX(0,IFERROR(I945,0)*IFERROR(H945,0)-IFERROR(J945,0)))</f>
        <v/>
      </c>
      <c r="L945" s="8" t="n"/>
      <c r="M945" s="11">
        <f>IF(B945="","",MAX(0,K945-L945))</f>
        <v/>
      </c>
      <c r="N945" s="11">
        <f>IF(B945="","",IF(L945&gt;=K945,"Paid",IF(L945&gt;0,"Partial","Unpaid")))</f>
        <v/>
      </c>
      <c r="O945" s="5" t="n"/>
      <c r="P945" s="8" t="n"/>
      <c r="Q945" s="8" t="n"/>
      <c r="R945" s="11">
        <f>IF(B945="","",IFERROR(K945,0)+IFERROR(P945,0)-IFERROR(Q945,0))</f>
        <v/>
      </c>
      <c r="S945" s="5" t="n"/>
      <c r="T945" s="5" t="n"/>
      <c r="U945" s="11">
        <f>IF(B945="","",TRIM(LOWER(C945)&amp;"|"&amp;LOWER(D945)))</f>
        <v/>
      </c>
    </row>
    <row r="946">
      <c r="A946" s="11">
        <f>IF(B946="","",TEXT(ROW()-3,"""DC-""0000"))</f>
        <v/>
      </c>
      <c r="B946" s="5" t="n"/>
      <c r="C946" s="5" t="n"/>
      <c r="D946" s="5" t="n"/>
      <c r="E946" s="5" t="n"/>
      <c r="F946" s="5" t="n"/>
      <c r="G946" s="5" t="n"/>
      <c r="H946" s="8" t="n"/>
      <c r="I946" s="8" t="n"/>
      <c r="J946" s="8" t="n"/>
      <c r="K946" s="11">
        <f>IF(B946="","",MAX(0,IFERROR(I946,0)*IFERROR(H946,0)-IFERROR(J946,0)))</f>
        <v/>
      </c>
      <c r="L946" s="8" t="n"/>
      <c r="M946" s="11">
        <f>IF(B946="","",MAX(0,K946-L946))</f>
        <v/>
      </c>
      <c r="N946" s="11">
        <f>IF(B946="","",IF(L946&gt;=K946,"Paid",IF(L946&gt;0,"Partial","Unpaid")))</f>
        <v/>
      </c>
      <c r="O946" s="5" t="n"/>
      <c r="P946" s="8" t="n"/>
      <c r="Q946" s="8" t="n"/>
      <c r="R946" s="11">
        <f>IF(B946="","",IFERROR(K946,0)+IFERROR(P946,0)-IFERROR(Q946,0))</f>
        <v/>
      </c>
      <c r="S946" s="5" t="n"/>
      <c r="T946" s="5" t="n"/>
      <c r="U946" s="11">
        <f>IF(B946="","",TRIM(LOWER(C946)&amp;"|"&amp;LOWER(D946)))</f>
        <v/>
      </c>
    </row>
    <row r="947">
      <c r="A947" s="11">
        <f>IF(B947="","",TEXT(ROW()-3,"""DC-""0000"))</f>
        <v/>
      </c>
      <c r="B947" s="5" t="n"/>
      <c r="C947" s="5" t="n"/>
      <c r="D947" s="5" t="n"/>
      <c r="E947" s="5" t="n"/>
      <c r="F947" s="5" t="n"/>
      <c r="G947" s="5" t="n"/>
      <c r="H947" s="8" t="n"/>
      <c r="I947" s="8" t="n"/>
      <c r="J947" s="8" t="n"/>
      <c r="K947" s="11">
        <f>IF(B947="","",MAX(0,IFERROR(I947,0)*IFERROR(H947,0)-IFERROR(J947,0)))</f>
        <v/>
      </c>
      <c r="L947" s="8" t="n"/>
      <c r="M947" s="11">
        <f>IF(B947="","",MAX(0,K947-L947))</f>
        <v/>
      </c>
      <c r="N947" s="11">
        <f>IF(B947="","",IF(L947&gt;=K947,"Paid",IF(L947&gt;0,"Partial","Unpaid")))</f>
        <v/>
      </c>
      <c r="O947" s="5" t="n"/>
      <c r="P947" s="8" t="n"/>
      <c r="Q947" s="8" t="n"/>
      <c r="R947" s="11">
        <f>IF(B947="","",IFERROR(K947,0)+IFERROR(P947,0)-IFERROR(Q947,0))</f>
        <v/>
      </c>
      <c r="S947" s="5" t="n"/>
      <c r="T947" s="5" t="n"/>
      <c r="U947" s="11">
        <f>IF(B947="","",TRIM(LOWER(C947)&amp;"|"&amp;LOWER(D947)))</f>
        <v/>
      </c>
    </row>
    <row r="948">
      <c r="A948" s="11">
        <f>IF(B948="","",TEXT(ROW()-3,"""DC-""0000"))</f>
        <v/>
      </c>
      <c r="B948" s="5" t="n"/>
      <c r="C948" s="5" t="n"/>
      <c r="D948" s="5" t="n"/>
      <c r="E948" s="5" t="n"/>
      <c r="F948" s="5" t="n"/>
      <c r="G948" s="5" t="n"/>
      <c r="H948" s="8" t="n"/>
      <c r="I948" s="8" t="n"/>
      <c r="J948" s="8" t="n"/>
      <c r="K948" s="11">
        <f>IF(B948="","",MAX(0,IFERROR(I948,0)*IFERROR(H948,0)-IFERROR(J948,0)))</f>
        <v/>
      </c>
      <c r="L948" s="8" t="n"/>
      <c r="M948" s="11">
        <f>IF(B948="","",MAX(0,K948-L948))</f>
        <v/>
      </c>
      <c r="N948" s="11">
        <f>IF(B948="","",IF(L948&gt;=K948,"Paid",IF(L948&gt;0,"Partial","Unpaid")))</f>
        <v/>
      </c>
      <c r="O948" s="5" t="n"/>
      <c r="P948" s="8" t="n"/>
      <c r="Q948" s="8" t="n"/>
      <c r="R948" s="11">
        <f>IF(B948="","",IFERROR(K948,0)+IFERROR(P948,0)-IFERROR(Q948,0))</f>
        <v/>
      </c>
      <c r="S948" s="5" t="n"/>
      <c r="T948" s="5" t="n"/>
      <c r="U948" s="11">
        <f>IF(B948="","",TRIM(LOWER(C948)&amp;"|"&amp;LOWER(D948)))</f>
        <v/>
      </c>
    </row>
    <row r="949">
      <c r="A949" s="11">
        <f>IF(B949="","",TEXT(ROW()-3,"""DC-""0000"))</f>
        <v/>
      </c>
      <c r="B949" s="5" t="n"/>
      <c r="C949" s="5" t="n"/>
      <c r="D949" s="5" t="n"/>
      <c r="E949" s="5" t="n"/>
      <c r="F949" s="5" t="n"/>
      <c r="G949" s="5" t="n"/>
      <c r="H949" s="8" t="n"/>
      <c r="I949" s="8" t="n"/>
      <c r="J949" s="8" t="n"/>
      <c r="K949" s="11">
        <f>IF(B949="","",MAX(0,IFERROR(I949,0)*IFERROR(H949,0)-IFERROR(J949,0)))</f>
        <v/>
      </c>
      <c r="L949" s="8" t="n"/>
      <c r="M949" s="11">
        <f>IF(B949="","",MAX(0,K949-L949))</f>
        <v/>
      </c>
      <c r="N949" s="11">
        <f>IF(B949="","",IF(L949&gt;=K949,"Paid",IF(L949&gt;0,"Partial","Unpaid")))</f>
        <v/>
      </c>
      <c r="O949" s="5" t="n"/>
      <c r="P949" s="8" t="n"/>
      <c r="Q949" s="8" t="n"/>
      <c r="R949" s="11">
        <f>IF(B949="","",IFERROR(K949,0)+IFERROR(P949,0)-IFERROR(Q949,0))</f>
        <v/>
      </c>
      <c r="S949" s="5" t="n"/>
      <c r="T949" s="5" t="n"/>
      <c r="U949" s="11">
        <f>IF(B949="","",TRIM(LOWER(C949)&amp;"|"&amp;LOWER(D949)))</f>
        <v/>
      </c>
    </row>
    <row r="950">
      <c r="A950" s="11">
        <f>IF(B950="","",TEXT(ROW()-3,"""DC-""0000"))</f>
        <v/>
      </c>
      <c r="B950" s="5" t="n"/>
      <c r="C950" s="5" t="n"/>
      <c r="D950" s="5" t="n"/>
      <c r="E950" s="5" t="n"/>
      <c r="F950" s="5" t="n"/>
      <c r="G950" s="5" t="n"/>
      <c r="H950" s="8" t="n"/>
      <c r="I950" s="8" t="n"/>
      <c r="J950" s="8" t="n"/>
      <c r="K950" s="11">
        <f>IF(B950="","",MAX(0,IFERROR(I950,0)*IFERROR(H950,0)-IFERROR(J950,0)))</f>
        <v/>
      </c>
      <c r="L950" s="8" t="n"/>
      <c r="M950" s="11">
        <f>IF(B950="","",MAX(0,K950-L950))</f>
        <v/>
      </c>
      <c r="N950" s="11">
        <f>IF(B950="","",IF(L950&gt;=K950,"Paid",IF(L950&gt;0,"Partial","Unpaid")))</f>
        <v/>
      </c>
      <c r="O950" s="5" t="n"/>
      <c r="P950" s="8" t="n"/>
      <c r="Q950" s="8" t="n"/>
      <c r="R950" s="11">
        <f>IF(B950="","",IFERROR(K950,0)+IFERROR(P950,0)-IFERROR(Q950,0))</f>
        <v/>
      </c>
      <c r="S950" s="5" t="n"/>
      <c r="T950" s="5" t="n"/>
      <c r="U950" s="11">
        <f>IF(B950="","",TRIM(LOWER(C950)&amp;"|"&amp;LOWER(D950)))</f>
        <v/>
      </c>
    </row>
    <row r="951">
      <c r="A951" s="11">
        <f>IF(B951="","",TEXT(ROW()-3,"""DC-""0000"))</f>
        <v/>
      </c>
      <c r="B951" s="5" t="n"/>
      <c r="C951" s="5" t="n"/>
      <c r="D951" s="5" t="n"/>
      <c r="E951" s="5" t="n"/>
      <c r="F951" s="5" t="n"/>
      <c r="G951" s="5" t="n"/>
      <c r="H951" s="8" t="n"/>
      <c r="I951" s="8" t="n"/>
      <c r="J951" s="8" t="n"/>
      <c r="K951" s="11">
        <f>IF(B951="","",MAX(0,IFERROR(I951,0)*IFERROR(H951,0)-IFERROR(J951,0)))</f>
        <v/>
      </c>
      <c r="L951" s="8" t="n"/>
      <c r="M951" s="11">
        <f>IF(B951="","",MAX(0,K951-L951))</f>
        <v/>
      </c>
      <c r="N951" s="11">
        <f>IF(B951="","",IF(L951&gt;=K951,"Paid",IF(L951&gt;0,"Partial","Unpaid")))</f>
        <v/>
      </c>
      <c r="O951" s="5" t="n"/>
      <c r="P951" s="8" t="n"/>
      <c r="Q951" s="8" t="n"/>
      <c r="R951" s="11">
        <f>IF(B951="","",IFERROR(K951,0)+IFERROR(P951,0)-IFERROR(Q951,0))</f>
        <v/>
      </c>
      <c r="S951" s="5" t="n"/>
      <c r="T951" s="5" t="n"/>
      <c r="U951" s="11">
        <f>IF(B951="","",TRIM(LOWER(C951)&amp;"|"&amp;LOWER(D951)))</f>
        <v/>
      </c>
    </row>
    <row r="952">
      <c r="A952" s="11">
        <f>IF(B952="","",TEXT(ROW()-3,"""DC-""0000"))</f>
        <v/>
      </c>
      <c r="B952" s="5" t="n"/>
      <c r="C952" s="5" t="n"/>
      <c r="D952" s="5" t="n"/>
      <c r="E952" s="5" t="n"/>
      <c r="F952" s="5" t="n"/>
      <c r="G952" s="5" t="n"/>
      <c r="H952" s="8" t="n"/>
      <c r="I952" s="8" t="n"/>
      <c r="J952" s="8" t="n"/>
      <c r="K952" s="11">
        <f>IF(B952="","",MAX(0,IFERROR(I952,0)*IFERROR(H952,0)-IFERROR(J952,0)))</f>
        <v/>
      </c>
      <c r="L952" s="8" t="n"/>
      <c r="M952" s="11">
        <f>IF(B952="","",MAX(0,K952-L952))</f>
        <v/>
      </c>
      <c r="N952" s="11">
        <f>IF(B952="","",IF(L952&gt;=K952,"Paid",IF(L952&gt;0,"Partial","Unpaid")))</f>
        <v/>
      </c>
      <c r="O952" s="5" t="n"/>
      <c r="P952" s="8" t="n"/>
      <c r="Q952" s="8" t="n"/>
      <c r="R952" s="11">
        <f>IF(B952="","",IFERROR(K952,0)+IFERROR(P952,0)-IFERROR(Q952,0))</f>
        <v/>
      </c>
      <c r="S952" s="5" t="n"/>
      <c r="T952" s="5" t="n"/>
      <c r="U952" s="11">
        <f>IF(B952="","",TRIM(LOWER(C952)&amp;"|"&amp;LOWER(D952)))</f>
        <v/>
      </c>
    </row>
    <row r="953">
      <c r="A953" s="11">
        <f>IF(B953="","",TEXT(ROW()-3,"""DC-""0000"))</f>
        <v/>
      </c>
      <c r="B953" s="5" t="n"/>
      <c r="C953" s="5" t="n"/>
      <c r="D953" s="5" t="n"/>
      <c r="E953" s="5" t="n"/>
      <c r="F953" s="5" t="n"/>
      <c r="G953" s="5" t="n"/>
      <c r="H953" s="8" t="n"/>
      <c r="I953" s="8" t="n"/>
      <c r="J953" s="8" t="n"/>
      <c r="K953" s="11">
        <f>IF(B953="","",MAX(0,IFERROR(I953,0)*IFERROR(H953,0)-IFERROR(J953,0)))</f>
        <v/>
      </c>
      <c r="L953" s="8" t="n"/>
      <c r="M953" s="11">
        <f>IF(B953="","",MAX(0,K953-L953))</f>
        <v/>
      </c>
      <c r="N953" s="11">
        <f>IF(B953="","",IF(L953&gt;=K953,"Paid",IF(L953&gt;0,"Partial","Unpaid")))</f>
        <v/>
      </c>
      <c r="O953" s="5" t="n"/>
      <c r="P953" s="8" t="n"/>
      <c r="Q953" s="8" t="n"/>
      <c r="R953" s="11">
        <f>IF(B953="","",IFERROR(K953,0)+IFERROR(P953,0)-IFERROR(Q953,0))</f>
        <v/>
      </c>
      <c r="S953" s="5" t="n"/>
      <c r="T953" s="5" t="n"/>
      <c r="U953" s="11">
        <f>IF(B953="","",TRIM(LOWER(C953)&amp;"|"&amp;LOWER(D953)))</f>
        <v/>
      </c>
    </row>
    <row r="954">
      <c r="A954" s="11">
        <f>IF(B954="","",TEXT(ROW()-3,"""DC-""0000"))</f>
        <v/>
      </c>
      <c r="B954" s="5" t="n"/>
      <c r="C954" s="5" t="n"/>
      <c r="D954" s="5" t="n"/>
      <c r="E954" s="5" t="n"/>
      <c r="F954" s="5" t="n"/>
      <c r="G954" s="5" t="n"/>
      <c r="H954" s="8" t="n"/>
      <c r="I954" s="8" t="n"/>
      <c r="J954" s="8" t="n"/>
      <c r="K954" s="11">
        <f>IF(B954="","",MAX(0,IFERROR(I954,0)*IFERROR(H954,0)-IFERROR(J954,0)))</f>
        <v/>
      </c>
      <c r="L954" s="8" t="n"/>
      <c r="M954" s="11">
        <f>IF(B954="","",MAX(0,K954-L954))</f>
        <v/>
      </c>
      <c r="N954" s="11">
        <f>IF(B954="","",IF(L954&gt;=K954,"Paid",IF(L954&gt;0,"Partial","Unpaid")))</f>
        <v/>
      </c>
      <c r="O954" s="5" t="n"/>
      <c r="P954" s="8" t="n"/>
      <c r="Q954" s="8" t="n"/>
      <c r="R954" s="11">
        <f>IF(B954="","",IFERROR(K954,0)+IFERROR(P954,0)-IFERROR(Q954,0))</f>
        <v/>
      </c>
      <c r="S954" s="5" t="n"/>
      <c r="T954" s="5" t="n"/>
      <c r="U954" s="11">
        <f>IF(B954="","",TRIM(LOWER(C954)&amp;"|"&amp;LOWER(D954)))</f>
        <v/>
      </c>
    </row>
    <row r="955">
      <c r="A955" s="11">
        <f>IF(B955="","",TEXT(ROW()-3,"""DC-""0000"))</f>
        <v/>
      </c>
      <c r="B955" s="5" t="n"/>
      <c r="C955" s="5" t="n"/>
      <c r="D955" s="5" t="n"/>
      <c r="E955" s="5" t="n"/>
      <c r="F955" s="5" t="n"/>
      <c r="G955" s="5" t="n"/>
      <c r="H955" s="8" t="n"/>
      <c r="I955" s="8" t="n"/>
      <c r="J955" s="8" t="n"/>
      <c r="K955" s="11">
        <f>IF(B955="","",MAX(0,IFERROR(I955,0)*IFERROR(H955,0)-IFERROR(J955,0)))</f>
        <v/>
      </c>
      <c r="L955" s="8" t="n"/>
      <c r="M955" s="11">
        <f>IF(B955="","",MAX(0,K955-L955))</f>
        <v/>
      </c>
      <c r="N955" s="11">
        <f>IF(B955="","",IF(L955&gt;=K955,"Paid",IF(L955&gt;0,"Partial","Unpaid")))</f>
        <v/>
      </c>
      <c r="O955" s="5" t="n"/>
      <c r="P955" s="8" t="n"/>
      <c r="Q955" s="8" t="n"/>
      <c r="R955" s="11">
        <f>IF(B955="","",IFERROR(K955,0)+IFERROR(P955,0)-IFERROR(Q955,0))</f>
        <v/>
      </c>
      <c r="S955" s="5" t="n"/>
      <c r="T955" s="5" t="n"/>
      <c r="U955" s="11">
        <f>IF(B955="","",TRIM(LOWER(C955)&amp;"|"&amp;LOWER(D955)))</f>
        <v/>
      </c>
    </row>
    <row r="956">
      <c r="A956" s="11">
        <f>IF(B956="","",TEXT(ROW()-3,"""DC-""0000"))</f>
        <v/>
      </c>
      <c r="B956" s="5" t="n"/>
      <c r="C956" s="5" t="n"/>
      <c r="D956" s="5" t="n"/>
      <c r="E956" s="5" t="n"/>
      <c r="F956" s="5" t="n"/>
      <c r="G956" s="5" t="n"/>
      <c r="H956" s="8" t="n"/>
      <c r="I956" s="8" t="n"/>
      <c r="J956" s="8" t="n"/>
      <c r="K956" s="11">
        <f>IF(B956="","",MAX(0,IFERROR(I956,0)*IFERROR(H956,0)-IFERROR(J956,0)))</f>
        <v/>
      </c>
      <c r="L956" s="8" t="n"/>
      <c r="M956" s="11">
        <f>IF(B956="","",MAX(0,K956-L956))</f>
        <v/>
      </c>
      <c r="N956" s="11">
        <f>IF(B956="","",IF(L956&gt;=K956,"Paid",IF(L956&gt;0,"Partial","Unpaid")))</f>
        <v/>
      </c>
      <c r="O956" s="5" t="n"/>
      <c r="P956" s="8" t="n"/>
      <c r="Q956" s="8" t="n"/>
      <c r="R956" s="11">
        <f>IF(B956="","",IFERROR(K956,0)+IFERROR(P956,0)-IFERROR(Q956,0))</f>
        <v/>
      </c>
      <c r="S956" s="5" t="n"/>
      <c r="T956" s="5" t="n"/>
      <c r="U956" s="11">
        <f>IF(B956="","",TRIM(LOWER(C956)&amp;"|"&amp;LOWER(D956)))</f>
        <v/>
      </c>
    </row>
    <row r="957">
      <c r="A957" s="11">
        <f>IF(B957="","",TEXT(ROW()-3,"""DC-""0000"))</f>
        <v/>
      </c>
      <c r="B957" s="5" t="n"/>
      <c r="C957" s="5" t="n"/>
      <c r="D957" s="5" t="n"/>
      <c r="E957" s="5" t="n"/>
      <c r="F957" s="5" t="n"/>
      <c r="G957" s="5" t="n"/>
      <c r="H957" s="8" t="n"/>
      <c r="I957" s="8" t="n"/>
      <c r="J957" s="8" t="n"/>
      <c r="K957" s="11">
        <f>IF(B957="","",MAX(0,IFERROR(I957,0)*IFERROR(H957,0)-IFERROR(J957,0)))</f>
        <v/>
      </c>
      <c r="L957" s="8" t="n"/>
      <c r="M957" s="11">
        <f>IF(B957="","",MAX(0,K957-L957))</f>
        <v/>
      </c>
      <c r="N957" s="11">
        <f>IF(B957="","",IF(L957&gt;=K957,"Paid",IF(L957&gt;0,"Partial","Unpaid")))</f>
        <v/>
      </c>
      <c r="O957" s="5" t="n"/>
      <c r="P957" s="8" t="n"/>
      <c r="Q957" s="8" t="n"/>
      <c r="R957" s="11">
        <f>IF(B957="","",IFERROR(K957,0)+IFERROR(P957,0)-IFERROR(Q957,0))</f>
        <v/>
      </c>
      <c r="S957" s="5" t="n"/>
      <c r="T957" s="5" t="n"/>
      <c r="U957" s="11">
        <f>IF(B957="","",TRIM(LOWER(C957)&amp;"|"&amp;LOWER(D957)))</f>
        <v/>
      </c>
    </row>
    <row r="958">
      <c r="A958" s="11">
        <f>IF(B958="","",TEXT(ROW()-3,"""DC-""0000"))</f>
        <v/>
      </c>
      <c r="B958" s="5" t="n"/>
      <c r="C958" s="5" t="n"/>
      <c r="D958" s="5" t="n"/>
      <c r="E958" s="5" t="n"/>
      <c r="F958" s="5" t="n"/>
      <c r="G958" s="5" t="n"/>
      <c r="H958" s="8" t="n"/>
      <c r="I958" s="8" t="n"/>
      <c r="J958" s="8" t="n"/>
      <c r="K958" s="11">
        <f>IF(B958="","",MAX(0,IFERROR(I958,0)*IFERROR(H958,0)-IFERROR(J958,0)))</f>
        <v/>
      </c>
      <c r="L958" s="8" t="n"/>
      <c r="M958" s="11">
        <f>IF(B958="","",MAX(0,K958-L958))</f>
        <v/>
      </c>
      <c r="N958" s="11">
        <f>IF(B958="","",IF(L958&gt;=K958,"Paid",IF(L958&gt;0,"Partial","Unpaid")))</f>
        <v/>
      </c>
      <c r="O958" s="5" t="n"/>
      <c r="P958" s="8" t="n"/>
      <c r="Q958" s="8" t="n"/>
      <c r="R958" s="11">
        <f>IF(B958="","",IFERROR(K958,0)+IFERROR(P958,0)-IFERROR(Q958,0))</f>
        <v/>
      </c>
      <c r="S958" s="5" t="n"/>
      <c r="T958" s="5" t="n"/>
      <c r="U958" s="11">
        <f>IF(B958="","",TRIM(LOWER(C958)&amp;"|"&amp;LOWER(D958)))</f>
        <v/>
      </c>
    </row>
    <row r="959">
      <c r="A959" s="11">
        <f>IF(B959="","",TEXT(ROW()-3,"""DC-""0000"))</f>
        <v/>
      </c>
      <c r="B959" s="5" t="n"/>
      <c r="C959" s="5" t="n"/>
      <c r="D959" s="5" t="n"/>
      <c r="E959" s="5" t="n"/>
      <c r="F959" s="5" t="n"/>
      <c r="G959" s="5" t="n"/>
      <c r="H959" s="8" t="n"/>
      <c r="I959" s="8" t="n"/>
      <c r="J959" s="8" t="n"/>
      <c r="K959" s="11">
        <f>IF(B959="","",MAX(0,IFERROR(I959,0)*IFERROR(H959,0)-IFERROR(J959,0)))</f>
        <v/>
      </c>
      <c r="L959" s="8" t="n"/>
      <c r="M959" s="11">
        <f>IF(B959="","",MAX(0,K959-L959))</f>
        <v/>
      </c>
      <c r="N959" s="11">
        <f>IF(B959="","",IF(L959&gt;=K959,"Paid",IF(L959&gt;0,"Partial","Unpaid")))</f>
        <v/>
      </c>
      <c r="O959" s="5" t="n"/>
      <c r="P959" s="8" t="n"/>
      <c r="Q959" s="8" t="n"/>
      <c r="R959" s="11">
        <f>IF(B959="","",IFERROR(K959,0)+IFERROR(P959,0)-IFERROR(Q959,0))</f>
        <v/>
      </c>
      <c r="S959" s="5" t="n"/>
      <c r="T959" s="5" t="n"/>
      <c r="U959" s="11">
        <f>IF(B959="","",TRIM(LOWER(C959)&amp;"|"&amp;LOWER(D959)))</f>
        <v/>
      </c>
    </row>
    <row r="960">
      <c r="A960" s="11">
        <f>IF(B960="","",TEXT(ROW()-3,"""DC-""0000"))</f>
        <v/>
      </c>
      <c r="B960" s="5" t="n"/>
      <c r="C960" s="5" t="n"/>
      <c r="D960" s="5" t="n"/>
      <c r="E960" s="5" t="n"/>
      <c r="F960" s="5" t="n"/>
      <c r="G960" s="5" t="n"/>
      <c r="H960" s="8" t="n"/>
      <c r="I960" s="8" t="n"/>
      <c r="J960" s="8" t="n"/>
      <c r="K960" s="11">
        <f>IF(B960="","",MAX(0,IFERROR(I960,0)*IFERROR(H960,0)-IFERROR(J960,0)))</f>
        <v/>
      </c>
      <c r="L960" s="8" t="n"/>
      <c r="M960" s="11">
        <f>IF(B960="","",MAX(0,K960-L960))</f>
        <v/>
      </c>
      <c r="N960" s="11">
        <f>IF(B960="","",IF(L960&gt;=K960,"Paid",IF(L960&gt;0,"Partial","Unpaid")))</f>
        <v/>
      </c>
      <c r="O960" s="5" t="n"/>
      <c r="P960" s="8" t="n"/>
      <c r="Q960" s="8" t="n"/>
      <c r="R960" s="11">
        <f>IF(B960="","",IFERROR(K960,0)+IFERROR(P960,0)-IFERROR(Q960,0))</f>
        <v/>
      </c>
      <c r="S960" s="5" t="n"/>
      <c r="T960" s="5" t="n"/>
      <c r="U960" s="11">
        <f>IF(B960="","",TRIM(LOWER(C960)&amp;"|"&amp;LOWER(D960)))</f>
        <v/>
      </c>
    </row>
    <row r="961">
      <c r="A961" s="11">
        <f>IF(B961="","",TEXT(ROW()-3,"""DC-""0000"))</f>
        <v/>
      </c>
      <c r="B961" s="5" t="n"/>
      <c r="C961" s="5" t="n"/>
      <c r="D961" s="5" t="n"/>
      <c r="E961" s="5" t="n"/>
      <c r="F961" s="5" t="n"/>
      <c r="G961" s="5" t="n"/>
      <c r="H961" s="8" t="n"/>
      <c r="I961" s="8" t="n"/>
      <c r="J961" s="8" t="n"/>
      <c r="K961" s="11">
        <f>IF(B961="","",MAX(0,IFERROR(I961,0)*IFERROR(H961,0)-IFERROR(J961,0)))</f>
        <v/>
      </c>
      <c r="L961" s="8" t="n"/>
      <c r="M961" s="11">
        <f>IF(B961="","",MAX(0,K961-L961))</f>
        <v/>
      </c>
      <c r="N961" s="11">
        <f>IF(B961="","",IF(L961&gt;=K961,"Paid",IF(L961&gt;0,"Partial","Unpaid")))</f>
        <v/>
      </c>
      <c r="O961" s="5" t="n"/>
      <c r="P961" s="8" t="n"/>
      <c r="Q961" s="8" t="n"/>
      <c r="R961" s="11">
        <f>IF(B961="","",IFERROR(K961,0)+IFERROR(P961,0)-IFERROR(Q961,0))</f>
        <v/>
      </c>
      <c r="S961" s="5" t="n"/>
      <c r="T961" s="5" t="n"/>
      <c r="U961" s="11">
        <f>IF(B961="","",TRIM(LOWER(C961)&amp;"|"&amp;LOWER(D961)))</f>
        <v/>
      </c>
    </row>
    <row r="962">
      <c r="A962" s="11">
        <f>IF(B962="","",TEXT(ROW()-3,"""DC-""0000"))</f>
        <v/>
      </c>
      <c r="B962" s="5" t="n"/>
      <c r="C962" s="5" t="n"/>
      <c r="D962" s="5" t="n"/>
      <c r="E962" s="5" t="n"/>
      <c r="F962" s="5" t="n"/>
      <c r="G962" s="5" t="n"/>
      <c r="H962" s="8" t="n"/>
      <c r="I962" s="8" t="n"/>
      <c r="J962" s="8" t="n"/>
      <c r="K962" s="11">
        <f>IF(B962="","",MAX(0,IFERROR(I962,0)*IFERROR(H962,0)-IFERROR(J962,0)))</f>
        <v/>
      </c>
      <c r="L962" s="8" t="n"/>
      <c r="M962" s="11">
        <f>IF(B962="","",MAX(0,K962-L962))</f>
        <v/>
      </c>
      <c r="N962" s="11">
        <f>IF(B962="","",IF(L962&gt;=K962,"Paid",IF(L962&gt;0,"Partial","Unpaid")))</f>
        <v/>
      </c>
      <c r="O962" s="5" t="n"/>
      <c r="P962" s="8" t="n"/>
      <c r="Q962" s="8" t="n"/>
      <c r="R962" s="11">
        <f>IF(B962="","",IFERROR(K962,0)+IFERROR(P962,0)-IFERROR(Q962,0))</f>
        <v/>
      </c>
      <c r="S962" s="5" t="n"/>
      <c r="T962" s="5" t="n"/>
      <c r="U962" s="11">
        <f>IF(B962="","",TRIM(LOWER(C962)&amp;"|"&amp;LOWER(D962)))</f>
        <v/>
      </c>
    </row>
    <row r="963">
      <c r="A963" s="11">
        <f>IF(B963="","",TEXT(ROW()-3,"""DC-""0000"))</f>
        <v/>
      </c>
      <c r="B963" s="5" t="n"/>
      <c r="C963" s="5" t="n"/>
      <c r="D963" s="5" t="n"/>
      <c r="E963" s="5" t="n"/>
      <c r="F963" s="5" t="n"/>
      <c r="G963" s="5" t="n"/>
      <c r="H963" s="8" t="n"/>
      <c r="I963" s="8" t="n"/>
      <c r="J963" s="8" t="n"/>
      <c r="K963" s="11">
        <f>IF(B963="","",MAX(0,IFERROR(I963,0)*IFERROR(H963,0)-IFERROR(J963,0)))</f>
        <v/>
      </c>
      <c r="L963" s="8" t="n"/>
      <c r="M963" s="11">
        <f>IF(B963="","",MAX(0,K963-L963))</f>
        <v/>
      </c>
      <c r="N963" s="11">
        <f>IF(B963="","",IF(L963&gt;=K963,"Paid",IF(L963&gt;0,"Partial","Unpaid")))</f>
        <v/>
      </c>
      <c r="O963" s="5" t="n"/>
      <c r="P963" s="8" t="n"/>
      <c r="Q963" s="8" t="n"/>
      <c r="R963" s="11">
        <f>IF(B963="","",IFERROR(K963,0)+IFERROR(P963,0)-IFERROR(Q963,0))</f>
        <v/>
      </c>
      <c r="S963" s="5" t="n"/>
      <c r="T963" s="5" t="n"/>
      <c r="U963" s="11">
        <f>IF(B963="","",TRIM(LOWER(C963)&amp;"|"&amp;LOWER(D963)))</f>
        <v/>
      </c>
    </row>
    <row r="964">
      <c r="A964" s="11">
        <f>IF(B964="","",TEXT(ROW()-3,"""DC-""0000"))</f>
        <v/>
      </c>
      <c r="B964" s="5" t="n"/>
      <c r="C964" s="5" t="n"/>
      <c r="D964" s="5" t="n"/>
      <c r="E964" s="5" t="n"/>
      <c r="F964" s="5" t="n"/>
      <c r="G964" s="5" t="n"/>
      <c r="H964" s="8" t="n"/>
      <c r="I964" s="8" t="n"/>
      <c r="J964" s="8" t="n"/>
      <c r="K964" s="11">
        <f>IF(B964="","",MAX(0,IFERROR(I964,0)*IFERROR(H964,0)-IFERROR(J964,0)))</f>
        <v/>
      </c>
      <c r="L964" s="8" t="n"/>
      <c r="M964" s="11">
        <f>IF(B964="","",MAX(0,K964-L964))</f>
        <v/>
      </c>
      <c r="N964" s="11">
        <f>IF(B964="","",IF(L964&gt;=K964,"Paid",IF(L964&gt;0,"Partial","Unpaid")))</f>
        <v/>
      </c>
      <c r="O964" s="5" t="n"/>
      <c r="P964" s="8" t="n"/>
      <c r="Q964" s="8" t="n"/>
      <c r="R964" s="11">
        <f>IF(B964="","",IFERROR(K964,0)+IFERROR(P964,0)-IFERROR(Q964,0))</f>
        <v/>
      </c>
      <c r="S964" s="5" t="n"/>
      <c r="T964" s="5" t="n"/>
      <c r="U964" s="11">
        <f>IF(B964="","",TRIM(LOWER(C964)&amp;"|"&amp;LOWER(D964)))</f>
        <v/>
      </c>
    </row>
    <row r="965">
      <c r="A965" s="11">
        <f>IF(B965="","",TEXT(ROW()-3,"""DC-""0000"))</f>
        <v/>
      </c>
      <c r="B965" s="5" t="n"/>
      <c r="C965" s="5" t="n"/>
      <c r="D965" s="5" t="n"/>
      <c r="E965" s="5" t="n"/>
      <c r="F965" s="5" t="n"/>
      <c r="G965" s="5" t="n"/>
      <c r="H965" s="8" t="n"/>
      <c r="I965" s="8" t="n"/>
      <c r="J965" s="8" t="n"/>
      <c r="K965" s="11">
        <f>IF(B965="","",MAX(0,IFERROR(I965,0)*IFERROR(H965,0)-IFERROR(J965,0)))</f>
        <v/>
      </c>
      <c r="L965" s="8" t="n"/>
      <c r="M965" s="11">
        <f>IF(B965="","",MAX(0,K965-L965))</f>
        <v/>
      </c>
      <c r="N965" s="11">
        <f>IF(B965="","",IF(L965&gt;=K965,"Paid",IF(L965&gt;0,"Partial","Unpaid")))</f>
        <v/>
      </c>
      <c r="O965" s="5" t="n"/>
      <c r="P965" s="8" t="n"/>
      <c r="Q965" s="8" t="n"/>
      <c r="R965" s="11">
        <f>IF(B965="","",IFERROR(K965,0)+IFERROR(P965,0)-IFERROR(Q965,0))</f>
        <v/>
      </c>
      <c r="S965" s="5" t="n"/>
      <c r="T965" s="5" t="n"/>
      <c r="U965" s="11">
        <f>IF(B965="","",TRIM(LOWER(C965)&amp;"|"&amp;LOWER(D965)))</f>
        <v/>
      </c>
    </row>
    <row r="966">
      <c r="A966" s="11">
        <f>IF(B966="","",TEXT(ROW()-3,"""DC-""0000"))</f>
        <v/>
      </c>
      <c r="B966" s="5" t="n"/>
      <c r="C966" s="5" t="n"/>
      <c r="D966" s="5" t="n"/>
      <c r="E966" s="5" t="n"/>
      <c r="F966" s="5" t="n"/>
      <c r="G966" s="5" t="n"/>
      <c r="H966" s="8" t="n"/>
      <c r="I966" s="8" t="n"/>
      <c r="J966" s="8" t="n"/>
      <c r="K966" s="11">
        <f>IF(B966="","",MAX(0,IFERROR(I966,0)*IFERROR(H966,0)-IFERROR(J966,0)))</f>
        <v/>
      </c>
      <c r="L966" s="8" t="n"/>
      <c r="M966" s="11">
        <f>IF(B966="","",MAX(0,K966-L966))</f>
        <v/>
      </c>
      <c r="N966" s="11">
        <f>IF(B966="","",IF(L966&gt;=K966,"Paid",IF(L966&gt;0,"Partial","Unpaid")))</f>
        <v/>
      </c>
      <c r="O966" s="5" t="n"/>
      <c r="P966" s="8" t="n"/>
      <c r="Q966" s="8" t="n"/>
      <c r="R966" s="11">
        <f>IF(B966="","",IFERROR(K966,0)+IFERROR(P966,0)-IFERROR(Q966,0))</f>
        <v/>
      </c>
      <c r="S966" s="5" t="n"/>
      <c r="T966" s="5" t="n"/>
      <c r="U966" s="11">
        <f>IF(B966="","",TRIM(LOWER(C966)&amp;"|"&amp;LOWER(D966)))</f>
        <v/>
      </c>
    </row>
    <row r="967">
      <c r="A967" s="11">
        <f>IF(B967="","",TEXT(ROW()-3,"""DC-""0000"))</f>
        <v/>
      </c>
      <c r="B967" s="5" t="n"/>
      <c r="C967" s="5" t="n"/>
      <c r="D967" s="5" t="n"/>
      <c r="E967" s="5" t="n"/>
      <c r="F967" s="5" t="n"/>
      <c r="G967" s="5" t="n"/>
      <c r="H967" s="8" t="n"/>
      <c r="I967" s="8" t="n"/>
      <c r="J967" s="8" t="n"/>
      <c r="K967" s="11">
        <f>IF(B967="","",MAX(0,IFERROR(I967,0)*IFERROR(H967,0)-IFERROR(J967,0)))</f>
        <v/>
      </c>
      <c r="L967" s="8" t="n"/>
      <c r="M967" s="11">
        <f>IF(B967="","",MAX(0,K967-L967))</f>
        <v/>
      </c>
      <c r="N967" s="11">
        <f>IF(B967="","",IF(L967&gt;=K967,"Paid",IF(L967&gt;0,"Partial","Unpaid")))</f>
        <v/>
      </c>
      <c r="O967" s="5" t="n"/>
      <c r="P967" s="8" t="n"/>
      <c r="Q967" s="8" t="n"/>
      <c r="R967" s="11">
        <f>IF(B967="","",IFERROR(K967,0)+IFERROR(P967,0)-IFERROR(Q967,0))</f>
        <v/>
      </c>
      <c r="S967" s="5" t="n"/>
      <c r="T967" s="5" t="n"/>
      <c r="U967" s="11">
        <f>IF(B967="","",TRIM(LOWER(C967)&amp;"|"&amp;LOWER(D967)))</f>
        <v/>
      </c>
    </row>
    <row r="968">
      <c r="A968" s="11">
        <f>IF(B968="","",TEXT(ROW()-3,"""DC-""0000"))</f>
        <v/>
      </c>
      <c r="B968" s="5" t="n"/>
      <c r="C968" s="5" t="n"/>
      <c r="D968" s="5" t="n"/>
      <c r="E968" s="5" t="n"/>
      <c r="F968" s="5" t="n"/>
      <c r="G968" s="5" t="n"/>
      <c r="H968" s="8" t="n"/>
      <c r="I968" s="8" t="n"/>
      <c r="J968" s="8" t="n"/>
      <c r="K968" s="11">
        <f>IF(B968="","",MAX(0,IFERROR(I968,0)*IFERROR(H968,0)-IFERROR(J968,0)))</f>
        <v/>
      </c>
      <c r="L968" s="8" t="n"/>
      <c r="M968" s="11">
        <f>IF(B968="","",MAX(0,K968-L968))</f>
        <v/>
      </c>
      <c r="N968" s="11">
        <f>IF(B968="","",IF(L968&gt;=K968,"Paid",IF(L968&gt;0,"Partial","Unpaid")))</f>
        <v/>
      </c>
      <c r="O968" s="5" t="n"/>
      <c r="P968" s="8" t="n"/>
      <c r="Q968" s="8" t="n"/>
      <c r="R968" s="11">
        <f>IF(B968="","",IFERROR(K968,0)+IFERROR(P968,0)-IFERROR(Q968,0))</f>
        <v/>
      </c>
      <c r="S968" s="5" t="n"/>
      <c r="T968" s="5" t="n"/>
      <c r="U968" s="11">
        <f>IF(B968="","",TRIM(LOWER(C968)&amp;"|"&amp;LOWER(D968)))</f>
        <v/>
      </c>
    </row>
    <row r="969">
      <c r="A969" s="11">
        <f>IF(B969="","",TEXT(ROW()-3,"""DC-""0000"))</f>
        <v/>
      </c>
      <c r="B969" s="5" t="n"/>
      <c r="C969" s="5" t="n"/>
      <c r="D969" s="5" t="n"/>
      <c r="E969" s="5" t="n"/>
      <c r="F969" s="5" t="n"/>
      <c r="G969" s="5" t="n"/>
      <c r="H969" s="8" t="n"/>
      <c r="I969" s="8" t="n"/>
      <c r="J969" s="8" t="n"/>
      <c r="K969" s="11">
        <f>IF(B969="","",MAX(0,IFERROR(I969,0)*IFERROR(H969,0)-IFERROR(J969,0)))</f>
        <v/>
      </c>
      <c r="L969" s="8" t="n"/>
      <c r="M969" s="11">
        <f>IF(B969="","",MAX(0,K969-L969))</f>
        <v/>
      </c>
      <c r="N969" s="11">
        <f>IF(B969="","",IF(L969&gt;=K969,"Paid",IF(L969&gt;0,"Partial","Unpaid")))</f>
        <v/>
      </c>
      <c r="O969" s="5" t="n"/>
      <c r="P969" s="8" t="n"/>
      <c r="Q969" s="8" t="n"/>
      <c r="R969" s="11">
        <f>IF(B969="","",IFERROR(K969,0)+IFERROR(P969,0)-IFERROR(Q969,0))</f>
        <v/>
      </c>
      <c r="S969" s="5" t="n"/>
      <c r="T969" s="5" t="n"/>
      <c r="U969" s="11">
        <f>IF(B969="","",TRIM(LOWER(C969)&amp;"|"&amp;LOWER(D969)))</f>
        <v/>
      </c>
    </row>
    <row r="970">
      <c r="A970" s="11">
        <f>IF(B970="","",TEXT(ROW()-3,"""DC-""0000"))</f>
        <v/>
      </c>
      <c r="B970" s="5" t="n"/>
      <c r="C970" s="5" t="n"/>
      <c r="D970" s="5" t="n"/>
      <c r="E970" s="5" t="n"/>
      <c r="F970" s="5" t="n"/>
      <c r="G970" s="5" t="n"/>
      <c r="H970" s="8" t="n"/>
      <c r="I970" s="8" t="n"/>
      <c r="J970" s="8" t="n"/>
      <c r="K970" s="11">
        <f>IF(B970="","",MAX(0,IFERROR(I970,0)*IFERROR(H970,0)-IFERROR(J970,0)))</f>
        <v/>
      </c>
      <c r="L970" s="8" t="n"/>
      <c r="M970" s="11">
        <f>IF(B970="","",MAX(0,K970-L970))</f>
        <v/>
      </c>
      <c r="N970" s="11">
        <f>IF(B970="","",IF(L970&gt;=K970,"Paid",IF(L970&gt;0,"Partial","Unpaid")))</f>
        <v/>
      </c>
      <c r="O970" s="5" t="n"/>
      <c r="P970" s="8" t="n"/>
      <c r="Q970" s="8" t="n"/>
      <c r="R970" s="11">
        <f>IF(B970="","",IFERROR(K970,0)+IFERROR(P970,0)-IFERROR(Q970,0))</f>
        <v/>
      </c>
      <c r="S970" s="5" t="n"/>
      <c r="T970" s="5" t="n"/>
      <c r="U970" s="11">
        <f>IF(B970="","",TRIM(LOWER(C970)&amp;"|"&amp;LOWER(D970)))</f>
        <v/>
      </c>
    </row>
    <row r="971">
      <c r="A971" s="11">
        <f>IF(B971="","",TEXT(ROW()-3,"""DC-""0000"))</f>
        <v/>
      </c>
      <c r="B971" s="5" t="n"/>
      <c r="C971" s="5" t="n"/>
      <c r="D971" s="5" t="n"/>
      <c r="E971" s="5" t="n"/>
      <c r="F971" s="5" t="n"/>
      <c r="G971" s="5" t="n"/>
      <c r="H971" s="8" t="n"/>
      <c r="I971" s="8" t="n"/>
      <c r="J971" s="8" t="n"/>
      <c r="K971" s="11">
        <f>IF(B971="","",MAX(0,IFERROR(I971,0)*IFERROR(H971,0)-IFERROR(J971,0)))</f>
        <v/>
      </c>
      <c r="L971" s="8" t="n"/>
      <c r="M971" s="11">
        <f>IF(B971="","",MAX(0,K971-L971))</f>
        <v/>
      </c>
      <c r="N971" s="11">
        <f>IF(B971="","",IF(L971&gt;=K971,"Paid",IF(L971&gt;0,"Partial","Unpaid")))</f>
        <v/>
      </c>
      <c r="O971" s="5" t="n"/>
      <c r="P971" s="8" t="n"/>
      <c r="Q971" s="8" t="n"/>
      <c r="R971" s="11">
        <f>IF(B971="","",IFERROR(K971,0)+IFERROR(P971,0)-IFERROR(Q971,0))</f>
        <v/>
      </c>
      <c r="S971" s="5" t="n"/>
      <c r="T971" s="5" t="n"/>
      <c r="U971" s="11">
        <f>IF(B971="","",TRIM(LOWER(C971)&amp;"|"&amp;LOWER(D971)))</f>
        <v/>
      </c>
    </row>
    <row r="972">
      <c r="A972" s="11">
        <f>IF(B972="","",TEXT(ROW()-3,"""DC-""0000"))</f>
        <v/>
      </c>
      <c r="B972" s="5" t="n"/>
      <c r="C972" s="5" t="n"/>
      <c r="D972" s="5" t="n"/>
      <c r="E972" s="5" t="n"/>
      <c r="F972" s="5" t="n"/>
      <c r="G972" s="5" t="n"/>
      <c r="H972" s="8" t="n"/>
      <c r="I972" s="8" t="n"/>
      <c r="J972" s="8" t="n"/>
      <c r="K972" s="11">
        <f>IF(B972="","",MAX(0,IFERROR(I972,0)*IFERROR(H972,0)-IFERROR(J972,0)))</f>
        <v/>
      </c>
      <c r="L972" s="8" t="n"/>
      <c r="M972" s="11">
        <f>IF(B972="","",MAX(0,K972-L972))</f>
        <v/>
      </c>
      <c r="N972" s="11">
        <f>IF(B972="","",IF(L972&gt;=K972,"Paid",IF(L972&gt;0,"Partial","Unpaid")))</f>
        <v/>
      </c>
      <c r="O972" s="5" t="n"/>
      <c r="P972" s="8" t="n"/>
      <c r="Q972" s="8" t="n"/>
      <c r="R972" s="11">
        <f>IF(B972="","",IFERROR(K972,0)+IFERROR(P972,0)-IFERROR(Q972,0))</f>
        <v/>
      </c>
      <c r="S972" s="5" t="n"/>
      <c r="T972" s="5" t="n"/>
      <c r="U972" s="11">
        <f>IF(B972="","",TRIM(LOWER(C972)&amp;"|"&amp;LOWER(D972)))</f>
        <v/>
      </c>
    </row>
    <row r="973">
      <c r="A973" s="11">
        <f>IF(B973="","",TEXT(ROW()-3,"""DC-""0000"))</f>
        <v/>
      </c>
      <c r="B973" s="5" t="n"/>
      <c r="C973" s="5" t="n"/>
      <c r="D973" s="5" t="n"/>
      <c r="E973" s="5" t="n"/>
      <c r="F973" s="5" t="n"/>
      <c r="G973" s="5" t="n"/>
      <c r="H973" s="8" t="n"/>
      <c r="I973" s="8" t="n"/>
      <c r="J973" s="8" t="n"/>
      <c r="K973" s="11">
        <f>IF(B973="","",MAX(0,IFERROR(I973,0)*IFERROR(H973,0)-IFERROR(J973,0)))</f>
        <v/>
      </c>
      <c r="L973" s="8" t="n"/>
      <c r="M973" s="11">
        <f>IF(B973="","",MAX(0,K973-L973))</f>
        <v/>
      </c>
      <c r="N973" s="11">
        <f>IF(B973="","",IF(L973&gt;=K973,"Paid",IF(L973&gt;0,"Partial","Unpaid")))</f>
        <v/>
      </c>
      <c r="O973" s="5" t="n"/>
      <c r="P973" s="8" t="n"/>
      <c r="Q973" s="8" t="n"/>
      <c r="R973" s="11">
        <f>IF(B973="","",IFERROR(K973,0)+IFERROR(P973,0)-IFERROR(Q973,0))</f>
        <v/>
      </c>
      <c r="S973" s="5" t="n"/>
      <c r="T973" s="5" t="n"/>
      <c r="U973" s="11">
        <f>IF(B973="","",TRIM(LOWER(C973)&amp;"|"&amp;LOWER(D973)))</f>
        <v/>
      </c>
    </row>
    <row r="974">
      <c r="A974" s="11">
        <f>IF(B974="","",TEXT(ROW()-3,"""DC-""0000"))</f>
        <v/>
      </c>
      <c r="B974" s="5" t="n"/>
      <c r="C974" s="5" t="n"/>
      <c r="D974" s="5" t="n"/>
      <c r="E974" s="5" t="n"/>
      <c r="F974" s="5" t="n"/>
      <c r="G974" s="5" t="n"/>
      <c r="H974" s="8" t="n"/>
      <c r="I974" s="8" t="n"/>
      <c r="J974" s="8" t="n"/>
      <c r="K974" s="11">
        <f>IF(B974="","",MAX(0,IFERROR(I974,0)*IFERROR(H974,0)-IFERROR(J974,0)))</f>
        <v/>
      </c>
      <c r="L974" s="8" t="n"/>
      <c r="M974" s="11">
        <f>IF(B974="","",MAX(0,K974-L974))</f>
        <v/>
      </c>
      <c r="N974" s="11">
        <f>IF(B974="","",IF(L974&gt;=K974,"Paid",IF(L974&gt;0,"Partial","Unpaid")))</f>
        <v/>
      </c>
      <c r="O974" s="5" t="n"/>
      <c r="P974" s="8" t="n"/>
      <c r="Q974" s="8" t="n"/>
      <c r="R974" s="11">
        <f>IF(B974="","",IFERROR(K974,0)+IFERROR(P974,0)-IFERROR(Q974,0))</f>
        <v/>
      </c>
      <c r="S974" s="5" t="n"/>
      <c r="T974" s="5" t="n"/>
      <c r="U974" s="11">
        <f>IF(B974="","",TRIM(LOWER(C974)&amp;"|"&amp;LOWER(D974)))</f>
        <v/>
      </c>
    </row>
    <row r="975">
      <c r="A975" s="11">
        <f>IF(B975="","",TEXT(ROW()-3,"""DC-""0000"))</f>
        <v/>
      </c>
      <c r="B975" s="5" t="n"/>
      <c r="C975" s="5" t="n"/>
      <c r="D975" s="5" t="n"/>
      <c r="E975" s="5" t="n"/>
      <c r="F975" s="5" t="n"/>
      <c r="G975" s="5" t="n"/>
      <c r="H975" s="8" t="n"/>
      <c r="I975" s="8" t="n"/>
      <c r="J975" s="8" t="n"/>
      <c r="K975" s="11">
        <f>IF(B975="","",MAX(0,IFERROR(I975,0)*IFERROR(H975,0)-IFERROR(J975,0)))</f>
        <v/>
      </c>
      <c r="L975" s="8" t="n"/>
      <c r="M975" s="11">
        <f>IF(B975="","",MAX(0,K975-L975))</f>
        <v/>
      </c>
      <c r="N975" s="11">
        <f>IF(B975="","",IF(L975&gt;=K975,"Paid",IF(L975&gt;0,"Partial","Unpaid")))</f>
        <v/>
      </c>
      <c r="O975" s="5" t="n"/>
      <c r="P975" s="8" t="n"/>
      <c r="Q975" s="8" t="n"/>
      <c r="R975" s="11">
        <f>IF(B975="","",IFERROR(K975,0)+IFERROR(P975,0)-IFERROR(Q975,0))</f>
        <v/>
      </c>
      <c r="S975" s="5" t="n"/>
      <c r="T975" s="5" t="n"/>
      <c r="U975" s="11">
        <f>IF(B975="","",TRIM(LOWER(C975)&amp;"|"&amp;LOWER(D975)))</f>
        <v/>
      </c>
    </row>
    <row r="976">
      <c r="A976" s="11">
        <f>IF(B976="","",TEXT(ROW()-3,"""DC-""0000"))</f>
        <v/>
      </c>
      <c r="B976" s="5" t="n"/>
      <c r="C976" s="5" t="n"/>
      <c r="D976" s="5" t="n"/>
      <c r="E976" s="5" t="n"/>
      <c r="F976" s="5" t="n"/>
      <c r="G976" s="5" t="n"/>
      <c r="H976" s="8" t="n"/>
      <c r="I976" s="8" t="n"/>
      <c r="J976" s="8" t="n"/>
      <c r="K976" s="11">
        <f>IF(B976="","",MAX(0,IFERROR(I976,0)*IFERROR(H976,0)-IFERROR(J976,0)))</f>
        <v/>
      </c>
      <c r="L976" s="8" t="n"/>
      <c r="M976" s="11">
        <f>IF(B976="","",MAX(0,K976-L976))</f>
        <v/>
      </c>
      <c r="N976" s="11">
        <f>IF(B976="","",IF(L976&gt;=K976,"Paid",IF(L976&gt;0,"Partial","Unpaid")))</f>
        <v/>
      </c>
      <c r="O976" s="5" t="n"/>
      <c r="P976" s="8" t="n"/>
      <c r="Q976" s="8" t="n"/>
      <c r="R976" s="11">
        <f>IF(B976="","",IFERROR(K976,0)+IFERROR(P976,0)-IFERROR(Q976,0))</f>
        <v/>
      </c>
      <c r="S976" s="5" t="n"/>
      <c r="T976" s="5" t="n"/>
      <c r="U976" s="11">
        <f>IF(B976="","",TRIM(LOWER(C976)&amp;"|"&amp;LOWER(D976)))</f>
        <v/>
      </c>
    </row>
    <row r="977">
      <c r="A977" s="11">
        <f>IF(B977="","",TEXT(ROW()-3,"""DC-""0000"))</f>
        <v/>
      </c>
      <c r="B977" s="5" t="n"/>
      <c r="C977" s="5" t="n"/>
      <c r="D977" s="5" t="n"/>
      <c r="E977" s="5" t="n"/>
      <c r="F977" s="5" t="n"/>
      <c r="G977" s="5" t="n"/>
      <c r="H977" s="8" t="n"/>
      <c r="I977" s="8" t="n"/>
      <c r="J977" s="8" t="n"/>
      <c r="K977" s="11">
        <f>IF(B977="","",MAX(0,IFERROR(I977,0)*IFERROR(H977,0)-IFERROR(J977,0)))</f>
        <v/>
      </c>
      <c r="L977" s="8" t="n"/>
      <c r="M977" s="11">
        <f>IF(B977="","",MAX(0,K977-L977))</f>
        <v/>
      </c>
      <c r="N977" s="11">
        <f>IF(B977="","",IF(L977&gt;=K977,"Paid",IF(L977&gt;0,"Partial","Unpaid")))</f>
        <v/>
      </c>
      <c r="O977" s="5" t="n"/>
      <c r="P977" s="8" t="n"/>
      <c r="Q977" s="8" t="n"/>
      <c r="R977" s="11">
        <f>IF(B977="","",IFERROR(K977,0)+IFERROR(P977,0)-IFERROR(Q977,0))</f>
        <v/>
      </c>
      <c r="S977" s="5" t="n"/>
      <c r="T977" s="5" t="n"/>
      <c r="U977" s="11">
        <f>IF(B977="","",TRIM(LOWER(C977)&amp;"|"&amp;LOWER(D977)))</f>
        <v/>
      </c>
    </row>
    <row r="978">
      <c r="A978" s="11">
        <f>IF(B978="","",TEXT(ROW()-3,"""DC-""0000"))</f>
        <v/>
      </c>
      <c r="B978" s="5" t="n"/>
      <c r="C978" s="5" t="n"/>
      <c r="D978" s="5" t="n"/>
      <c r="E978" s="5" t="n"/>
      <c r="F978" s="5" t="n"/>
      <c r="G978" s="5" t="n"/>
      <c r="H978" s="8" t="n"/>
      <c r="I978" s="8" t="n"/>
      <c r="J978" s="8" t="n"/>
      <c r="K978" s="11">
        <f>IF(B978="","",MAX(0,IFERROR(I978,0)*IFERROR(H978,0)-IFERROR(J978,0)))</f>
        <v/>
      </c>
      <c r="L978" s="8" t="n"/>
      <c r="M978" s="11">
        <f>IF(B978="","",MAX(0,K978-L978))</f>
        <v/>
      </c>
      <c r="N978" s="11">
        <f>IF(B978="","",IF(L978&gt;=K978,"Paid",IF(L978&gt;0,"Partial","Unpaid")))</f>
        <v/>
      </c>
      <c r="O978" s="5" t="n"/>
      <c r="P978" s="8" t="n"/>
      <c r="Q978" s="8" t="n"/>
      <c r="R978" s="11">
        <f>IF(B978="","",IFERROR(K978,0)+IFERROR(P978,0)-IFERROR(Q978,0))</f>
        <v/>
      </c>
      <c r="S978" s="5" t="n"/>
      <c r="T978" s="5" t="n"/>
      <c r="U978" s="11">
        <f>IF(B978="","",TRIM(LOWER(C978)&amp;"|"&amp;LOWER(D978)))</f>
        <v/>
      </c>
    </row>
    <row r="979">
      <c r="A979" s="11">
        <f>IF(B979="","",TEXT(ROW()-3,"""DC-""0000"))</f>
        <v/>
      </c>
      <c r="B979" s="5" t="n"/>
      <c r="C979" s="5" t="n"/>
      <c r="D979" s="5" t="n"/>
      <c r="E979" s="5" t="n"/>
      <c r="F979" s="5" t="n"/>
      <c r="G979" s="5" t="n"/>
      <c r="H979" s="8" t="n"/>
      <c r="I979" s="8" t="n"/>
      <c r="J979" s="8" t="n"/>
      <c r="K979" s="11">
        <f>IF(B979="","",MAX(0,IFERROR(I979,0)*IFERROR(H979,0)-IFERROR(J979,0)))</f>
        <v/>
      </c>
      <c r="L979" s="8" t="n"/>
      <c r="M979" s="11">
        <f>IF(B979="","",MAX(0,K979-L979))</f>
        <v/>
      </c>
      <c r="N979" s="11">
        <f>IF(B979="","",IF(L979&gt;=K979,"Paid",IF(L979&gt;0,"Partial","Unpaid")))</f>
        <v/>
      </c>
      <c r="O979" s="5" t="n"/>
      <c r="P979" s="8" t="n"/>
      <c r="Q979" s="8" t="n"/>
      <c r="R979" s="11">
        <f>IF(B979="","",IFERROR(K979,0)+IFERROR(P979,0)-IFERROR(Q979,0))</f>
        <v/>
      </c>
      <c r="S979" s="5" t="n"/>
      <c r="T979" s="5" t="n"/>
      <c r="U979" s="11">
        <f>IF(B979="","",TRIM(LOWER(C979)&amp;"|"&amp;LOWER(D979)))</f>
        <v/>
      </c>
    </row>
    <row r="980">
      <c r="A980" s="11">
        <f>IF(B980="","",TEXT(ROW()-3,"""DC-""0000"))</f>
        <v/>
      </c>
      <c r="B980" s="5" t="n"/>
      <c r="C980" s="5" t="n"/>
      <c r="D980" s="5" t="n"/>
      <c r="E980" s="5" t="n"/>
      <c r="F980" s="5" t="n"/>
      <c r="G980" s="5" t="n"/>
      <c r="H980" s="8" t="n"/>
      <c r="I980" s="8" t="n"/>
      <c r="J980" s="8" t="n"/>
      <c r="K980" s="11">
        <f>IF(B980="","",MAX(0,IFERROR(I980,0)*IFERROR(H980,0)-IFERROR(J980,0)))</f>
        <v/>
      </c>
      <c r="L980" s="8" t="n"/>
      <c r="M980" s="11">
        <f>IF(B980="","",MAX(0,K980-L980))</f>
        <v/>
      </c>
      <c r="N980" s="11">
        <f>IF(B980="","",IF(L980&gt;=K980,"Paid",IF(L980&gt;0,"Partial","Unpaid")))</f>
        <v/>
      </c>
      <c r="O980" s="5" t="n"/>
      <c r="P980" s="8" t="n"/>
      <c r="Q980" s="8" t="n"/>
      <c r="R980" s="11">
        <f>IF(B980="","",IFERROR(K980,0)+IFERROR(P980,0)-IFERROR(Q980,0))</f>
        <v/>
      </c>
      <c r="S980" s="5" t="n"/>
      <c r="T980" s="5" t="n"/>
      <c r="U980" s="11">
        <f>IF(B980="","",TRIM(LOWER(C980)&amp;"|"&amp;LOWER(D980)))</f>
        <v/>
      </c>
    </row>
    <row r="981">
      <c r="A981" s="11">
        <f>IF(B981="","",TEXT(ROW()-3,"""DC-""0000"))</f>
        <v/>
      </c>
      <c r="B981" s="5" t="n"/>
      <c r="C981" s="5" t="n"/>
      <c r="D981" s="5" t="n"/>
      <c r="E981" s="5" t="n"/>
      <c r="F981" s="5" t="n"/>
      <c r="G981" s="5" t="n"/>
      <c r="H981" s="8" t="n"/>
      <c r="I981" s="8" t="n"/>
      <c r="J981" s="8" t="n"/>
      <c r="K981" s="11">
        <f>IF(B981="","",MAX(0,IFERROR(I981,0)*IFERROR(H981,0)-IFERROR(J981,0)))</f>
        <v/>
      </c>
      <c r="L981" s="8" t="n"/>
      <c r="M981" s="11">
        <f>IF(B981="","",MAX(0,K981-L981))</f>
        <v/>
      </c>
      <c r="N981" s="11">
        <f>IF(B981="","",IF(L981&gt;=K981,"Paid",IF(L981&gt;0,"Partial","Unpaid")))</f>
        <v/>
      </c>
      <c r="O981" s="5" t="n"/>
      <c r="P981" s="8" t="n"/>
      <c r="Q981" s="8" t="n"/>
      <c r="R981" s="11">
        <f>IF(B981="","",IFERROR(K981,0)+IFERROR(P981,0)-IFERROR(Q981,0))</f>
        <v/>
      </c>
      <c r="S981" s="5" t="n"/>
      <c r="T981" s="5" t="n"/>
      <c r="U981" s="11">
        <f>IF(B981="","",TRIM(LOWER(C981)&amp;"|"&amp;LOWER(D981)))</f>
        <v/>
      </c>
    </row>
    <row r="982">
      <c r="A982" s="11">
        <f>IF(B982="","",TEXT(ROW()-3,"""DC-""0000"))</f>
        <v/>
      </c>
      <c r="B982" s="5" t="n"/>
      <c r="C982" s="5" t="n"/>
      <c r="D982" s="5" t="n"/>
      <c r="E982" s="5" t="n"/>
      <c r="F982" s="5" t="n"/>
      <c r="G982" s="5" t="n"/>
      <c r="H982" s="8" t="n"/>
      <c r="I982" s="8" t="n"/>
      <c r="J982" s="8" t="n"/>
      <c r="K982" s="11">
        <f>IF(B982="","",MAX(0,IFERROR(I982,0)*IFERROR(H982,0)-IFERROR(J982,0)))</f>
        <v/>
      </c>
      <c r="L982" s="8" t="n"/>
      <c r="M982" s="11">
        <f>IF(B982="","",MAX(0,K982-L982))</f>
        <v/>
      </c>
      <c r="N982" s="11">
        <f>IF(B982="","",IF(L982&gt;=K982,"Paid",IF(L982&gt;0,"Partial","Unpaid")))</f>
        <v/>
      </c>
      <c r="O982" s="5" t="n"/>
      <c r="P982" s="8" t="n"/>
      <c r="Q982" s="8" t="n"/>
      <c r="R982" s="11">
        <f>IF(B982="","",IFERROR(K982,0)+IFERROR(P982,0)-IFERROR(Q982,0))</f>
        <v/>
      </c>
      <c r="S982" s="5" t="n"/>
      <c r="T982" s="5" t="n"/>
      <c r="U982" s="11">
        <f>IF(B982="","",TRIM(LOWER(C982)&amp;"|"&amp;LOWER(D982)))</f>
        <v/>
      </c>
    </row>
    <row r="983">
      <c r="A983" s="11">
        <f>IF(B983="","",TEXT(ROW()-3,"""DC-""0000"))</f>
        <v/>
      </c>
      <c r="B983" s="5" t="n"/>
      <c r="C983" s="5" t="n"/>
      <c r="D983" s="5" t="n"/>
      <c r="E983" s="5" t="n"/>
      <c r="F983" s="5" t="n"/>
      <c r="G983" s="5" t="n"/>
      <c r="H983" s="8" t="n"/>
      <c r="I983" s="8" t="n"/>
      <c r="J983" s="8" t="n"/>
      <c r="K983" s="11">
        <f>IF(B983="","",MAX(0,IFERROR(I983,0)*IFERROR(H983,0)-IFERROR(J983,0)))</f>
        <v/>
      </c>
      <c r="L983" s="8" t="n"/>
      <c r="M983" s="11">
        <f>IF(B983="","",MAX(0,K983-L983))</f>
        <v/>
      </c>
      <c r="N983" s="11">
        <f>IF(B983="","",IF(L983&gt;=K983,"Paid",IF(L983&gt;0,"Partial","Unpaid")))</f>
        <v/>
      </c>
      <c r="O983" s="5" t="n"/>
      <c r="P983" s="8" t="n"/>
      <c r="Q983" s="8" t="n"/>
      <c r="R983" s="11">
        <f>IF(B983="","",IFERROR(K983,0)+IFERROR(P983,0)-IFERROR(Q983,0))</f>
        <v/>
      </c>
      <c r="S983" s="5" t="n"/>
      <c r="T983" s="5" t="n"/>
      <c r="U983" s="11">
        <f>IF(B983="","",TRIM(LOWER(C983)&amp;"|"&amp;LOWER(D983)))</f>
        <v/>
      </c>
    </row>
    <row r="984">
      <c r="A984" s="11">
        <f>IF(B984="","",TEXT(ROW()-3,"""DC-""0000"))</f>
        <v/>
      </c>
      <c r="B984" s="5" t="n"/>
      <c r="C984" s="5" t="n"/>
      <c r="D984" s="5" t="n"/>
      <c r="E984" s="5" t="n"/>
      <c r="F984" s="5" t="n"/>
      <c r="G984" s="5" t="n"/>
      <c r="H984" s="8" t="n"/>
      <c r="I984" s="8" t="n"/>
      <c r="J984" s="8" t="n"/>
      <c r="K984" s="11">
        <f>IF(B984="","",MAX(0,IFERROR(I984,0)*IFERROR(H984,0)-IFERROR(J984,0)))</f>
        <v/>
      </c>
      <c r="L984" s="8" t="n"/>
      <c r="M984" s="11">
        <f>IF(B984="","",MAX(0,K984-L984))</f>
        <v/>
      </c>
      <c r="N984" s="11">
        <f>IF(B984="","",IF(L984&gt;=K984,"Paid",IF(L984&gt;0,"Partial","Unpaid")))</f>
        <v/>
      </c>
      <c r="O984" s="5" t="n"/>
      <c r="P984" s="8" t="n"/>
      <c r="Q984" s="8" t="n"/>
      <c r="R984" s="11">
        <f>IF(B984="","",IFERROR(K984,0)+IFERROR(P984,0)-IFERROR(Q984,0))</f>
        <v/>
      </c>
      <c r="S984" s="5" t="n"/>
      <c r="T984" s="5" t="n"/>
      <c r="U984" s="11">
        <f>IF(B984="","",TRIM(LOWER(C984)&amp;"|"&amp;LOWER(D984)))</f>
        <v/>
      </c>
    </row>
    <row r="985">
      <c r="A985" s="11">
        <f>IF(B985="","",TEXT(ROW()-3,"""DC-""0000"))</f>
        <v/>
      </c>
      <c r="B985" s="5" t="n"/>
      <c r="C985" s="5" t="n"/>
      <c r="D985" s="5" t="n"/>
      <c r="E985" s="5" t="n"/>
      <c r="F985" s="5" t="n"/>
      <c r="G985" s="5" t="n"/>
      <c r="H985" s="8" t="n"/>
      <c r="I985" s="8" t="n"/>
      <c r="J985" s="8" t="n"/>
      <c r="K985" s="11">
        <f>IF(B985="","",MAX(0,IFERROR(I985,0)*IFERROR(H985,0)-IFERROR(J985,0)))</f>
        <v/>
      </c>
      <c r="L985" s="8" t="n"/>
      <c r="M985" s="11">
        <f>IF(B985="","",MAX(0,K985-L985))</f>
        <v/>
      </c>
      <c r="N985" s="11">
        <f>IF(B985="","",IF(L985&gt;=K985,"Paid",IF(L985&gt;0,"Partial","Unpaid")))</f>
        <v/>
      </c>
      <c r="O985" s="5" t="n"/>
      <c r="P985" s="8" t="n"/>
      <c r="Q985" s="8" t="n"/>
      <c r="R985" s="11">
        <f>IF(B985="","",IFERROR(K985,0)+IFERROR(P985,0)-IFERROR(Q985,0))</f>
        <v/>
      </c>
      <c r="S985" s="5" t="n"/>
      <c r="T985" s="5" t="n"/>
      <c r="U985" s="11">
        <f>IF(B985="","",TRIM(LOWER(C985)&amp;"|"&amp;LOWER(D985)))</f>
        <v/>
      </c>
    </row>
    <row r="986">
      <c r="A986" s="11">
        <f>IF(B986="","",TEXT(ROW()-3,"""DC-""0000"))</f>
        <v/>
      </c>
      <c r="B986" s="5" t="n"/>
      <c r="C986" s="5" t="n"/>
      <c r="D986" s="5" t="n"/>
      <c r="E986" s="5" t="n"/>
      <c r="F986" s="5" t="n"/>
      <c r="G986" s="5" t="n"/>
      <c r="H986" s="8" t="n"/>
      <c r="I986" s="8" t="n"/>
      <c r="J986" s="8" t="n"/>
      <c r="K986" s="11">
        <f>IF(B986="","",MAX(0,IFERROR(I986,0)*IFERROR(H986,0)-IFERROR(J986,0)))</f>
        <v/>
      </c>
      <c r="L986" s="8" t="n"/>
      <c r="M986" s="11">
        <f>IF(B986="","",MAX(0,K986-L986))</f>
        <v/>
      </c>
      <c r="N986" s="11">
        <f>IF(B986="","",IF(L986&gt;=K986,"Paid",IF(L986&gt;0,"Partial","Unpaid")))</f>
        <v/>
      </c>
      <c r="O986" s="5" t="n"/>
      <c r="P986" s="8" t="n"/>
      <c r="Q986" s="8" t="n"/>
      <c r="R986" s="11">
        <f>IF(B986="","",IFERROR(K986,0)+IFERROR(P986,0)-IFERROR(Q986,0))</f>
        <v/>
      </c>
      <c r="S986" s="5" t="n"/>
      <c r="T986" s="5" t="n"/>
      <c r="U986" s="11">
        <f>IF(B986="","",TRIM(LOWER(C986)&amp;"|"&amp;LOWER(D986)))</f>
        <v/>
      </c>
    </row>
    <row r="987">
      <c r="A987" s="11">
        <f>IF(B987="","",TEXT(ROW()-3,"""DC-""0000"))</f>
        <v/>
      </c>
      <c r="B987" s="5" t="n"/>
      <c r="C987" s="5" t="n"/>
      <c r="D987" s="5" t="n"/>
      <c r="E987" s="5" t="n"/>
      <c r="F987" s="5" t="n"/>
      <c r="G987" s="5" t="n"/>
      <c r="H987" s="8" t="n"/>
      <c r="I987" s="8" t="n"/>
      <c r="J987" s="8" t="n"/>
      <c r="K987" s="11">
        <f>IF(B987="","",MAX(0,IFERROR(I987,0)*IFERROR(H987,0)-IFERROR(J987,0)))</f>
        <v/>
      </c>
      <c r="L987" s="8" t="n"/>
      <c r="M987" s="11">
        <f>IF(B987="","",MAX(0,K987-L987))</f>
        <v/>
      </c>
      <c r="N987" s="11">
        <f>IF(B987="","",IF(L987&gt;=K987,"Paid",IF(L987&gt;0,"Partial","Unpaid")))</f>
        <v/>
      </c>
      <c r="O987" s="5" t="n"/>
      <c r="P987" s="8" t="n"/>
      <c r="Q987" s="8" t="n"/>
      <c r="R987" s="11">
        <f>IF(B987="","",IFERROR(K987,0)+IFERROR(P987,0)-IFERROR(Q987,0))</f>
        <v/>
      </c>
      <c r="S987" s="5" t="n"/>
      <c r="T987" s="5" t="n"/>
      <c r="U987" s="11">
        <f>IF(B987="","",TRIM(LOWER(C987)&amp;"|"&amp;LOWER(D987)))</f>
        <v/>
      </c>
    </row>
    <row r="988">
      <c r="A988" s="11">
        <f>IF(B988="","",TEXT(ROW()-3,"""DC-""0000"))</f>
        <v/>
      </c>
      <c r="B988" s="5" t="n"/>
      <c r="C988" s="5" t="n"/>
      <c r="D988" s="5" t="n"/>
      <c r="E988" s="5" t="n"/>
      <c r="F988" s="5" t="n"/>
      <c r="G988" s="5" t="n"/>
      <c r="H988" s="8" t="n"/>
      <c r="I988" s="8" t="n"/>
      <c r="J988" s="8" t="n"/>
      <c r="K988" s="11">
        <f>IF(B988="","",MAX(0,IFERROR(I988,0)*IFERROR(H988,0)-IFERROR(J988,0)))</f>
        <v/>
      </c>
      <c r="L988" s="8" t="n"/>
      <c r="M988" s="11">
        <f>IF(B988="","",MAX(0,K988-L988))</f>
        <v/>
      </c>
      <c r="N988" s="11">
        <f>IF(B988="","",IF(L988&gt;=K988,"Paid",IF(L988&gt;0,"Partial","Unpaid")))</f>
        <v/>
      </c>
      <c r="O988" s="5" t="n"/>
      <c r="P988" s="8" t="n"/>
      <c r="Q988" s="8" t="n"/>
      <c r="R988" s="11">
        <f>IF(B988="","",IFERROR(K988,0)+IFERROR(P988,0)-IFERROR(Q988,0))</f>
        <v/>
      </c>
      <c r="S988" s="5" t="n"/>
      <c r="T988" s="5" t="n"/>
      <c r="U988" s="11">
        <f>IF(B988="","",TRIM(LOWER(C988)&amp;"|"&amp;LOWER(D988)))</f>
        <v/>
      </c>
    </row>
    <row r="989">
      <c r="A989" s="11">
        <f>IF(B989="","",TEXT(ROW()-3,"""DC-""0000"))</f>
        <v/>
      </c>
      <c r="B989" s="5" t="n"/>
      <c r="C989" s="5" t="n"/>
      <c r="D989" s="5" t="n"/>
      <c r="E989" s="5" t="n"/>
      <c r="F989" s="5" t="n"/>
      <c r="G989" s="5" t="n"/>
      <c r="H989" s="8" t="n"/>
      <c r="I989" s="8" t="n"/>
      <c r="J989" s="8" t="n"/>
      <c r="K989" s="11">
        <f>IF(B989="","",MAX(0,IFERROR(I989,0)*IFERROR(H989,0)-IFERROR(J989,0)))</f>
        <v/>
      </c>
      <c r="L989" s="8" t="n"/>
      <c r="M989" s="11">
        <f>IF(B989="","",MAX(0,K989-L989))</f>
        <v/>
      </c>
      <c r="N989" s="11">
        <f>IF(B989="","",IF(L989&gt;=K989,"Paid",IF(L989&gt;0,"Partial","Unpaid")))</f>
        <v/>
      </c>
      <c r="O989" s="5" t="n"/>
      <c r="P989" s="8" t="n"/>
      <c r="Q989" s="8" t="n"/>
      <c r="R989" s="11">
        <f>IF(B989="","",IFERROR(K989,0)+IFERROR(P989,0)-IFERROR(Q989,0))</f>
        <v/>
      </c>
      <c r="S989" s="5" t="n"/>
      <c r="T989" s="5" t="n"/>
      <c r="U989" s="11">
        <f>IF(B989="","",TRIM(LOWER(C989)&amp;"|"&amp;LOWER(D989)))</f>
        <v/>
      </c>
    </row>
    <row r="990">
      <c r="A990" s="11">
        <f>IF(B990="","",TEXT(ROW()-3,"""DC-""0000"))</f>
        <v/>
      </c>
      <c r="B990" s="5" t="n"/>
      <c r="C990" s="5" t="n"/>
      <c r="D990" s="5" t="n"/>
      <c r="E990" s="5" t="n"/>
      <c r="F990" s="5" t="n"/>
      <c r="G990" s="5" t="n"/>
      <c r="H990" s="8" t="n"/>
      <c r="I990" s="8" t="n"/>
      <c r="J990" s="8" t="n"/>
      <c r="K990" s="11">
        <f>IF(B990="","",MAX(0,IFERROR(I990,0)*IFERROR(H990,0)-IFERROR(J990,0)))</f>
        <v/>
      </c>
      <c r="L990" s="8" t="n"/>
      <c r="M990" s="11">
        <f>IF(B990="","",MAX(0,K990-L990))</f>
        <v/>
      </c>
      <c r="N990" s="11">
        <f>IF(B990="","",IF(L990&gt;=K990,"Paid",IF(L990&gt;0,"Partial","Unpaid")))</f>
        <v/>
      </c>
      <c r="O990" s="5" t="n"/>
      <c r="P990" s="8" t="n"/>
      <c r="Q990" s="8" t="n"/>
      <c r="R990" s="11">
        <f>IF(B990="","",IFERROR(K990,0)+IFERROR(P990,0)-IFERROR(Q990,0))</f>
        <v/>
      </c>
      <c r="S990" s="5" t="n"/>
      <c r="T990" s="5" t="n"/>
      <c r="U990" s="11">
        <f>IF(B990="","",TRIM(LOWER(C990)&amp;"|"&amp;LOWER(D990)))</f>
        <v/>
      </c>
    </row>
    <row r="991">
      <c r="A991" s="11">
        <f>IF(B991="","",TEXT(ROW()-3,"""DC-""0000"))</f>
        <v/>
      </c>
      <c r="B991" s="5" t="n"/>
      <c r="C991" s="5" t="n"/>
      <c r="D991" s="5" t="n"/>
      <c r="E991" s="5" t="n"/>
      <c r="F991" s="5" t="n"/>
      <c r="G991" s="5" t="n"/>
      <c r="H991" s="8" t="n"/>
      <c r="I991" s="8" t="n"/>
      <c r="J991" s="8" t="n"/>
      <c r="K991" s="11">
        <f>IF(B991="","",MAX(0,IFERROR(I991,0)*IFERROR(H991,0)-IFERROR(J991,0)))</f>
        <v/>
      </c>
      <c r="L991" s="8" t="n"/>
      <c r="M991" s="11">
        <f>IF(B991="","",MAX(0,K991-L991))</f>
        <v/>
      </c>
      <c r="N991" s="11">
        <f>IF(B991="","",IF(L991&gt;=K991,"Paid",IF(L991&gt;0,"Partial","Unpaid")))</f>
        <v/>
      </c>
      <c r="O991" s="5" t="n"/>
      <c r="P991" s="8" t="n"/>
      <c r="Q991" s="8" t="n"/>
      <c r="R991" s="11">
        <f>IF(B991="","",IFERROR(K991,0)+IFERROR(P991,0)-IFERROR(Q991,0))</f>
        <v/>
      </c>
      <c r="S991" s="5" t="n"/>
      <c r="T991" s="5" t="n"/>
      <c r="U991" s="11">
        <f>IF(B991="","",TRIM(LOWER(C991)&amp;"|"&amp;LOWER(D991)))</f>
        <v/>
      </c>
    </row>
    <row r="992">
      <c r="A992" s="11">
        <f>IF(B992="","",TEXT(ROW()-3,"""DC-""0000"))</f>
        <v/>
      </c>
      <c r="B992" s="5" t="n"/>
      <c r="C992" s="5" t="n"/>
      <c r="D992" s="5" t="n"/>
      <c r="E992" s="5" t="n"/>
      <c r="F992" s="5" t="n"/>
      <c r="G992" s="5" t="n"/>
      <c r="H992" s="8" t="n"/>
      <c r="I992" s="8" t="n"/>
      <c r="J992" s="8" t="n"/>
      <c r="K992" s="11">
        <f>IF(B992="","",MAX(0,IFERROR(I992,0)*IFERROR(H992,0)-IFERROR(J992,0)))</f>
        <v/>
      </c>
      <c r="L992" s="8" t="n"/>
      <c r="M992" s="11">
        <f>IF(B992="","",MAX(0,K992-L992))</f>
        <v/>
      </c>
      <c r="N992" s="11">
        <f>IF(B992="","",IF(L992&gt;=K992,"Paid",IF(L992&gt;0,"Partial","Unpaid")))</f>
        <v/>
      </c>
      <c r="O992" s="5" t="n"/>
      <c r="P992" s="8" t="n"/>
      <c r="Q992" s="8" t="n"/>
      <c r="R992" s="11">
        <f>IF(B992="","",IFERROR(K992,0)+IFERROR(P992,0)-IFERROR(Q992,0))</f>
        <v/>
      </c>
      <c r="S992" s="5" t="n"/>
      <c r="T992" s="5" t="n"/>
      <c r="U992" s="11">
        <f>IF(B992="","",TRIM(LOWER(C992)&amp;"|"&amp;LOWER(D992)))</f>
        <v/>
      </c>
    </row>
    <row r="993">
      <c r="A993" s="11">
        <f>IF(B993="","",TEXT(ROW()-3,"""DC-""0000"))</f>
        <v/>
      </c>
      <c r="B993" s="5" t="n"/>
      <c r="C993" s="5" t="n"/>
      <c r="D993" s="5" t="n"/>
      <c r="E993" s="5" t="n"/>
      <c r="F993" s="5" t="n"/>
      <c r="G993" s="5" t="n"/>
      <c r="H993" s="8" t="n"/>
      <c r="I993" s="8" t="n"/>
      <c r="J993" s="8" t="n"/>
      <c r="K993" s="11">
        <f>IF(B993="","",MAX(0,IFERROR(I993,0)*IFERROR(H993,0)-IFERROR(J993,0)))</f>
        <v/>
      </c>
      <c r="L993" s="8" t="n"/>
      <c r="M993" s="11">
        <f>IF(B993="","",MAX(0,K993-L993))</f>
        <v/>
      </c>
      <c r="N993" s="11">
        <f>IF(B993="","",IF(L993&gt;=K993,"Paid",IF(L993&gt;0,"Partial","Unpaid")))</f>
        <v/>
      </c>
      <c r="O993" s="5" t="n"/>
      <c r="P993" s="8" t="n"/>
      <c r="Q993" s="8" t="n"/>
      <c r="R993" s="11">
        <f>IF(B993="","",IFERROR(K993,0)+IFERROR(P993,0)-IFERROR(Q993,0))</f>
        <v/>
      </c>
      <c r="S993" s="5" t="n"/>
      <c r="T993" s="5" t="n"/>
      <c r="U993" s="11">
        <f>IF(B993="","",TRIM(LOWER(C993)&amp;"|"&amp;LOWER(D993)))</f>
        <v/>
      </c>
    </row>
    <row r="994">
      <c r="A994" s="11">
        <f>IF(B994="","",TEXT(ROW()-3,"""DC-""0000"))</f>
        <v/>
      </c>
      <c r="B994" s="5" t="n"/>
      <c r="C994" s="5" t="n"/>
      <c r="D994" s="5" t="n"/>
      <c r="E994" s="5" t="n"/>
      <c r="F994" s="5" t="n"/>
      <c r="G994" s="5" t="n"/>
      <c r="H994" s="8" t="n"/>
      <c r="I994" s="8" t="n"/>
      <c r="J994" s="8" t="n"/>
      <c r="K994" s="11">
        <f>IF(B994="","",MAX(0,IFERROR(I994,0)*IFERROR(H994,0)-IFERROR(J994,0)))</f>
        <v/>
      </c>
      <c r="L994" s="8" t="n"/>
      <c r="M994" s="11">
        <f>IF(B994="","",MAX(0,K994-L994))</f>
        <v/>
      </c>
      <c r="N994" s="11">
        <f>IF(B994="","",IF(L994&gt;=K994,"Paid",IF(L994&gt;0,"Partial","Unpaid")))</f>
        <v/>
      </c>
      <c r="O994" s="5" t="n"/>
      <c r="P994" s="8" t="n"/>
      <c r="Q994" s="8" t="n"/>
      <c r="R994" s="11">
        <f>IF(B994="","",IFERROR(K994,0)+IFERROR(P994,0)-IFERROR(Q994,0))</f>
        <v/>
      </c>
      <c r="S994" s="5" t="n"/>
      <c r="T994" s="5" t="n"/>
      <c r="U994" s="11">
        <f>IF(B994="","",TRIM(LOWER(C994)&amp;"|"&amp;LOWER(D994)))</f>
        <v/>
      </c>
    </row>
    <row r="995">
      <c r="A995" s="11">
        <f>IF(B995="","",TEXT(ROW()-3,"""DC-""0000"))</f>
        <v/>
      </c>
      <c r="B995" s="5" t="n"/>
      <c r="C995" s="5" t="n"/>
      <c r="D995" s="5" t="n"/>
      <c r="E995" s="5" t="n"/>
      <c r="F995" s="5" t="n"/>
      <c r="G995" s="5" t="n"/>
      <c r="H995" s="8" t="n"/>
      <c r="I995" s="8" t="n"/>
      <c r="J995" s="8" t="n"/>
      <c r="K995" s="11">
        <f>IF(B995="","",MAX(0,IFERROR(I995,0)*IFERROR(H995,0)-IFERROR(J995,0)))</f>
        <v/>
      </c>
      <c r="L995" s="8" t="n"/>
      <c r="M995" s="11">
        <f>IF(B995="","",MAX(0,K995-L995))</f>
        <v/>
      </c>
      <c r="N995" s="11">
        <f>IF(B995="","",IF(L995&gt;=K995,"Paid",IF(L995&gt;0,"Partial","Unpaid")))</f>
        <v/>
      </c>
      <c r="O995" s="5" t="n"/>
      <c r="P995" s="8" t="n"/>
      <c r="Q995" s="8" t="n"/>
      <c r="R995" s="11">
        <f>IF(B995="","",IFERROR(K995,0)+IFERROR(P995,0)-IFERROR(Q995,0))</f>
        <v/>
      </c>
      <c r="S995" s="5" t="n"/>
      <c r="T995" s="5" t="n"/>
      <c r="U995" s="11">
        <f>IF(B995="","",TRIM(LOWER(C995)&amp;"|"&amp;LOWER(D995)))</f>
        <v/>
      </c>
    </row>
    <row r="996">
      <c r="A996" s="11">
        <f>IF(B996="","",TEXT(ROW()-3,"""DC-""0000"))</f>
        <v/>
      </c>
      <c r="B996" s="5" t="n"/>
      <c r="C996" s="5" t="n"/>
      <c r="D996" s="5" t="n"/>
      <c r="E996" s="5" t="n"/>
      <c r="F996" s="5" t="n"/>
      <c r="G996" s="5" t="n"/>
      <c r="H996" s="8" t="n"/>
      <c r="I996" s="8" t="n"/>
      <c r="J996" s="8" t="n"/>
      <c r="K996" s="11">
        <f>IF(B996="","",MAX(0,IFERROR(I996,0)*IFERROR(H996,0)-IFERROR(J996,0)))</f>
        <v/>
      </c>
      <c r="L996" s="8" t="n"/>
      <c r="M996" s="11">
        <f>IF(B996="","",MAX(0,K996-L996))</f>
        <v/>
      </c>
      <c r="N996" s="11">
        <f>IF(B996="","",IF(L996&gt;=K996,"Paid",IF(L996&gt;0,"Partial","Unpaid")))</f>
        <v/>
      </c>
      <c r="O996" s="5" t="n"/>
      <c r="P996" s="8" t="n"/>
      <c r="Q996" s="8" t="n"/>
      <c r="R996" s="11">
        <f>IF(B996="","",IFERROR(K996,0)+IFERROR(P996,0)-IFERROR(Q996,0))</f>
        <v/>
      </c>
      <c r="S996" s="5" t="n"/>
      <c r="T996" s="5" t="n"/>
      <c r="U996" s="11">
        <f>IF(B996="","",TRIM(LOWER(C996)&amp;"|"&amp;LOWER(D996)))</f>
        <v/>
      </c>
    </row>
    <row r="997">
      <c r="A997" s="11">
        <f>IF(B997="","",TEXT(ROW()-3,"""DC-""0000"))</f>
        <v/>
      </c>
      <c r="B997" s="5" t="n"/>
      <c r="C997" s="5" t="n"/>
      <c r="D997" s="5" t="n"/>
      <c r="E997" s="5" t="n"/>
      <c r="F997" s="5" t="n"/>
      <c r="G997" s="5" t="n"/>
      <c r="H997" s="8" t="n"/>
      <c r="I997" s="8" t="n"/>
      <c r="J997" s="8" t="n"/>
      <c r="K997" s="11">
        <f>IF(B997="","",MAX(0,IFERROR(I997,0)*IFERROR(H997,0)-IFERROR(J997,0)))</f>
        <v/>
      </c>
      <c r="L997" s="8" t="n"/>
      <c r="M997" s="11">
        <f>IF(B997="","",MAX(0,K997-L997))</f>
        <v/>
      </c>
      <c r="N997" s="11">
        <f>IF(B997="","",IF(L997&gt;=K997,"Paid",IF(L997&gt;0,"Partial","Unpaid")))</f>
        <v/>
      </c>
      <c r="O997" s="5" t="n"/>
      <c r="P997" s="8" t="n"/>
      <c r="Q997" s="8" t="n"/>
      <c r="R997" s="11">
        <f>IF(B997="","",IFERROR(K997,0)+IFERROR(P997,0)-IFERROR(Q997,0))</f>
        <v/>
      </c>
      <c r="S997" s="5" t="n"/>
      <c r="T997" s="5" t="n"/>
      <c r="U997" s="11">
        <f>IF(B997="","",TRIM(LOWER(C997)&amp;"|"&amp;LOWER(D997)))</f>
        <v/>
      </c>
    </row>
    <row r="998">
      <c r="A998" s="11">
        <f>IF(B998="","",TEXT(ROW()-3,"""DC-""0000"))</f>
        <v/>
      </c>
      <c r="B998" s="5" t="n"/>
      <c r="C998" s="5" t="n"/>
      <c r="D998" s="5" t="n"/>
      <c r="E998" s="5" t="n"/>
      <c r="F998" s="5" t="n"/>
      <c r="G998" s="5" t="n"/>
      <c r="H998" s="8" t="n"/>
      <c r="I998" s="8" t="n"/>
      <c r="J998" s="8" t="n"/>
      <c r="K998" s="11">
        <f>IF(B998="","",MAX(0,IFERROR(I998,0)*IFERROR(H998,0)-IFERROR(J998,0)))</f>
        <v/>
      </c>
      <c r="L998" s="8" t="n"/>
      <c r="M998" s="11">
        <f>IF(B998="","",MAX(0,K998-L998))</f>
        <v/>
      </c>
      <c r="N998" s="11">
        <f>IF(B998="","",IF(L998&gt;=K998,"Paid",IF(L998&gt;0,"Partial","Unpaid")))</f>
        <v/>
      </c>
      <c r="O998" s="5" t="n"/>
      <c r="P998" s="8" t="n"/>
      <c r="Q998" s="8" t="n"/>
      <c r="R998" s="11">
        <f>IF(B998="","",IFERROR(K998,0)+IFERROR(P998,0)-IFERROR(Q998,0))</f>
        <v/>
      </c>
      <c r="S998" s="5" t="n"/>
      <c r="T998" s="5" t="n"/>
      <c r="U998" s="11">
        <f>IF(B998="","",TRIM(LOWER(C998)&amp;"|"&amp;LOWER(D998)))</f>
        <v/>
      </c>
    </row>
    <row r="999">
      <c r="A999" s="11">
        <f>IF(B999="","",TEXT(ROW()-3,"""DC-""0000"))</f>
        <v/>
      </c>
      <c r="B999" s="5" t="n"/>
      <c r="C999" s="5" t="n"/>
      <c r="D999" s="5" t="n"/>
      <c r="E999" s="5" t="n"/>
      <c r="F999" s="5" t="n"/>
      <c r="G999" s="5" t="n"/>
      <c r="H999" s="8" t="n"/>
      <c r="I999" s="8" t="n"/>
      <c r="J999" s="8" t="n"/>
      <c r="K999" s="11">
        <f>IF(B999="","",MAX(0,IFERROR(I999,0)*IFERROR(H999,0)-IFERROR(J999,0)))</f>
        <v/>
      </c>
      <c r="L999" s="8" t="n"/>
      <c r="M999" s="11">
        <f>IF(B999="","",MAX(0,K999-L999))</f>
        <v/>
      </c>
      <c r="N999" s="11">
        <f>IF(B999="","",IF(L999&gt;=K999,"Paid",IF(L999&gt;0,"Partial","Unpaid")))</f>
        <v/>
      </c>
      <c r="O999" s="5" t="n"/>
      <c r="P999" s="8" t="n"/>
      <c r="Q999" s="8" t="n"/>
      <c r="R999" s="11">
        <f>IF(B999="","",IFERROR(K999,0)+IFERROR(P999,0)-IFERROR(Q999,0))</f>
        <v/>
      </c>
      <c r="S999" s="5" t="n"/>
      <c r="T999" s="5" t="n"/>
      <c r="U999" s="11">
        <f>IF(B999="","",TRIM(LOWER(C999)&amp;"|"&amp;LOWER(D999)))</f>
        <v/>
      </c>
    </row>
    <row r="1000">
      <c r="A1000" s="11">
        <f>IF(B1000="","",TEXT(ROW()-3,"""DC-""0000"))</f>
        <v/>
      </c>
      <c r="B1000" s="5" t="n"/>
      <c r="C1000" s="5" t="n"/>
      <c r="D1000" s="5" t="n"/>
      <c r="E1000" s="5" t="n"/>
      <c r="F1000" s="5" t="n"/>
      <c r="G1000" s="5" t="n"/>
      <c r="H1000" s="8" t="n"/>
      <c r="I1000" s="8" t="n"/>
      <c r="J1000" s="8" t="n"/>
      <c r="K1000" s="11">
        <f>IF(B1000="","",MAX(0,IFERROR(I1000,0)*IFERROR(H1000,0)-IFERROR(J1000,0)))</f>
        <v/>
      </c>
      <c r="L1000" s="8" t="n"/>
      <c r="M1000" s="11">
        <f>IF(B1000="","",MAX(0,K1000-L1000))</f>
        <v/>
      </c>
      <c r="N1000" s="11">
        <f>IF(B1000="","",IF(L1000&gt;=K1000,"Paid",IF(L1000&gt;0,"Partial","Unpaid")))</f>
        <v/>
      </c>
      <c r="O1000" s="5" t="n"/>
      <c r="P1000" s="8" t="n"/>
      <c r="Q1000" s="8" t="n"/>
      <c r="R1000" s="11">
        <f>IF(B1000="","",IFERROR(K1000,0)+IFERROR(P1000,0)-IFERROR(Q1000,0))</f>
        <v/>
      </c>
      <c r="S1000" s="5" t="n"/>
      <c r="T1000" s="5" t="n"/>
      <c r="U1000" s="11">
        <f>IF(B1000="","",TRIM(LOWER(C1000)&amp;"|"&amp;LOWER(D1000)))</f>
        <v/>
      </c>
    </row>
    <row r="1001">
      <c r="A1001" s="11">
        <f>IF(B1001="","",TEXT(ROW()-3,"""DC-""0000"))</f>
        <v/>
      </c>
      <c r="B1001" s="5" t="n"/>
      <c r="C1001" s="5" t="n"/>
      <c r="D1001" s="5" t="n"/>
      <c r="E1001" s="5" t="n"/>
      <c r="F1001" s="5" t="n"/>
      <c r="G1001" s="5" t="n"/>
      <c r="H1001" s="8" t="n"/>
      <c r="I1001" s="8" t="n"/>
      <c r="J1001" s="8" t="n"/>
      <c r="K1001" s="11">
        <f>IF(B1001="","",MAX(0,IFERROR(I1001,0)*IFERROR(H1001,0)-IFERROR(J1001,0)))</f>
        <v/>
      </c>
      <c r="L1001" s="8" t="n"/>
      <c r="M1001" s="11">
        <f>IF(B1001="","",MAX(0,K1001-L1001))</f>
        <v/>
      </c>
      <c r="N1001" s="11">
        <f>IF(B1001="","",IF(L1001&gt;=K1001,"Paid",IF(L1001&gt;0,"Partial","Unpaid")))</f>
        <v/>
      </c>
      <c r="O1001" s="5" t="n"/>
      <c r="P1001" s="8" t="n"/>
      <c r="Q1001" s="8" t="n"/>
      <c r="R1001" s="11">
        <f>IF(B1001="","",IFERROR(K1001,0)+IFERROR(P1001,0)-IFERROR(Q1001,0))</f>
        <v/>
      </c>
      <c r="S1001" s="5" t="n"/>
      <c r="T1001" s="5" t="n"/>
      <c r="U1001" s="11">
        <f>IF(B1001="","",TRIM(LOWER(C1001)&amp;"|"&amp;LOWER(D1001)))</f>
        <v/>
      </c>
    </row>
    <row r="1002">
      <c r="A1002" s="11">
        <f>IF(B1002="","",TEXT(ROW()-3,"""DC-""0000"))</f>
        <v/>
      </c>
      <c r="B1002" s="5" t="n"/>
      <c r="C1002" s="5" t="n"/>
      <c r="D1002" s="5" t="n"/>
      <c r="E1002" s="5" t="n"/>
      <c r="F1002" s="5" t="n"/>
      <c r="G1002" s="5" t="n"/>
      <c r="H1002" s="8" t="n"/>
      <c r="I1002" s="8" t="n"/>
      <c r="J1002" s="8" t="n"/>
      <c r="K1002" s="11">
        <f>IF(B1002="","",MAX(0,IFERROR(I1002,0)*IFERROR(H1002,0)-IFERROR(J1002,0)))</f>
        <v/>
      </c>
      <c r="L1002" s="8" t="n"/>
      <c r="M1002" s="11">
        <f>IF(B1002="","",MAX(0,K1002-L1002))</f>
        <v/>
      </c>
      <c r="N1002" s="11">
        <f>IF(B1002="","",IF(L1002&gt;=K1002,"Paid",IF(L1002&gt;0,"Partial","Unpaid")))</f>
        <v/>
      </c>
      <c r="O1002" s="5" t="n"/>
      <c r="P1002" s="8" t="n"/>
      <c r="Q1002" s="8" t="n"/>
      <c r="R1002" s="11">
        <f>IF(B1002="","",IFERROR(K1002,0)+IFERROR(P1002,0)-IFERROR(Q1002,0))</f>
        <v/>
      </c>
      <c r="S1002" s="5" t="n"/>
      <c r="T1002" s="5" t="n"/>
      <c r="U1002" s="11">
        <f>IF(B1002="","",TRIM(LOWER(C1002)&amp;"|"&amp;LOWER(D1002)))</f>
        <v/>
      </c>
    </row>
    <row r="1003">
      <c r="A1003" s="11">
        <f>IF(B1003="","",TEXT(ROW()-3,"""DC-""0000"))</f>
        <v/>
      </c>
      <c r="B1003" s="5" t="n"/>
      <c r="C1003" s="5" t="n"/>
      <c r="D1003" s="5" t="n"/>
      <c r="E1003" s="5" t="n"/>
      <c r="F1003" s="5" t="n"/>
      <c r="G1003" s="5" t="n"/>
      <c r="H1003" s="8" t="n"/>
      <c r="I1003" s="8" t="n"/>
      <c r="J1003" s="8" t="n"/>
      <c r="K1003" s="11">
        <f>IF(B1003="","",MAX(0,IFERROR(I1003,0)*IFERROR(H1003,0)-IFERROR(J1003,0)))</f>
        <v/>
      </c>
      <c r="L1003" s="8" t="n"/>
      <c r="M1003" s="11">
        <f>IF(B1003="","",MAX(0,K1003-L1003))</f>
        <v/>
      </c>
      <c r="N1003" s="11">
        <f>IF(B1003="","",IF(L1003&gt;=K1003,"Paid",IF(L1003&gt;0,"Partial","Unpaid")))</f>
        <v/>
      </c>
      <c r="O1003" s="5" t="n"/>
      <c r="P1003" s="8" t="n"/>
      <c r="Q1003" s="8" t="n"/>
      <c r="R1003" s="11">
        <f>IF(B1003="","",IFERROR(K1003,0)+IFERROR(P1003,0)-IFERROR(Q1003,0))</f>
        <v/>
      </c>
      <c r="S1003" s="5" t="n"/>
      <c r="T1003" s="5" t="n"/>
      <c r="U1003" s="11">
        <f>IF(B1003="","",TRIM(LOWER(C1003)&amp;"|"&amp;LOWER(D1003)))</f>
        <v/>
      </c>
    </row>
    <row r="1004">
      <c r="A1004" s="11">
        <f>IF(B1004="","",TEXT(ROW()-3,"""DC-""0000"))</f>
        <v/>
      </c>
      <c r="B1004" s="5" t="n"/>
      <c r="C1004" s="5" t="n"/>
      <c r="D1004" s="5" t="n"/>
      <c r="E1004" s="5" t="n"/>
      <c r="F1004" s="5" t="n"/>
      <c r="G1004" s="5" t="n"/>
      <c r="H1004" s="8" t="n"/>
      <c r="I1004" s="8" t="n"/>
      <c r="J1004" s="8" t="n"/>
      <c r="K1004" s="11">
        <f>IF(B1004="","",MAX(0,IFERROR(I1004,0)*IFERROR(H1004,0)-IFERROR(J1004,0)))</f>
        <v/>
      </c>
      <c r="L1004" s="8" t="n"/>
      <c r="M1004" s="11">
        <f>IF(B1004="","",MAX(0,K1004-L1004))</f>
        <v/>
      </c>
      <c r="N1004" s="11">
        <f>IF(B1004="","",IF(L1004&gt;=K1004,"Paid",IF(L1004&gt;0,"Partial","Unpaid")))</f>
        <v/>
      </c>
      <c r="O1004" s="5" t="n"/>
      <c r="P1004" s="8" t="n"/>
      <c r="Q1004" s="8" t="n"/>
      <c r="R1004" s="11">
        <f>IF(B1004="","",IFERROR(K1004,0)+IFERROR(P1004,0)-IFERROR(Q1004,0))</f>
        <v/>
      </c>
      <c r="S1004" s="5" t="n"/>
      <c r="T1004" s="5" t="n"/>
      <c r="U1004" s="11">
        <f>IF(B1004="","",TRIM(LOWER(C1004)&amp;"|"&amp;LOWER(D1004)))</f>
        <v/>
      </c>
    </row>
    <row r="1005">
      <c r="A1005" s="11">
        <f>IF(B1005="","",TEXT(ROW()-3,"""DC-""0000"))</f>
        <v/>
      </c>
      <c r="B1005" s="5" t="n"/>
      <c r="C1005" s="5" t="n"/>
      <c r="D1005" s="5" t="n"/>
      <c r="E1005" s="5" t="n"/>
      <c r="F1005" s="5" t="n"/>
      <c r="G1005" s="5" t="n"/>
      <c r="H1005" s="8" t="n"/>
      <c r="I1005" s="8" t="n"/>
      <c r="J1005" s="8" t="n"/>
      <c r="K1005" s="11">
        <f>IF(B1005="","",MAX(0,IFERROR(I1005,0)*IFERROR(H1005,0)-IFERROR(J1005,0)))</f>
        <v/>
      </c>
      <c r="L1005" s="8" t="n"/>
      <c r="M1005" s="11">
        <f>IF(B1005="","",MAX(0,K1005-L1005))</f>
        <v/>
      </c>
      <c r="N1005" s="11">
        <f>IF(B1005="","",IF(L1005&gt;=K1005,"Paid",IF(L1005&gt;0,"Partial","Unpaid")))</f>
        <v/>
      </c>
      <c r="O1005" s="5" t="n"/>
      <c r="P1005" s="8" t="n"/>
      <c r="Q1005" s="8" t="n"/>
      <c r="R1005" s="11">
        <f>IF(B1005="","",IFERROR(K1005,0)+IFERROR(P1005,0)-IFERROR(Q1005,0))</f>
        <v/>
      </c>
      <c r="S1005" s="5" t="n"/>
      <c r="T1005" s="5" t="n"/>
      <c r="U1005" s="11">
        <f>IF(B1005="","",TRIM(LOWER(C1005)&amp;"|"&amp;LOWER(D1005)))</f>
        <v/>
      </c>
    </row>
    <row r="1006">
      <c r="A1006" s="11">
        <f>IF(B1006="","",TEXT(ROW()-3,"""DC-""0000"))</f>
        <v/>
      </c>
      <c r="B1006" s="5" t="n"/>
      <c r="C1006" s="5" t="n"/>
      <c r="D1006" s="5" t="n"/>
      <c r="E1006" s="5" t="n"/>
      <c r="F1006" s="5" t="n"/>
      <c r="G1006" s="5" t="n"/>
      <c r="H1006" s="8" t="n"/>
      <c r="I1006" s="8" t="n"/>
      <c r="J1006" s="8" t="n"/>
      <c r="K1006" s="11">
        <f>IF(B1006="","",MAX(0,IFERROR(I1006,0)*IFERROR(H1006,0)-IFERROR(J1006,0)))</f>
        <v/>
      </c>
      <c r="L1006" s="8" t="n"/>
      <c r="M1006" s="11">
        <f>IF(B1006="","",MAX(0,K1006-L1006))</f>
        <v/>
      </c>
      <c r="N1006" s="11">
        <f>IF(B1006="","",IF(L1006&gt;=K1006,"Paid",IF(L1006&gt;0,"Partial","Unpaid")))</f>
        <v/>
      </c>
      <c r="O1006" s="5" t="n"/>
      <c r="P1006" s="8" t="n"/>
      <c r="Q1006" s="8" t="n"/>
      <c r="R1006" s="11">
        <f>IF(B1006="","",IFERROR(K1006,0)+IFERROR(P1006,0)-IFERROR(Q1006,0))</f>
        <v/>
      </c>
      <c r="S1006" s="5" t="n"/>
      <c r="T1006" s="5" t="n"/>
      <c r="U1006" s="11">
        <f>IF(B1006="","",TRIM(LOWER(C1006)&amp;"|"&amp;LOWER(D1006)))</f>
        <v/>
      </c>
    </row>
    <row r="1007">
      <c r="A1007" s="11">
        <f>IF(B1007="","",TEXT(ROW()-3,"""DC-""0000"))</f>
        <v/>
      </c>
      <c r="B1007" s="5" t="n"/>
      <c r="C1007" s="5" t="n"/>
      <c r="D1007" s="5" t="n"/>
      <c r="E1007" s="5" t="n"/>
      <c r="F1007" s="5" t="n"/>
      <c r="G1007" s="5" t="n"/>
      <c r="H1007" s="8" t="n"/>
      <c r="I1007" s="8" t="n"/>
      <c r="J1007" s="8" t="n"/>
      <c r="K1007" s="11">
        <f>IF(B1007="","",MAX(0,IFERROR(I1007,0)*IFERROR(H1007,0)-IFERROR(J1007,0)))</f>
        <v/>
      </c>
      <c r="L1007" s="8" t="n"/>
      <c r="M1007" s="11">
        <f>IF(B1007="","",MAX(0,K1007-L1007))</f>
        <v/>
      </c>
      <c r="N1007" s="11">
        <f>IF(B1007="","",IF(L1007&gt;=K1007,"Paid",IF(L1007&gt;0,"Partial","Unpaid")))</f>
        <v/>
      </c>
      <c r="O1007" s="5" t="n"/>
      <c r="P1007" s="8" t="n"/>
      <c r="Q1007" s="8" t="n"/>
      <c r="R1007" s="11">
        <f>IF(B1007="","",IFERROR(K1007,0)+IFERROR(P1007,0)-IFERROR(Q1007,0))</f>
        <v/>
      </c>
      <c r="S1007" s="5" t="n"/>
      <c r="T1007" s="5" t="n"/>
      <c r="U1007" s="11">
        <f>IF(B1007="","",TRIM(LOWER(C1007)&amp;"|"&amp;LOWER(D1007)))</f>
        <v/>
      </c>
    </row>
    <row r="1008">
      <c r="A1008" s="11">
        <f>IF(B1008="","",TEXT(ROW()-3,"""DC-""0000"))</f>
        <v/>
      </c>
      <c r="B1008" s="5" t="n"/>
      <c r="C1008" s="5" t="n"/>
      <c r="D1008" s="5" t="n"/>
      <c r="E1008" s="5" t="n"/>
      <c r="F1008" s="5" t="n"/>
      <c r="G1008" s="5" t="n"/>
      <c r="H1008" s="8" t="n"/>
      <c r="I1008" s="8" t="n"/>
      <c r="J1008" s="8" t="n"/>
      <c r="K1008" s="11">
        <f>IF(B1008="","",MAX(0,IFERROR(I1008,0)*IFERROR(H1008,0)-IFERROR(J1008,0)))</f>
        <v/>
      </c>
      <c r="L1008" s="8" t="n"/>
      <c r="M1008" s="11">
        <f>IF(B1008="","",MAX(0,K1008-L1008))</f>
        <v/>
      </c>
      <c r="N1008" s="11">
        <f>IF(B1008="","",IF(L1008&gt;=K1008,"Paid",IF(L1008&gt;0,"Partial","Unpaid")))</f>
        <v/>
      </c>
      <c r="O1008" s="5" t="n"/>
      <c r="P1008" s="8" t="n"/>
      <c r="Q1008" s="8" t="n"/>
      <c r="R1008" s="11">
        <f>IF(B1008="","",IFERROR(K1008,0)+IFERROR(P1008,0)-IFERROR(Q1008,0))</f>
        <v/>
      </c>
      <c r="S1008" s="5" t="n"/>
      <c r="T1008" s="5" t="n"/>
      <c r="U1008" s="11">
        <f>IF(B1008="","",TRIM(LOWER(C1008)&amp;"|"&amp;LOWER(D1008)))</f>
        <v/>
      </c>
    </row>
    <row r="1009">
      <c r="A1009" s="11">
        <f>IF(B1009="","",TEXT(ROW()-3,"""DC-""0000"))</f>
        <v/>
      </c>
      <c r="B1009" s="5" t="n"/>
      <c r="C1009" s="5" t="n"/>
      <c r="D1009" s="5" t="n"/>
      <c r="E1009" s="5" t="n"/>
      <c r="F1009" s="5" t="n"/>
      <c r="G1009" s="5" t="n"/>
      <c r="H1009" s="8" t="n"/>
      <c r="I1009" s="8" t="n"/>
      <c r="J1009" s="8" t="n"/>
      <c r="K1009" s="11">
        <f>IF(B1009="","",MAX(0,IFERROR(I1009,0)*IFERROR(H1009,0)-IFERROR(J1009,0)))</f>
        <v/>
      </c>
      <c r="L1009" s="8" t="n"/>
      <c r="M1009" s="11">
        <f>IF(B1009="","",MAX(0,K1009-L1009))</f>
        <v/>
      </c>
      <c r="N1009" s="11">
        <f>IF(B1009="","",IF(L1009&gt;=K1009,"Paid",IF(L1009&gt;0,"Partial","Unpaid")))</f>
        <v/>
      </c>
      <c r="O1009" s="5" t="n"/>
      <c r="P1009" s="8" t="n"/>
      <c r="Q1009" s="8" t="n"/>
      <c r="R1009" s="11">
        <f>IF(B1009="","",IFERROR(K1009,0)+IFERROR(P1009,0)-IFERROR(Q1009,0))</f>
        <v/>
      </c>
      <c r="S1009" s="5" t="n"/>
      <c r="T1009" s="5" t="n"/>
      <c r="U1009" s="11">
        <f>IF(B1009="","",TRIM(LOWER(C1009)&amp;"|"&amp;LOWER(D1009)))</f>
        <v/>
      </c>
    </row>
    <row r="1010">
      <c r="A1010" s="11">
        <f>IF(B1010="","",TEXT(ROW()-3,"""DC-""0000"))</f>
        <v/>
      </c>
      <c r="B1010" s="5" t="n"/>
      <c r="C1010" s="5" t="n"/>
      <c r="D1010" s="5" t="n"/>
      <c r="E1010" s="5" t="n"/>
      <c r="F1010" s="5" t="n"/>
      <c r="G1010" s="5" t="n"/>
      <c r="H1010" s="8" t="n"/>
      <c r="I1010" s="8" t="n"/>
      <c r="J1010" s="8" t="n"/>
      <c r="K1010" s="11">
        <f>IF(B1010="","",MAX(0,IFERROR(I1010,0)*IFERROR(H1010,0)-IFERROR(J1010,0)))</f>
        <v/>
      </c>
      <c r="L1010" s="8" t="n"/>
      <c r="M1010" s="11">
        <f>IF(B1010="","",MAX(0,K1010-L1010))</f>
        <v/>
      </c>
      <c r="N1010" s="11">
        <f>IF(B1010="","",IF(L1010&gt;=K1010,"Paid",IF(L1010&gt;0,"Partial","Unpaid")))</f>
        <v/>
      </c>
      <c r="O1010" s="5" t="n"/>
      <c r="P1010" s="8" t="n"/>
      <c r="Q1010" s="8" t="n"/>
      <c r="R1010" s="11">
        <f>IF(B1010="","",IFERROR(K1010,0)+IFERROR(P1010,0)-IFERROR(Q1010,0))</f>
        <v/>
      </c>
      <c r="S1010" s="5" t="n"/>
      <c r="T1010" s="5" t="n"/>
      <c r="U1010" s="11">
        <f>IF(B1010="","",TRIM(LOWER(C1010)&amp;"|"&amp;LOWER(D1010)))</f>
        <v/>
      </c>
    </row>
    <row r="1011">
      <c r="A1011" s="11">
        <f>IF(B1011="","",TEXT(ROW()-3,"""DC-""0000"))</f>
        <v/>
      </c>
      <c r="B1011" s="5" t="n"/>
      <c r="C1011" s="5" t="n"/>
      <c r="D1011" s="5" t="n"/>
      <c r="E1011" s="5" t="n"/>
      <c r="F1011" s="5" t="n"/>
      <c r="G1011" s="5" t="n"/>
      <c r="H1011" s="8" t="n"/>
      <c r="I1011" s="8" t="n"/>
      <c r="J1011" s="8" t="n"/>
      <c r="K1011" s="11">
        <f>IF(B1011="","",MAX(0,IFERROR(I1011,0)*IFERROR(H1011,0)-IFERROR(J1011,0)))</f>
        <v/>
      </c>
      <c r="L1011" s="8" t="n"/>
      <c r="M1011" s="11">
        <f>IF(B1011="","",MAX(0,K1011-L1011))</f>
        <v/>
      </c>
      <c r="N1011" s="11">
        <f>IF(B1011="","",IF(L1011&gt;=K1011,"Paid",IF(L1011&gt;0,"Partial","Unpaid")))</f>
        <v/>
      </c>
      <c r="O1011" s="5" t="n"/>
      <c r="P1011" s="8" t="n"/>
      <c r="Q1011" s="8" t="n"/>
      <c r="R1011" s="11">
        <f>IF(B1011="","",IFERROR(K1011,0)+IFERROR(P1011,0)-IFERROR(Q1011,0))</f>
        <v/>
      </c>
      <c r="S1011" s="5" t="n"/>
      <c r="T1011" s="5" t="n"/>
      <c r="U1011" s="11">
        <f>IF(B1011="","",TRIM(LOWER(C1011)&amp;"|"&amp;LOWER(D1011)))</f>
        <v/>
      </c>
    </row>
    <row r="1012">
      <c r="A1012" s="11">
        <f>IF(B1012="","",TEXT(ROW()-3,"""DC-""0000"))</f>
        <v/>
      </c>
      <c r="B1012" s="5" t="n"/>
      <c r="C1012" s="5" t="n"/>
      <c r="D1012" s="5" t="n"/>
      <c r="E1012" s="5" t="n"/>
      <c r="F1012" s="5" t="n"/>
      <c r="G1012" s="5" t="n"/>
      <c r="H1012" s="8" t="n"/>
      <c r="I1012" s="8" t="n"/>
      <c r="J1012" s="8" t="n"/>
      <c r="K1012" s="11">
        <f>IF(B1012="","",MAX(0,IFERROR(I1012,0)*IFERROR(H1012,0)-IFERROR(J1012,0)))</f>
        <v/>
      </c>
      <c r="L1012" s="8" t="n"/>
      <c r="M1012" s="11">
        <f>IF(B1012="","",MAX(0,K1012-L1012))</f>
        <v/>
      </c>
      <c r="N1012" s="11">
        <f>IF(B1012="","",IF(L1012&gt;=K1012,"Paid",IF(L1012&gt;0,"Partial","Unpaid")))</f>
        <v/>
      </c>
      <c r="O1012" s="5" t="n"/>
      <c r="P1012" s="8" t="n"/>
      <c r="Q1012" s="8" t="n"/>
      <c r="R1012" s="11">
        <f>IF(B1012="","",IFERROR(K1012,0)+IFERROR(P1012,0)-IFERROR(Q1012,0))</f>
        <v/>
      </c>
      <c r="S1012" s="5" t="n"/>
      <c r="T1012" s="5" t="n"/>
      <c r="U1012" s="11">
        <f>IF(B1012="","",TRIM(LOWER(C1012)&amp;"|"&amp;LOWER(D1012)))</f>
        <v/>
      </c>
    </row>
    <row r="1013">
      <c r="A1013" s="11">
        <f>IF(B1013="","",TEXT(ROW()-3,"""DC-""0000"))</f>
        <v/>
      </c>
      <c r="B1013" s="5" t="n"/>
      <c r="C1013" s="5" t="n"/>
      <c r="D1013" s="5" t="n"/>
      <c r="E1013" s="5" t="n"/>
      <c r="F1013" s="5" t="n"/>
      <c r="G1013" s="5" t="n"/>
      <c r="H1013" s="8" t="n"/>
      <c r="I1013" s="8" t="n"/>
      <c r="J1013" s="8" t="n"/>
      <c r="K1013" s="11">
        <f>IF(B1013="","",MAX(0,IFERROR(I1013,0)*IFERROR(H1013,0)-IFERROR(J1013,0)))</f>
        <v/>
      </c>
      <c r="L1013" s="8" t="n"/>
      <c r="M1013" s="11">
        <f>IF(B1013="","",MAX(0,K1013-L1013))</f>
        <v/>
      </c>
      <c r="N1013" s="11">
        <f>IF(B1013="","",IF(L1013&gt;=K1013,"Paid",IF(L1013&gt;0,"Partial","Unpaid")))</f>
        <v/>
      </c>
      <c r="O1013" s="5" t="n"/>
      <c r="P1013" s="8" t="n"/>
      <c r="Q1013" s="8" t="n"/>
      <c r="R1013" s="11">
        <f>IF(B1013="","",IFERROR(K1013,0)+IFERROR(P1013,0)-IFERROR(Q1013,0))</f>
        <v/>
      </c>
      <c r="S1013" s="5" t="n"/>
      <c r="T1013" s="5" t="n"/>
      <c r="U1013" s="11">
        <f>IF(B1013="","",TRIM(LOWER(C1013)&amp;"|"&amp;LOWER(D1013)))</f>
        <v/>
      </c>
    </row>
    <row r="1014">
      <c r="A1014" s="11">
        <f>IF(B1014="","",TEXT(ROW()-3,"""DC-""0000"))</f>
        <v/>
      </c>
      <c r="B1014" s="5" t="n"/>
      <c r="C1014" s="5" t="n"/>
      <c r="D1014" s="5" t="n"/>
      <c r="E1014" s="5" t="n"/>
      <c r="F1014" s="5" t="n"/>
      <c r="G1014" s="5" t="n"/>
      <c r="H1014" s="8" t="n"/>
      <c r="I1014" s="8" t="n"/>
      <c r="J1014" s="8" t="n"/>
      <c r="K1014" s="11">
        <f>IF(B1014="","",MAX(0,IFERROR(I1014,0)*IFERROR(H1014,0)-IFERROR(J1014,0)))</f>
        <v/>
      </c>
      <c r="L1014" s="8" t="n"/>
      <c r="M1014" s="11">
        <f>IF(B1014="","",MAX(0,K1014-L1014))</f>
        <v/>
      </c>
      <c r="N1014" s="11">
        <f>IF(B1014="","",IF(L1014&gt;=K1014,"Paid",IF(L1014&gt;0,"Partial","Unpaid")))</f>
        <v/>
      </c>
      <c r="O1014" s="5" t="n"/>
      <c r="P1014" s="8" t="n"/>
      <c r="Q1014" s="8" t="n"/>
      <c r="R1014" s="11">
        <f>IF(B1014="","",IFERROR(K1014,0)+IFERROR(P1014,0)-IFERROR(Q1014,0))</f>
        <v/>
      </c>
      <c r="S1014" s="5" t="n"/>
      <c r="T1014" s="5" t="n"/>
      <c r="U1014" s="11">
        <f>IF(B1014="","",TRIM(LOWER(C1014)&amp;"|"&amp;LOWER(D1014)))</f>
        <v/>
      </c>
    </row>
    <row r="1015">
      <c r="A1015" s="11">
        <f>IF(B1015="","",TEXT(ROW()-3,"""DC-""0000"))</f>
        <v/>
      </c>
      <c r="B1015" s="5" t="n"/>
      <c r="C1015" s="5" t="n"/>
      <c r="D1015" s="5" t="n"/>
      <c r="E1015" s="5" t="n"/>
      <c r="F1015" s="5" t="n"/>
      <c r="G1015" s="5" t="n"/>
      <c r="H1015" s="8" t="n"/>
      <c r="I1015" s="8" t="n"/>
      <c r="J1015" s="8" t="n"/>
      <c r="K1015" s="11">
        <f>IF(B1015="","",MAX(0,IFERROR(I1015,0)*IFERROR(H1015,0)-IFERROR(J1015,0)))</f>
        <v/>
      </c>
      <c r="L1015" s="8" t="n"/>
      <c r="M1015" s="11">
        <f>IF(B1015="","",MAX(0,K1015-L1015))</f>
        <v/>
      </c>
      <c r="N1015" s="11">
        <f>IF(B1015="","",IF(L1015&gt;=K1015,"Paid",IF(L1015&gt;0,"Partial","Unpaid")))</f>
        <v/>
      </c>
      <c r="O1015" s="5" t="n"/>
      <c r="P1015" s="8" t="n"/>
      <c r="Q1015" s="8" t="n"/>
      <c r="R1015" s="11">
        <f>IF(B1015="","",IFERROR(K1015,0)+IFERROR(P1015,0)-IFERROR(Q1015,0))</f>
        <v/>
      </c>
      <c r="S1015" s="5" t="n"/>
      <c r="T1015" s="5" t="n"/>
      <c r="U1015" s="11">
        <f>IF(B1015="","",TRIM(LOWER(C1015)&amp;"|"&amp;LOWER(D1015)))</f>
        <v/>
      </c>
    </row>
    <row r="1016">
      <c r="A1016" s="11">
        <f>IF(B1016="","",TEXT(ROW()-3,"""DC-""0000"))</f>
        <v/>
      </c>
      <c r="B1016" s="5" t="n"/>
      <c r="C1016" s="5" t="n"/>
      <c r="D1016" s="5" t="n"/>
      <c r="E1016" s="5" t="n"/>
      <c r="F1016" s="5" t="n"/>
      <c r="G1016" s="5" t="n"/>
      <c r="H1016" s="8" t="n"/>
      <c r="I1016" s="8" t="n"/>
      <c r="J1016" s="8" t="n"/>
      <c r="K1016" s="11">
        <f>IF(B1016="","",MAX(0,IFERROR(I1016,0)*IFERROR(H1016,0)-IFERROR(J1016,0)))</f>
        <v/>
      </c>
      <c r="L1016" s="8" t="n"/>
      <c r="M1016" s="11">
        <f>IF(B1016="","",MAX(0,K1016-L1016))</f>
        <v/>
      </c>
      <c r="N1016" s="11">
        <f>IF(B1016="","",IF(L1016&gt;=K1016,"Paid",IF(L1016&gt;0,"Partial","Unpaid")))</f>
        <v/>
      </c>
      <c r="O1016" s="5" t="n"/>
      <c r="P1016" s="8" t="n"/>
      <c r="Q1016" s="8" t="n"/>
      <c r="R1016" s="11">
        <f>IF(B1016="","",IFERROR(K1016,0)+IFERROR(P1016,0)-IFERROR(Q1016,0))</f>
        <v/>
      </c>
      <c r="S1016" s="5" t="n"/>
      <c r="T1016" s="5" t="n"/>
      <c r="U1016" s="11">
        <f>IF(B1016="","",TRIM(LOWER(C1016)&amp;"|"&amp;LOWER(D1016)))</f>
        <v/>
      </c>
    </row>
    <row r="1017">
      <c r="A1017" s="11">
        <f>IF(B1017="","",TEXT(ROW()-3,"""DC-""0000"))</f>
        <v/>
      </c>
      <c r="B1017" s="5" t="n"/>
      <c r="C1017" s="5" t="n"/>
      <c r="D1017" s="5" t="n"/>
      <c r="E1017" s="5" t="n"/>
      <c r="F1017" s="5" t="n"/>
      <c r="G1017" s="5" t="n"/>
      <c r="H1017" s="8" t="n"/>
      <c r="I1017" s="8" t="n"/>
      <c r="J1017" s="8" t="n"/>
      <c r="K1017" s="11">
        <f>IF(B1017="","",MAX(0,IFERROR(I1017,0)*IFERROR(H1017,0)-IFERROR(J1017,0)))</f>
        <v/>
      </c>
      <c r="L1017" s="8" t="n"/>
      <c r="M1017" s="11">
        <f>IF(B1017="","",MAX(0,K1017-L1017))</f>
        <v/>
      </c>
      <c r="N1017" s="11">
        <f>IF(B1017="","",IF(L1017&gt;=K1017,"Paid",IF(L1017&gt;0,"Partial","Unpaid")))</f>
        <v/>
      </c>
      <c r="O1017" s="5" t="n"/>
      <c r="P1017" s="8" t="n"/>
      <c r="Q1017" s="8" t="n"/>
      <c r="R1017" s="11">
        <f>IF(B1017="","",IFERROR(K1017,0)+IFERROR(P1017,0)-IFERROR(Q1017,0))</f>
        <v/>
      </c>
      <c r="S1017" s="5" t="n"/>
      <c r="T1017" s="5" t="n"/>
      <c r="U1017" s="11">
        <f>IF(B1017="","",TRIM(LOWER(C1017)&amp;"|"&amp;LOWER(D1017)))</f>
        <v/>
      </c>
    </row>
    <row r="1018">
      <c r="A1018" s="11">
        <f>IF(B1018="","",TEXT(ROW()-3,"""DC-""0000"))</f>
        <v/>
      </c>
      <c r="B1018" s="5" t="n"/>
      <c r="C1018" s="5" t="n"/>
      <c r="D1018" s="5" t="n"/>
      <c r="E1018" s="5" t="n"/>
      <c r="F1018" s="5" t="n"/>
      <c r="G1018" s="5" t="n"/>
      <c r="H1018" s="8" t="n"/>
      <c r="I1018" s="8" t="n"/>
      <c r="J1018" s="8" t="n"/>
      <c r="K1018" s="11">
        <f>IF(B1018="","",MAX(0,IFERROR(I1018,0)*IFERROR(H1018,0)-IFERROR(J1018,0)))</f>
        <v/>
      </c>
      <c r="L1018" s="8" t="n"/>
      <c r="M1018" s="11">
        <f>IF(B1018="","",MAX(0,K1018-L1018))</f>
        <v/>
      </c>
      <c r="N1018" s="11">
        <f>IF(B1018="","",IF(L1018&gt;=K1018,"Paid",IF(L1018&gt;0,"Partial","Unpaid")))</f>
        <v/>
      </c>
      <c r="O1018" s="5" t="n"/>
      <c r="P1018" s="8" t="n"/>
      <c r="Q1018" s="8" t="n"/>
      <c r="R1018" s="11">
        <f>IF(B1018="","",IFERROR(K1018,0)+IFERROR(P1018,0)-IFERROR(Q1018,0))</f>
        <v/>
      </c>
      <c r="S1018" s="5" t="n"/>
      <c r="T1018" s="5" t="n"/>
      <c r="U1018" s="11">
        <f>IF(B1018="","",TRIM(LOWER(C1018)&amp;"|"&amp;LOWER(D1018)))</f>
        <v/>
      </c>
    </row>
    <row r="1019">
      <c r="A1019" s="11">
        <f>IF(B1019="","",TEXT(ROW()-3,"""DC-""0000"))</f>
        <v/>
      </c>
      <c r="B1019" s="5" t="n"/>
      <c r="C1019" s="5" t="n"/>
      <c r="D1019" s="5" t="n"/>
      <c r="E1019" s="5" t="n"/>
      <c r="F1019" s="5" t="n"/>
      <c r="G1019" s="5" t="n"/>
      <c r="H1019" s="8" t="n"/>
      <c r="I1019" s="8" t="n"/>
      <c r="J1019" s="8" t="n"/>
      <c r="K1019" s="11">
        <f>IF(B1019="","",MAX(0,IFERROR(I1019,0)*IFERROR(H1019,0)-IFERROR(J1019,0)))</f>
        <v/>
      </c>
      <c r="L1019" s="8" t="n"/>
      <c r="M1019" s="11">
        <f>IF(B1019="","",MAX(0,K1019-L1019))</f>
        <v/>
      </c>
      <c r="N1019" s="11">
        <f>IF(B1019="","",IF(L1019&gt;=K1019,"Paid",IF(L1019&gt;0,"Partial","Unpaid")))</f>
        <v/>
      </c>
      <c r="O1019" s="5" t="n"/>
      <c r="P1019" s="8" t="n"/>
      <c r="Q1019" s="8" t="n"/>
      <c r="R1019" s="11">
        <f>IF(B1019="","",IFERROR(K1019,0)+IFERROR(P1019,0)-IFERROR(Q1019,0))</f>
        <v/>
      </c>
      <c r="S1019" s="5" t="n"/>
      <c r="T1019" s="5" t="n"/>
      <c r="U1019" s="11">
        <f>IF(B1019="","",TRIM(LOWER(C1019)&amp;"|"&amp;LOWER(D1019)))</f>
        <v/>
      </c>
    </row>
    <row r="1020">
      <c r="A1020" s="11">
        <f>IF(B1020="","",TEXT(ROW()-3,"""DC-""0000"))</f>
        <v/>
      </c>
      <c r="B1020" s="5" t="n"/>
      <c r="C1020" s="5" t="n"/>
      <c r="D1020" s="5" t="n"/>
      <c r="E1020" s="5" t="n"/>
      <c r="F1020" s="5" t="n"/>
      <c r="G1020" s="5" t="n"/>
      <c r="H1020" s="8" t="n"/>
      <c r="I1020" s="8" t="n"/>
      <c r="J1020" s="8" t="n"/>
      <c r="K1020" s="11">
        <f>IF(B1020="","",MAX(0,IFERROR(I1020,0)*IFERROR(H1020,0)-IFERROR(J1020,0)))</f>
        <v/>
      </c>
      <c r="L1020" s="8" t="n"/>
      <c r="M1020" s="11">
        <f>IF(B1020="","",MAX(0,K1020-L1020))</f>
        <v/>
      </c>
      <c r="N1020" s="11">
        <f>IF(B1020="","",IF(L1020&gt;=K1020,"Paid",IF(L1020&gt;0,"Partial","Unpaid")))</f>
        <v/>
      </c>
      <c r="O1020" s="5" t="n"/>
      <c r="P1020" s="8" t="n"/>
      <c r="Q1020" s="8" t="n"/>
      <c r="R1020" s="11">
        <f>IF(B1020="","",IFERROR(K1020,0)+IFERROR(P1020,0)-IFERROR(Q1020,0))</f>
        <v/>
      </c>
      <c r="S1020" s="5" t="n"/>
      <c r="T1020" s="5" t="n"/>
      <c r="U1020" s="11">
        <f>IF(B1020="","",TRIM(LOWER(C1020)&amp;"|"&amp;LOWER(D1020)))</f>
        <v/>
      </c>
    </row>
    <row r="1021">
      <c r="A1021" s="11">
        <f>IF(B1021="","",TEXT(ROW()-3,"""DC-""0000"))</f>
        <v/>
      </c>
      <c r="B1021" s="5" t="n"/>
      <c r="C1021" s="5" t="n"/>
      <c r="D1021" s="5" t="n"/>
      <c r="E1021" s="5" t="n"/>
      <c r="F1021" s="5" t="n"/>
      <c r="G1021" s="5" t="n"/>
      <c r="H1021" s="8" t="n"/>
      <c r="I1021" s="8" t="n"/>
      <c r="J1021" s="8" t="n"/>
      <c r="K1021" s="11">
        <f>IF(B1021="","",MAX(0,IFERROR(I1021,0)*IFERROR(H1021,0)-IFERROR(J1021,0)))</f>
        <v/>
      </c>
      <c r="L1021" s="8" t="n"/>
      <c r="M1021" s="11">
        <f>IF(B1021="","",MAX(0,K1021-L1021))</f>
        <v/>
      </c>
      <c r="N1021" s="11">
        <f>IF(B1021="","",IF(L1021&gt;=K1021,"Paid",IF(L1021&gt;0,"Partial","Unpaid")))</f>
        <v/>
      </c>
      <c r="O1021" s="5" t="n"/>
      <c r="P1021" s="8" t="n"/>
      <c r="Q1021" s="8" t="n"/>
      <c r="R1021" s="11">
        <f>IF(B1021="","",IFERROR(K1021,0)+IFERROR(P1021,0)-IFERROR(Q1021,0))</f>
        <v/>
      </c>
      <c r="S1021" s="5" t="n"/>
      <c r="T1021" s="5" t="n"/>
      <c r="U1021" s="11">
        <f>IF(B1021="","",TRIM(LOWER(C1021)&amp;"|"&amp;LOWER(D1021)))</f>
        <v/>
      </c>
    </row>
    <row r="1022">
      <c r="A1022" s="11">
        <f>IF(B1022="","",TEXT(ROW()-3,"""DC-""0000"))</f>
        <v/>
      </c>
      <c r="B1022" s="5" t="n"/>
      <c r="C1022" s="5" t="n"/>
      <c r="D1022" s="5" t="n"/>
      <c r="E1022" s="5" t="n"/>
      <c r="F1022" s="5" t="n"/>
      <c r="G1022" s="5" t="n"/>
      <c r="H1022" s="8" t="n"/>
      <c r="I1022" s="8" t="n"/>
      <c r="J1022" s="8" t="n"/>
      <c r="K1022" s="11">
        <f>IF(B1022="","",MAX(0,IFERROR(I1022,0)*IFERROR(H1022,0)-IFERROR(J1022,0)))</f>
        <v/>
      </c>
      <c r="L1022" s="8" t="n"/>
      <c r="M1022" s="11">
        <f>IF(B1022="","",MAX(0,K1022-L1022))</f>
        <v/>
      </c>
      <c r="N1022" s="11">
        <f>IF(B1022="","",IF(L1022&gt;=K1022,"Paid",IF(L1022&gt;0,"Partial","Unpaid")))</f>
        <v/>
      </c>
      <c r="O1022" s="5" t="n"/>
      <c r="P1022" s="8" t="n"/>
      <c r="Q1022" s="8" t="n"/>
      <c r="R1022" s="11">
        <f>IF(B1022="","",IFERROR(K1022,0)+IFERROR(P1022,0)-IFERROR(Q1022,0))</f>
        <v/>
      </c>
      <c r="S1022" s="5" t="n"/>
      <c r="T1022" s="5" t="n"/>
      <c r="U1022" s="11">
        <f>IF(B1022="","",TRIM(LOWER(C1022)&amp;"|"&amp;LOWER(D1022)))</f>
        <v/>
      </c>
    </row>
    <row r="1023">
      <c r="A1023" s="11">
        <f>IF(B1023="","",TEXT(ROW()-3,"""DC-""0000"))</f>
        <v/>
      </c>
      <c r="B1023" s="5" t="n"/>
      <c r="C1023" s="5" t="n"/>
      <c r="D1023" s="5" t="n"/>
      <c r="E1023" s="5" t="n"/>
      <c r="F1023" s="5" t="n"/>
      <c r="G1023" s="5" t="n"/>
      <c r="H1023" s="8" t="n"/>
      <c r="I1023" s="8" t="n"/>
      <c r="J1023" s="8" t="n"/>
      <c r="K1023" s="11">
        <f>IF(B1023="","",MAX(0,IFERROR(I1023,0)*IFERROR(H1023,0)-IFERROR(J1023,0)))</f>
        <v/>
      </c>
      <c r="L1023" s="8" t="n"/>
      <c r="M1023" s="11">
        <f>IF(B1023="","",MAX(0,K1023-L1023))</f>
        <v/>
      </c>
      <c r="N1023" s="11">
        <f>IF(B1023="","",IF(L1023&gt;=K1023,"Paid",IF(L1023&gt;0,"Partial","Unpaid")))</f>
        <v/>
      </c>
      <c r="O1023" s="5" t="n"/>
      <c r="P1023" s="8" t="n"/>
      <c r="Q1023" s="8" t="n"/>
      <c r="R1023" s="11">
        <f>IF(B1023="","",IFERROR(K1023,0)+IFERROR(P1023,0)-IFERROR(Q1023,0))</f>
        <v/>
      </c>
      <c r="S1023" s="5" t="n"/>
      <c r="T1023" s="5" t="n"/>
      <c r="U1023" s="11">
        <f>IF(B1023="","",TRIM(LOWER(C1023)&amp;"|"&amp;LOWER(D1023)))</f>
        <v/>
      </c>
    </row>
    <row r="1024">
      <c r="A1024" s="11">
        <f>IF(B1024="","",TEXT(ROW()-3,"""DC-""0000"))</f>
        <v/>
      </c>
      <c r="B1024" s="5" t="n"/>
      <c r="C1024" s="5" t="n"/>
      <c r="D1024" s="5" t="n"/>
      <c r="E1024" s="5" t="n"/>
      <c r="F1024" s="5" t="n"/>
      <c r="G1024" s="5" t="n"/>
      <c r="H1024" s="8" t="n"/>
      <c r="I1024" s="8" t="n"/>
      <c r="J1024" s="8" t="n"/>
      <c r="K1024" s="11">
        <f>IF(B1024="","",MAX(0,IFERROR(I1024,0)*IFERROR(H1024,0)-IFERROR(J1024,0)))</f>
        <v/>
      </c>
      <c r="L1024" s="8" t="n"/>
      <c r="M1024" s="11">
        <f>IF(B1024="","",MAX(0,K1024-L1024))</f>
        <v/>
      </c>
      <c r="N1024" s="11">
        <f>IF(B1024="","",IF(L1024&gt;=K1024,"Paid",IF(L1024&gt;0,"Partial","Unpaid")))</f>
        <v/>
      </c>
      <c r="O1024" s="5" t="n"/>
      <c r="P1024" s="8" t="n"/>
      <c r="Q1024" s="8" t="n"/>
      <c r="R1024" s="11">
        <f>IF(B1024="","",IFERROR(K1024,0)+IFERROR(P1024,0)-IFERROR(Q1024,0))</f>
        <v/>
      </c>
      <c r="S1024" s="5" t="n"/>
      <c r="T1024" s="5" t="n"/>
      <c r="U1024" s="11">
        <f>IF(B1024="","",TRIM(LOWER(C1024)&amp;"|"&amp;LOWER(D1024)))</f>
        <v/>
      </c>
    </row>
    <row r="1025">
      <c r="A1025" s="11">
        <f>IF(B1025="","",TEXT(ROW()-3,"""DC-""0000"))</f>
        <v/>
      </c>
      <c r="B1025" s="5" t="n"/>
      <c r="C1025" s="5" t="n"/>
      <c r="D1025" s="5" t="n"/>
      <c r="E1025" s="5" t="n"/>
      <c r="F1025" s="5" t="n"/>
      <c r="G1025" s="5" t="n"/>
      <c r="H1025" s="8" t="n"/>
      <c r="I1025" s="8" t="n"/>
      <c r="J1025" s="8" t="n"/>
      <c r="K1025" s="11">
        <f>IF(B1025="","",MAX(0,IFERROR(I1025,0)*IFERROR(H1025,0)-IFERROR(J1025,0)))</f>
        <v/>
      </c>
      <c r="L1025" s="8" t="n"/>
      <c r="M1025" s="11">
        <f>IF(B1025="","",MAX(0,K1025-L1025))</f>
        <v/>
      </c>
      <c r="N1025" s="11">
        <f>IF(B1025="","",IF(L1025&gt;=K1025,"Paid",IF(L1025&gt;0,"Partial","Unpaid")))</f>
        <v/>
      </c>
      <c r="O1025" s="5" t="n"/>
      <c r="P1025" s="8" t="n"/>
      <c r="Q1025" s="8" t="n"/>
      <c r="R1025" s="11">
        <f>IF(B1025="","",IFERROR(K1025,0)+IFERROR(P1025,0)-IFERROR(Q1025,0))</f>
        <v/>
      </c>
      <c r="S1025" s="5" t="n"/>
      <c r="T1025" s="5" t="n"/>
      <c r="U1025" s="11">
        <f>IF(B1025="","",TRIM(LOWER(C1025)&amp;"|"&amp;LOWER(D1025)))</f>
        <v/>
      </c>
    </row>
    <row r="1026">
      <c r="A1026" s="11">
        <f>IF(B1026="","",TEXT(ROW()-3,"""DC-""0000"))</f>
        <v/>
      </c>
      <c r="B1026" s="5" t="n"/>
      <c r="C1026" s="5" t="n"/>
      <c r="D1026" s="5" t="n"/>
      <c r="E1026" s="5" t="n"/>
      <c r="F1026" s="5" t="n"/>
      <c r="G1026" s="5" t="n"/>
      <c r="H1026" s="8" t="n"/>
      <c r="I1026" s="8" t="n"/>
      <c r="J1026" s="8" t="n"/>
      <c r="K1026" s="11">
        <f>IF(B1026="","",MAX(0,IFERROR(I1026,0)*IFERROR(H1026,0)-IFERROR(J1026,0)))</f>
        <v/>
      </c>
      <c r="L1026" s="8" t="n"/>
      <c r="M1026" s="11">
        <f>IF(B1026="","",MAX(0,K1026-L1026))</f>
        <v/>
      </c>
      <c r="N1026" s="11">
        <f>IF(B1026="","",IF(L1026&gt;=K1026,"Paid",IF(L1026&gt;0,"Partial","Unpaid")))</f>
        <v/>
      </c>
      <c r="O1026" s="5" t="n"/>
      <c r="P1026" s="8" t="n"/>
      <c r="Q1026" s="8" t="n"/>
      <c r="R1026" s="11">
        <f>IF(B1026="","",IFERROR(K1026,0)+IFERROR(P1026,0)-IFERROR(Q1026,0))</f>
        <v/>
      </c>
      <c r="S1026" s="5" t="n"/>
      <c r="T1026" s="5" t="n"/>
      <c r="U1026" s="11">
        <f>IF(B1026="","",TRIM(LOWER(C1026)&amp;"|"&amp;LOWER(D1026)))</f>
        <v/>
      </c>
    </row>
    <row r="1027">
      <c r="A1027" s="11">
        <f>IF(B1027="","",TEXT(ROW()-3,"""DC-""0000"))</f>
        <v/>
      </c>
      <c r="B1027" s="5" t="n"/>
      <c r="C1027" s="5" t="n"/>
      <c r="D1027" s="5" t="n"/>
      <c r="E1027" s="5" t="n"/>
      <c r="F1027" s="5" t="n"/>
      <c r="G1027" s="5" t="n"/>
      <c r="H1027" s="8" t="n"/>
      <c r="I1027" s="8" t="n"/>
      <c r="J1027" s="8" t="n"/>
      <c r="K1027" s="11">
        <f>IF(B1027="","",MAX(0,IFERROR(I1027,0)*IFERROR(H1027,0)-IFERROR(J1027,0)))</f>
        <v/>
      </c>
      <c r="L1027" s="8" t="n"/>
      <c r="M1027" s="11">
        <f>IF(B1027="","",MAX(0,K1027-L1027))</f>
        <v/>
      </c>
      <c r="N1027" s="11">
        <f>IF(B1027="","",IF(L1027&gt;=K1027,"Paid",IF(L1027&gt;0,"Partial","Unpaid")))</f>
        <v/>
      </c>
      <c r="O1027" s="5" t="n"/>
      <c r="P1027" s="8" t="n"/>
      <c r="Q1027" s="8" t="n"/>
      <c r="R1027" s="11">
        <f>IF(B1027="","",IFERROR(K1027,0)+IFERROR(P1027,0)-IFERROR(Q1027,0))</f>
        <v/>
      </c>
      <c r="S1027" s="5" t="n"/>
      <c r="T1027" s="5" t="n"/>
      <c r="U1027" s="11">
        <f>IF(B1027="","",TRIM(LOWER(C1027)&amp;"|"&amp;LOWER(D1027)))</f>
        <v/>
      </c>
    </row>
    <row r="1028">
      <c r="A1028" s="11">
        <f>IF(B1028="","",TEXT(ROW()-3,"""DC-""0000"))</f>
        <v/>
      </c>
      <c r="B1028" s="5" t="n"/>
      <c r="C1028" s="5" t="n"/>
      <c r="D1028" s="5" t="n"/>
      <c r="E1028" s="5" t="n"/>
      <c r="F1028" s="5" t="n"/>
      <c r="G1028" s="5" t="n"/>
      <c r="H1028" s="8" t="n"/>
      <c r="I1028" s="8" t="n"/>
      <c r="J1028" s="8" t="n"/>
      <c r="K1028" s="11">
        <f>IF(B1028="","",MAX(0,IFERROR(I1028,0)*IFERROR(H1028,0)-IFERROR(J1028,0)))</f>
        <v/>
      </c>
      <c r="L1028" s="8" t="n"/>
      <c r="M1028" s="11">
        <f>IF(B1028="","",MAX(0,K1028-L1028))</f>
        <v/>
      </c>
      <c r="N1028" s="11">
        <f>IF(B1028="","",IF(L1028&gt;=K1028,"Paid",IF(L1028&gt;0,"Partial","Unpaid")))</f>
        <v/>
      </c>
      <c r="O1028" s="5" t="n"/>
      <c r="P1028" s="8" t="n"/>
      <c r="Q1028" s="8" t="n"/>
      <c r="R1028" s="11">
        <f>IF(B1028="","",IFERROR(K1028,0)+IFERROR(P1028,0)-IFERROR(Q1028,0))</f>
        <v/>
      </c>
      <c r="S1028" s="5" t="n"/>
      <c r="T1028" s="5" t="n"/>
      <c r="U1028" s="11">
        <f>IF(B1028="","",TRIM(LOWER(C1028)&amp;"|"&amp;LOWER(D1028)))</f>
        <v/>
      </c>
    </row>
    <row r="1029">
      <c r="A1029" s="11">
        <f>IF(B1029="","",TEXT(ROW()-3,"""DC-""0000"))</f>
        <v/>
      </c>
      <c r="B1029" s="5" t="n"/>
      <c r="C1029" s="5" t="n"/>
      <c r="D1029" s="5" t="n"/>
      <c r="E1029" s="5" t="n"/>
      <c r="F1029" s="5" t="n"/>
      <c r="G1029" s="5" t="n"/>
      <c r="H1029" s="8" t="n"/>
      <c r="I1029" s="8" t="n"/>
      <c r="J1029" s="8" t="n"/>
      <c r="K1029" s="11">
        <f>IF(B1029="","",MAX(0,IFERROR(I1029,0)*IFERROR(H1029,0)-IFERROR(J1029,0)))</f>
        <v/>
      </c>
      <c r="L1029" s="8" t="n"/>
      <c r="M1029" s="11">
        <f>IF(B1029="","",MAX(0,K1029-L1029))</f>
        <v/>
      </c>
      <c r="N1029" s="11">
        <f>IF(B1029="","",IF(L1029&gt;=K1029,"Paid",IF(L1029&gt;0,"Partial","Unpaid")))</f>
        <v/>
      </c>
      <c r="O1029" s="5" t="n"/>
      <c r="P1029" s="8" t="n"/>
      <c r="Q1029" s="8" t="n"/>
      <c r="R1029" s="11">
        <f>IF(B1029="","",IFERROR(K1029,0)+IFERROR(P1029,0)-IFERROR(Q1029,0))</f>
        <v/>
      </c>
      <c r="S1029" s="5" t="n"/>
      <c r="T1029" s="5" t="n"/>
      <c r="U1029" s="11">
        <f>IF(B1029="","",TRIM(LOWER(C1029)&amp;"|"&amp;LOWER(D1029)))</f>
        <v/>
      </c>
    </row>
    <row r="1030">
      <c r="A1030" s="11">
        <f>IF(B1030="","",TEXT(ROW()-3,"""DC-""0000"))</f>
        <v/>
      </c>
      <c r="B1030" s="5" t="n"/>
      <c r="C1030" s="5" t="n"/>
      <c r="D1030" s="5" t="n"/>
      <c r="E1030" s="5" t="n"/>
      <c r="F1030" s="5" t="n"/>
      <c r="G1030" s="5" t="n"/>
      <c r="H1030" s="8" t="n"/>
      <c r="I1030" s="8" t="n"/>
      <c r="J1030" s="8" t="n"/>
      <c r="K1030" s="11">
        <f>IF(B1030="","",MAX(0,IFERROR(I1030,0)*IFERROR(H1030,0)-IFERROR(J1030,0)))</f>
        <v/>
      </c>
      <c r="L1030" s="8" t="n"/>
      <c r="M1030" s="11">
        <f>IF(B1030="","",MAX(0,K1030-L1030))</f>
        <v/>
      </c>
      <c r="N1030" s="11">
        <f>IF(B1030="","",IF(L1030&gt;=K1030,"Paid",IF(L1030&gt;0,"Partial","Unpaid")))</f>
        <v/>
      </c>
      <c r="O1030" s="5" t="n"/>
      <c r="P1030" s="8" t="n"/>
      <c r="Q1030" s="8" t="n"/>
      <c r="R1030" s="11">
        <f>IF(B1030="","",IFERROR(K1030,0)+IFERROR(P1030,0)-IFERROR(Q1030,0))</f>
        <v/>
      </c>
      <c r="S1030" s="5" t="n"/>
      <c r="T1030" s="5" t="n"/>
      <c r="U1030" s="11">
        <f>IF(B1030="","",TRIM(LOWER(C1030)&amp;"|"&amp;LOWER(D1030)))</f>
        <v/>
      </c>
    </row>
    <row r="1031">
      <c r="A1031" s="11">
        <f>IF(B1031="","",TEXT(ROW()-3,"""DC-""0000"))</f>
        <v/>
      </c>
      <c r="B1031" s="5" t="n"/>
      <c r="C1031" s="5" t="n"/>
      <c r="D1031" s="5" t="n"/>
      <c r="E1031" s="5" t="n"/>
      <c r="F1031" s="5" t="n"/>
      <c r="G1031" s="5" t="n"/>
      <c r="H1031" s="8" t="n"/>
      <c r="I1031" s="8" t="n"/>
      <c r="J1031" s="8" t="n"/>
      <c r="K1031" s="11">
        <f>IF(B1031="","",MAX(0,IFERROR(I1031,0)*IFERROR(H1031,0)-IFERROR(J1031,0)))</f>
        <v/>
      </c>
      <c r="L1031" s="8" t="n"/>
      <c r="M1031" s="11">
        <f>IF(B1031="","",MAX(0,K1031-L1031))</f>
        <v/>
      </c>
      <c r="N1031" s="11">
        <f>IF(B1031="","",IF(L1031&gt;=K1031,"Paid",IF(L1031&gt;0,"Partial","Unpaid")))</f>
        <v/>
      </c>
      <c r="O1031" s="5" t="n"/>
      <c r="P1031" s="8" t="n"/>
      <c r="Q1031" s="8" t="n"/>
      <c r="R1031" s="11">
        <f>IF(B1031="","",IFERROR(K1031,0)+IFERROR(P1031,0)-IFERROR(Q1031,0))</f>
        <v/>
      </c>
      <c r="S1031" s="5" t="n"/>
      <c r="T1031" s="5" t="n"/>
      <c r="U1031" s="11">
        <f>IF(B1031="","",TRIM(LOWER(C1031)&amp;"|"&amp;LOWER(D1031)))</f>
        <v/>
      </c>
    </row>
    <row r="1032">
      <c r="A1032" s="11">
        <f>IF(B1032="","",TEXT(ROW()-3,"""DC-""0000"))</f>
        <v/>
      </c>
      <c r="B1032" s="5" t="n"/>
      <c r="C1032" s="5" t="n"/>
      <c r="D1032" s="5" t="n"/>
      <c r="E1032" s="5" t="n"/>
      <c r="F1032" s="5" t="n"/>
      <c r="G1032" s="5" t="n"/>
      <c r="H1032" s="8" t="n"/>
      <c r="I1032" s="8" t="n"/>
      <c r="J1032" s="8" t="n"/>
      <c r="K1032" s="11">
        <f>IF(B1032="","",MAX(0,IFERROR(I1032,0)*IFERROR(H1032,0)-IFERROR(J1032,0)))</f>
        <v/>
      </c>
      <c r="L1032" s="8" t="n"/>
      <c r="M1032" s="11">
        <f>IF(B1032="","",MAX(0,K1032-L1032))</f>
        <v/>
      </c>
      <c r="N1032" s="11">
        <f>IF(B1032="","",IF(L1032&gt;=K1032,"Paid",IF(L1032&gt;0,"Partial","Unpaid")))</f>
        <v/>
      </c>
      <c r="O1032" s="5" t="n"/>
      <c r="P1032" s="8" t="n"/>
      <c r="Q1032" s="8" t="n"/>
      <c r="R1032" s="11">
        <f>IF(B1032="","",IFERROR(K1032,0)+IFERROR(P1032,0)-IFERROR(Q1032,0))</f>
        <v/>
      </c>
      <c r="S1032" s="5" t="n"/>
      <c r="T1032" s="5" t="n"/>
      <c r="U1032" s="11">
        <f>IF(B1032="","",TRIM(LOWER(C1032)&amp;"|"&amp;LOWER(D1032)))</f>
        <v/>
      </c>
    </row>
    <row r="1033">
      <c r="A1033" s="11">
        <f>IF(B1033="","",TEXT(ROW()-3,"""DC-""0000"))</f>
        <v/>
      </c>
      <c r="B1033" s="5" t="n"/>
      <c r="C1033" s="5" t="n"/>
      <c r="D1033" s="5" t="n"/>
      <c r="E1033" s="5" t="n"/>
      <c r="F1033" s="5" t="n"/>
      <c r="G1033" s="5" t="n"/>
      <c r="H1033" s="8" t="n"/>
      <c r="I1033" s="8" t="n"/>
      <c r="J1033" s="8" t="n"/>
      <c r="K1033" s="11">
        <f>IF(B1033="","",MAX(0,IFERROR(I1033,0)*IFERROR(H1033,0)-IFERROR(J1033,0)))</f>
        <v/>
      </c>
      <c r="L1033" s="8" t="n"/>
      <c r="M1033" s="11">
        <f>IF(B1033="","",MAX(0,K1033-L1033))</f>
        <v/>
      </c>
      <c r="N1033" s="11">
        <f>IF(B1033="","",IF(L1033&gt;=K1033,"Paid",IF(L1033&gt;0,"Partial","Unpaid")))</f>
        <v/>
      </c>
      <c r="O1033" s="5" t="n"/>
      <c r="P1033" s="8" t="n"/>
      <c r="Q1033" s="8" t="n"/>
      <c r="R1033" s="11">
        <f>IF(B1033="","",IFERROR(K1033,0)+IFERROR(P1033,0)-IFERROR(Q1033,0))</f>
        <v/>
      </c>
      <c r="S1033" s="5" t="n"/>
      <c r="T1033" s="5" t="n"/>
      <c r="U1033" s="11">
        <f>IF(B1033="","",TRIM(LOWER(C1033)&amp;"|"&amp;LOWER(D1033)))</f>
        <v/>
      </c>
    </row>
    <row r="1034">
      <c r="A1034" s="11">
        <f>IF(B1034="","",TEXT(ROW()-3,"""DC-""0000"))</f>
        <v/>
      </c>
      <c r="B1034" s="5" t="n"/>
      <c r="C1034" s="5" t="n"/>
      <c r="D1034" s="5" t="n"/>
      <c r="E1034" s="5" t="n"/>
      <c r="F1034" s="5" t="n"/>
      <c r="G1034" s="5" t="n"/>
      <c r="H1034" s="8" t="n"/>
      <c r="I1034" s="8" t="n"/>
      <c r="J1034" s="8" t="n"/>
      <c r="K1034" s="11">
        <f>IF(B1034="","",MAX(0,IFERROR(I1034,0)*IFERROR(H1034,0)-IFERROR(J1034,0)))</f>
        <v/>
      </c>
      <c r="L1034" s="8" t="n"/>
      <c r="M1034" s="11">
        <f>IF(B1034="","",MAX(0,K1034-L1034))</f>
        <v/>
      </c>
      <c r="N1034" s="11">
        <f>IF(B1034="","",IF(L1034&gt;=K1034,"Paid",IF(L1034&gt;0,"Partial","Unpaid")))</f>
        <v/>
      </c>
      <c r="O1034" s="5" t="n"/>
      <c r="P1034" s="8" t="n"/>
      <c r="Q1034" s="8" t="n"/>
      <c r="R1034" s="11">
        <f>IF(B1034="","",IFERROR(K1034,0)+IFERROR(P1034,0)-IFERROR(Q1034,0))</f>
        <v/>
      </c>
      <c r="S1034" s="5" t="n"/>
      <c r="T1034" s="5" t="n"/>
      <c r="U1034" s="11">
        <f>IF(B1034="","",TRIM(LOWER(C1034)&amp;"|"&amp;LOWER(D1034)))</f>
        <v/>
      </c>
    </row>
    <row r="1035">
      <c r="A1035" s="11">
        <f>IF(B1035="","",TEXT(ROW()-3,"""DC-""0000"))</f>
        <v/>
      </c>
      <c r="B1035" s="5" t="n"/>
      <c r="C1035" s="5" t="n"/>
      <c r="D1035" s="5" t="n"/>
      <c r="E1035" s="5" t="n"/>
      <c r="F1035" s="5" t="n"/>
      <c r="G1035" s="5" t="n"/>
      <c r="H1035" s="8" t="n"/>
      <c r="I1035" s="8" t="n"/>
      <c r="J1035" s="8" t="n"/>
      <c r="K1035" s="11">
        <f>IF(B1035="","",MAX(0,IFERROR(I1035,0)*IFERROR(H1035,0)-IFERROR(J1035,0)))</f>
        <v/>
      </c>
      <c r="L1035" s="8" t="n"/>
      <c r="M1035" s="11">
        <f>IF(B1035="","",MAX(0,K1035-L1035))</f>
        <v/>
      </c>
      <c r="N1035" s="11">
        <f>IF(B1035="","",IF(L1035&gt;=K1035,"Paid",IF(L1035&gt;0,"Partial","Unpaid")))</f>
        <v/>
      </c>
      <c r="O1035" s="5" t="n"/>
      <c r="P1035" s="8" t="n"/>
      <c r="Q1035" s="8" t="n"/>
      <c r="R1035" s="11">
        <f>IF(B1035="","",IFERROR(K1035,0)+IFERROR(P1035,0)-IFERROR(Q1035,0))</f>
        <v/>
      </c>
      <c r="S1035" s="5" t="n"/>
      <c r="T1035" s="5" t="n"/>
      <c r="U1035" s="11">
        <f>IF(B1035="","",TRIM(LOWER(C1035)&amp;"|"&amp;LOWER(D1035)))</f>
        <v/>
      </c>
    </row>
    <row r="1036">
      <c r="A1036" s="11">
        <f>IF(B1036="","",TEXT(ROW()-3,"""DC-""0000"))</f>
        <v/>
      </c>
      <c r="B1036" s="5" t="n"/>
      <c r="C1036" s="5" t="n"/>
      <c r="D1036" s="5" t="n"/>
      <c r="E1036" s="5" t="n"/>
      <c r="F1036" s="5" t="n"/>
      <c r="G1036" s="5" t="n"/>
      <c r="H1036" s="8" t="n"/>
      <c r="I1036" s="8" t="n"/>
      <c r="J1036" s="8" t="n"/>
      <c r="K1036" s="11">
        <f>IF(B1036="","",MAX(0,IFERROR(I1036,0)*IFERROR(H1036,0)-IFERROR(J1036,0)))</f>
        <v/>
      </c>
      <c r="L1036" s="8" t="n"/>
      <c r="M1036" s="11">
        <f>IF(B1036="","",MAX(0,K1036-L1036))</f>
        <v/>
      </c>
      <c r="N1036" s="11">
        <f>IF(B1036="","",IF(L1036&gt;=K1036,"Paid",IF(L1036&gt;0,"Partial","Unpaid")))</f>
        <v/>
      </c>
      <c r="O1036" s="5" t="n"/>
      <c r="P1036" s="8" t="n"/>
      <c r="Q1036" s="8" t="n"/>
      <c r="R1036" s="11">
        <f>IF(B1036="","",IFERROR(K1036,0)+IFERROR(P1036,0)-IFERROR(Q1036,0))</f>
        <v/>
      </c>
      <c r="S1036" s="5" t="n"/>
      <c r="T1036" s="5" t="n"/>
      <c r="U1036" s="11">
        <f>IF(B1036="","",TRIM(LOWER(C1036)&amp;"|"&amp;LOWER(D1036)))</f>
        <v/>
      </c>
    </row>
    <row r="1037">
      <c r="A1037" s="11">
        <f>IF(B1037="","",TEXT(ROW()-3,"""DC-""0000"))</f>
        <v/>
      </c>
      <c r="B1037" s="5" t="n"/>
      <c r="C1037" s="5" t="n"/>
      <c r="D1037" s="5" t="n"/>
      <c r="E1037" s="5" t="n"/>
      <c r="F1037" s="5" t="n"/>
      <c r="G1037" s="5" t="n"/>
      <c r="H1037" s="8" t="n"/>
      <c r="I1037" s="8" t="n"/>
      <c r="J1037" s="8" t="n"/>
      <c r="K1037" s="11">
        <f>IF(B1037="","",MAX(0,IFERROR(I1037,0)*IFERROR(H1037,0)-IFERROR(J1037,0)))</f>
        <v/>
      </c>
      <c r="L1037" s="8" t="n"/>
      <c r="M1037" s="11">
        <f>IF(B1037="","",MAX(0,K1037-L1037))</f>
        <v/>
      </c>
      <c r="N1037" s="11">
        <f>IF(B1037="","",IF(L1037&gt;=K1037,"Paid",IF(L1037&gt;0,"Partial","Unpaid")))</f>
        <v/>
      </c>
      <c r="O1037" s="5" t="n"/>
      <c r="P1037" s="8" t="n"/>
      <c r="Q1037" s="8" t="n"/>
      <c r="R1037" s="11">
        <f>IF(B1037="","",IFERROR(K1037,0)+IFERROR(P1037,0)-IFERROR(Q1037,0))</f>
        <v/>
      </c>
      <c r="S1037" s="5" t="n"/>
      <c r="T1037" s="5" t="n"/>
      <c r="U1037" s="11">
        <f>IF(B1037="","",TRIM(LOWER(C1037)&amp;"|"&amp;LOWER(D1037)))</f>
        <v/>
      </c>
    </row>
    <row r="1038">
      <c r="A1038" s="11">
        <f>IF(B1038="","",TEXT(ROW()-3,"""DC-""0000"))</f>
        <v/>
      </c>
      <c r="B1038" s="5" t="n"/>
      <c r="C1038" s="5" t="n"/>
      <c r="D1038" s="5" t="n"/>
      <c r="E1038" s="5" t="n"/>
      <c r="F1038" s="5" t="n"/>
      <c r="G1038" s="5" t="n"/>
      <c r="H1038" s="8" t="n"/>
      <c r="I1038" s="8" t="n"/>
      <c r="J1038" s="8" t="n"/>
      <c r="K1038" s="11">
        <f>IF(B1038="","",MAX(0,IFERROR(I1038,0)*IFERROR(H1038,0)-IFERROR(J1038,0)))</f>
        <v/>
      </c>
      <c r="L1038" s="8" t="n"/>
      <c r="M1038" s="11">
        <f>IF(B1038="","",MAX(0,K1038-L1038))</f>
        <v/>
      </c>
      <c r="N1038" s="11">
        <f>IF(B1038="","",IF(L1038&gt;=K1038,"Paid",IF(L1038&gt;0,"Partial","Unpaid")))</f>
        <v/>
      </c>
      <c r="O1038" s="5" t="n"/>
      <c r="P1038" s="8" t="n"/>
      <c r="Q1038" s="8" t="n"/>
      <c r="R1038" s="11">
        <f>IF(B1038="","",IFERROR(K1038,0)+IFERROR(P1038,0)-IFERROR(Q1038,0))</f>
        <v/>
      </c>
      <c r="S1038" s="5" t="n"/>
      <c r="T1038" s="5" t="n"/>
      <c r="U1038" s="11">
        <f>IF(B1038="","",TRIM(LOWER(C1038)&amp;"|"&amp;LOWER(D1038)))</f>
        <v/>
      </c>
    </row>
    <row r="1039">
      <c r="A1039" s="11">
        <f>IF(B1039="","",TEXT(ROW()-3,"""DC-""0000"))</f>
        <v/>
      </c>
      <c r="B1039" s="5" t="n"/>
      <c r="C1039" s="5" t="n"/>
      <c r="D1039" s="5" t="n"/>
      <c r="E1039" s="5" t="n"/>
      <c r="F1039" s="5" t="n"/>
      <c r="G1039" s="5" t="n"/>
      <c r="H1039" s="8" t="n"/>
      <c r="I1039" s="8" t="n"/>
      <c r="J1039" s="8" t="n"/>
      <c r="K1039" s="11">
        <f>IF(B1039="","",MAX(0,IFERROR(I1039,0)*IFERROR(H1039,0)-IFERROR(J1039,0)))</f>
        <v/>
      </c>
      <c r="L1039" s="8" t="n"/>
      <c r="M1039" s="11">
        <f>IF(B1039="","",MAX(0,K1039-L1039))</f>
        <v/>
      </c>
      <c r="N1039" s="11">
        <f>IF(B1039="","",IF(L1039&gt;=K1039,"Paid",IF(L1039&gt;0,"Partial","Unpaid")))</f>
        <v/>
      </c>
      <c r="O1039" s="5" t="n"/>
      <c r="P1039" s="8" t="n"/>
      <c r="Q1039" s="8" t="n"/>
      <c r="R1039" s="11">
        <f>IF(B1039="","",IFERROR(K1039,0)+IFERROR(P1039,0)-IFERROR(Q1039,0))</f>
        <v/>
      </c>
      <c r="S1039" s="5" t="n"/>
      <c r="T1039" s="5" t="n"/>
      <c r="U1039" s="11">
        <f>IF(B1039="","",TRIM(LOWER(C1039)&amp;"|"&amp;LOWER(D1039)))</f>
        <v/>
      </c>
    </row>
    <row r="1040">
      <c r="A1040" s="11">
        <f>IF(B1040="","",TEXT(ROW()-3,"""DC-""0000"))</f>
        <v/>
      </c>
      <c r="B1040" s="5" t="n"/>
      <c r="C1040" s="5" t="n"/>
      <c r="D1040" s="5" t="n"/>
      <c r="E1040" s="5" t="n"/>
      <c r="F1040" s="5" t="n"/>
      <c r="G1040" s="5" t="n"/>
      <c r="H1040" s="8" t="n"/>
      <c r="I1040" s="8" t="n"/>
      <c r="J1040" s="8" t="n"/>
      <c r="K1040" s="11">
        <f>IF(B1040="","",MAX(0,IFERROR(I1040,0)*IFERROR(H1040,0)-IFERROR(J1040,0)))</f>
        <v/>
      </c>
      <c r="L1040" s="8" t="n"/>
      <c r="M1040" s="11">
        <f>IF(B1040="","",MAX(0,K1040-L1040))</f>
        <v/>
      </c>
      <c r="N1040" s="11">
        <f>IF(B1040="","",IF(L1040&gt;=K1040,"Paid",IF(L1040&gt;0,"Partial","Unpaid")))</f>
        <v/>
      </c>
      <c r="O1040" s="5" t="n"/>
      <c r="P1040" s="8" t="n"/>
      <c r="Q1040" s="8" t="n"/>
      <c r="R1040" s="11">
        <f>IF(B1040="","",IFERROR(K1040,0)+IFERROR(P1040,0)-IFERROR(Q1040,0))</f>
        <v/>
      </c>
      <c r="S1040" s="5" t="n"/>
      <c r="T1040" s="5" t="n"/>
      <c r="U1040" s="11">
        <f>IF(B1040="","",TRIM(LOWER(C1040)&amp;"|"&amp;LOWER(D1040)))</f>
        <v/>
      </c>
    </row>
    <row r="1041">
      <c r="A1041" s="11">
        <f>IF(B1041="","",TEXT(ROW()-3,"""DC-""0000"))</f>
        <v/>
      </c>
      <c r="B1041" s="5" t="n"/>
      <c r="C1041" s="5" t="n"/>
      <c r="D1041" s="5" t="n"/>
      <c r="E1041" s="5" t="n"/>
      <c r="F1041" s="5" t="n"/>
      <c r="G1041" s="5" t="n"/>
      <c r="H1041" s="8" t="n"/>
      <c r="I1041" s="8" t="n"/>
      <c r="J1041" s="8" t="n"/>
      <c r="K1041" s="11">
        <f>IF(B1041="","",MAX(0,IFERROR(I1041,0)*IFERROR(H1041,0)-IFERROR(J1041,0)))</f>
        <v/>
      </c>
      <c r="L1041" s="8" t="n"/>
      <c r="M1041" s="11">
        <f>IF(B1041="","",MAX(0,K1041-L1041))</f>
        <v/>
      </c>
      <c r="N1041" s="11">
        <f>IF(B1041="","",IF(L1041&gt;=K1041,"Paid",IF(L1041&gt;0,"Partial","Unpaid")))</f>
        <v/>
      </c>
      <c r="O1041" s="5" t="n"/>
      <c r="P1041" s="8" t="n"/>
      <c r="Q1041" s="8" t="n"/>
      <c r="R1041" s="11">
        <f>IF(B1041="","",IFERROR(K1041,0)+IFERROR(P1041,0)-IFERROR(Q1041,0))</f>
        <v/>
      </c>
      <c r="S1041" s="5" t="n"/>
      <c r="T1041" s="5" t="n"/>
      <c r="U1041" s="11">
        <f>IF(B1041="","",TRIM(LOWER(C1041)&amp;"|"&amp;LOWER(D1041)))</f>
        <v/>
      </c>
    </row>
    <row r="1042">
      <c r="A1042" s="11">
        <f>IF(B1042="","",TEXT(ROW()-3,"""DC-""0000"))</f>
        <v/>
      </c>
      <c r="B1042" s="5" t="n"/>
      <c r="C1042" s="5" t="n"/>
      <c r="D1042" s="5" t="n"/>
      <c r="E1042" s="5" t="n"/>
      <c r="F1042" s="5" t="n"/>
      <c r="G1042" s="5" t="n"/>
      <c r="H1042" s="8" t="n"/>
      <c r="I1042" s="8" t="n"/>
      <c r="J1042" s="8" t="n"/>
      <c r="K1042" s="11">
        <f>IF(B1042="","",MAX(0,IFERROR(I1042,0)*IFERROR(H1042,0)-IFERROR(J1042,0)))</f>
        <v/>
      </c>
      <c r="L1042" s="8" t="n"/>
      <c r="M1042" s="11">
        <f>IF(B1042="","",MAX(0,K1042-L1042))</f>
        <v/>
      </c>
      <c r="N1042" s="11">
        <f>IF(B1042="","",IF(L1042&gt;=K1042,"Paid",IF(L1042&gt;0,"Partial","Unpaid")))</f>
        <v/>
      </c>
      <c r="O1042" s="5" t="n"/>
      <c r="P1042" s="8" t="n"/>
      <c r="Q1042" s="8" t="n"/>
      <c r="R1042" s="11">
        <f>IF(B1042="","",IFERROR(K1042,0)+IFERROR(P1042,0)-IFERROR(Q1042,0))</f>
        <v/>
      </c>
      <c r="S1042" s="5" t="n"/>
      <c r="T1042" s="5" t="n"/>
      <c r="U1042" s="11">
        <f>IF(B1042="","",TRIM(LOWER(C1042)&amp;"|"&amp;LOWER(D1042)))</f>
        <v/>
      </c>
    </row>
    <row r="1043">
      <c r="A1043" s="11">
        <f>IF(B1043="","",TEXT(ROW()-3,"""DC-""0000"))</f>
        <v/>
      </c>
      <c r="B1043" s="5" t="n"/>
      <c r="C1043" s="5" t="n"/>
      <c r="D1043" s="5" t="n"/>
      <c r="E1043" s="5" t="n"/>
      <c r="F1043" s="5" t="n"/>
      <c r="G1043" s="5" t="n"/>
      <c r="H1043" s="8" t="n"/>
      <c r="I1043" s="8" t="n"/>
      <c r="J1043" s="8" t="n"/>
      <c r="K1043" s="11">
        <f>IF(B1043="","",MAX(0,IFERROR(I1043,0)*IFERROR(H1043,0)-IFERROR(J1043,0)))</f>
        <v/>
      </c>
      <c r="L1043" s="8" t="n"/>
      <c r="M1043" s="11">
        <f>IF(B1043="","",MAX(0,K1043-L1043))</f>
        <v/>
      </c>
      <c r="N1043" s="11">
        <f>IF(B1043="","",IF(L1043&gt;=K1043,"Paid",IF(L1043&gt;0,"Partial","Unpaid")))</f>
        <v/>
      </c>
      <c r="O1043" s="5" t="n"/>
      <c r="P1043" s="8" t="n"/>
      <c r="Q1043" s="8" t="n"/>
      <c r="R1043" s="11">
        <f>IF(B1043="","",IFERROR(K1043,0)+IFERROR(P1043,0)-IFERROR(Q1043,0))</f>
        <v/>
      </c>
      <c r="S1043" s="5" t="n"/>
      <c r="T1043" s="5" t="n"/>
      <c r="U1043" s="11">
        <f>IF(B1043="","",TRIM(LOWER(C1043)&amp;"|"&amp;LOWER(D1043)))</f>
        <v/>
      </c>
    </row>
    <row r="1044">
      <c r="A1044" s="11">
        <f>IF(B1044="","",TEXT(ROW()-3,"""DC-""0000"))</f>
        <v/>
      </c>
      <c r="B1044" s="5" t="n"/>
      <c r="C1044" s="5" t="n"/>
      <c r="D1044" s="5" t="n"/>
      <c r="E1044" s="5" t="n"/>
      <c r="F1044" s="5" t="n"/>
      <c r="G1044" s="5" t="n"/>
      <c r="H1044" s="8" t="n"/>
      <c r="I1044" s="8" t="n"/>
      <c r="J1044" s="8" t="n"/>
      <c r="K1044" s="11">
        <f>IF(B1044="","",MAX(0,IFERROR(I1044,0)*IFERROR(H1044,0)-IFERROR(J1044,0)))</f>
        <v/>
      </c>
      <c r="L1044" s="8" t="n"/>
      <c r="M1044" s="11">
        <f>IF(B1044="","",MAX(0,K1044-L1044))</f>
        <v/>
      </c>
      <c r="N1044" s="11">
        <f>IF(B1044="","",IF(L1044&gt;=K1044,"Paid",IF(L1044&gt;0,"Partial","Unpaid")))</f>
        <v/>
      </c>
      <c r="O1044" s="5" t="n"/>
      <c r="P1044" s="8" t="n"/>
      <c r="Q1044" s="8" t="n"/>
      <c r="R1044" s="11">
        <f>IF(B1044="","",IFERROR(K1044,0)+IFERROR(P1044,0)-IFERROR(Q1044,0))</f>
        <v/>
      </c>
      <c r="S1044" s="5" t="n"/>
      <c r="T1044" s="5" t="n"/>
      <c r="U1044" s="11">
        <f>IF(B1044="","",TRIM(LOWER(C1044)&amp;"|"&amp;LOWER(D1044)))</f>
        <v/>
      </c>
    </row>
    <row r="1045">
      <c r="A1045" s="11">
        <f>IF(B1045="","",TEXT(ROW()-3,"""DC-""0000"))</f>
        <v/>
      </c>
      <c r="B1045" s="5" t="n"/>
      <c r="C1045" s="5" t="n"/>
      <c r="D1045" s="5" t="n"/>
      <c r="E1045" s="5" t="n"/>
      <c r="F1045" s="5" t="n"/>
      <c r="G1045" s="5" t="n"/>
      <c r="H1045" s="8" t="n"/>
      <c r="I1045" s="8" t="n"/>
      <c r="J1045" s="8" t="n"/>
      <c r="K1045" s="11">
        <f>IF(B1045="","",MAX(0,IFERROR(I1045,0)*IFERROR(H1045,0)-IFERROR(J1045,0)))</f>
        <v/>
      </c>
      <c r="L1045" s="8" t="n"/>
      <c r="M1045" s="11">
        <f>IF(B1045="","",MAX(0,K1045-L1045))</f>
        <v/>
      </c>
      <c r="N1045" s="11">
        <f>IF(B1045="","",IF(L1045&gt;=K1045,"Paid",IF(L1045&gt;0,"Partial","Unpaid")))</f>
        <v/>
      </c>
      <c r="O1045" s="5" t="n"/>
      <c r="P1045" s="8" t="n"/>
      <c r="Q1045" s="8" t="n"/>
      <c r="R1045" s="11">
        <f>IF(B1045="","",IFERROR(K1045,0)+IFERROR(P1045,0)-IFERROR(Q1045,0))</f>
        <v/>
      </c>
      <c r="S1045" s="5" t="n"/>
      <c r="T1045" s="5" t="n"/>
      <c r="U1045" s="11">
        <f>IF(B1045="","",TRIM(LOWER(C1045)&amp;"|"&amp;LOWER(D1045)))</f>
        <v/>
      </c>
    </row>
    <row r="1046">
      <c r="A1046" s="11">
        <f>IF(B1046="","",TEXT(ROW()-3,"""DC-""0000"))</f>
        <v/>
      </c>
      <c r="B1046" s="5" t="n"/>
      <c r="C1046" s="5" t="n"/>
      <c r="D1046" s="5" t="n"/>
      <c r="E1046" s="5" t="n"/>
      <c r="F1046" s="5" t="n"/>
      <c r="G1046" s="5" t="n"/>
      <c r="H1046" s="8" t="n"/>
      <c r="I1046" s="8" t="n"/>
      <c r="J1046" s="8" t="n"/>
      <c r="K1046" s="11">
        <f>IF(B1046="","",MAX(0,IFERROR(I1046,0)*IFERROR(H1046,0)-IFERROR(J1046,0)))</f>
        <v/>
      </c>
      <c r="L1046" s="8" t="n"/>
      <c r="M1046" s="11">
        <f>IF(B1046="","",MAX(0,K1046-L1046))</f>
        <v/>
      </c>
      <c r="N1046" s="11">
        <f>IF(B1046="","",IF(L1046&gt;=K1046,"Paid",IF(L1046&gt;0,"Partial","Unpaid")))</f>
        <v/>
      </c>
      <c r="O1046" s="5" t="n"/>
      <c r="P1046" s="8" t="n"/>
      <c r="Q1046" s="8" t="n"/>
      <c r="R1046" s="11">
        <f>IF(B1046="","",IFERROR(K1046,0)+IFERROR(P1046,0)-IFERROR(Q1046,0))</f>
        <v/>
      </c>
      <c r="S1046" s="5" t="n"/>
      <c r="T1046" s="5" t="n"/>
      <c r="U1046" s="11">
        <f>IF(B1046="","",TRIM(LOWER(C1046)&amp;"|"&amp;LOWER(D1046)))</f>
        <v/>
      </c>
    </row>
    <row r="1047">
      <c r="A1047" s="11">
        <f>IF(B1047="","",TEXT(ROW()-3,"""DC-""0000"))</f>
        <v/>
      </c>
      <c r="B1047" s="5" t="n"/>
      <c r="C1047" s="5" t="n"/>
      <c r="D1047" s="5" t="n"/>
      <c r="E1047" s="5" t="n"/>
      <c r="F1047" s="5" t="n"/>
      <c r="G1047" s="5" t="n"/>
      <c r="H1047" s="8" t="n"/>
      <c r="I1047" s="8" t="n"/>
      <c r="J1047" s="8" t="n"/>
      <c r="K1047" s="11">
        <f>IF(B1047="","",MAX(0,IFERROR(I1047,0)*IFERROR(H1047,0)-IFERROR(J1047,0)))</f>
        <v/>
      </c>
      <c r="L1047" s="8" t="n"/>
      <c r="M1047" s="11">
        <f>IF(B1047="","",MAX(0,K1047-L1047))</f>
        <v/>
      </c>
      <c r="N1047" s="11">
        <f>IF(B1047="","",IF(L1047&gt;=K1047,"Paid",IF(L1047&gt;0,"Partial","Unpaid")))</f>
        <v/>
      </c>
      <c r="O1047" s="5" t="n"/>
      <c r="P1047" s="8" t="n"/>
      <c r="Q1047" s="8" t="n"/>
      <c r="R1047" s="11">
        <f>IF(B1047="","",IFERROR(K1047,0)+IFERROR(P1047,0)-IFERROR(Q1047,0))</f>
        <v/>
      </c>
      <c r="S1047" s="5" t="n"/>
      <c r="T1047" s="5" t="n"/>
      <c r="U1047" s="11">
        <f>IF(B1047="","",TRIM(LOWER(C1047)&amp;"|"&amp;LOWER(D1047)))</f>
        <v/>
      </c>
    </row>
    <row r="1048">
      <c r="A1048" s="11">
        <f>IF(B1048="","",TEXT(ROW()-3,"""DC-""0000"))</f>
        <v/>
      </c>
      <c r="B1048" s="5" t="n"/>
      <c r="C1048" s="5" t="n"/>
      <c r="D1048" s="5" t="n"/>
      <c r="E1048" s="5" t="n"/>
      <c r="F1048" s="5" t="n"/>
      <c r="G1048" s="5" t="n"/>
      <c r="H1048" s="8" t="n"/>
      <c r="I1048" s="8" t="n"/>
      <c r="J1048" s="8" t="n"/>
      <c r="K1048" s="11">
        <f>IF(B1048="","",MAX(0,IFERROR(I1048,0)*IFERROR(H1048,0)-IFERROR(J1048,0)))</f>
        <v/>
      </c>
      <c r="L1048" s="8" t="n"/>
      <c r="M1048" s="11">
        <f>IF(B1048="","",MAX(0,K1048-L1048))</f>
        <v/>
      </c>
      <c r="N1048" s="11">
        <f>IF(B1048="","",IF(L1048&gt;=K1048,"Paid",IF(L1048&gt;0,"Partial","Unpaid")))</f>
        <v/>
      </c>
      <c r="O1048" s="5" t="n"/>
      <c r="P1048" s="8" t="n"/>
      <c r="Q1048" s="8" t="n"/>
      <c r="R1048" s="11">
        <f>IF(B1048="","",IFERROR(K1048,0)+IFERROR(P1048,0)-IFERROR(Q1048,0))</f>
        <v/>
      </c>
      <c r="S1048" s="5" t="n"/>
      <c r="T1048" s="5" t="n"/>
      <c r="U1048" s="11">
        <f>IF(B1048="","",TRIM(LOWER(C1048)&amp;"|"&amp;LOWER(D1048)))</f>
        <v/>
      </c>
    </row>
    <row r="1049">
      <c r="A1049" s="11">
        <f>IF(B1049="","",TEXT(ROW()-3,"""DC-""0000"))</f>
        <v/>
      </c>
      <c r="B1049" s="5" t="n"/>
      <c r="C1049" s="5" t="n"/>
      <c r="D1049" s="5" t="n"/>
      <c r="E1049" s="5" t="n"/>
      <c r="F1049" s="5" t="n"/>
      <c r="G1049" s="5" t="n"/>
      <c r="H1049" s="8" t="n"/>
      <c r="I1049" s="8" t="n"/>
      <c r="J1049" s="8" t="n"/>
      <c r="K1049" s="11">
        <f>IF(B1049="","",MAX(0,IFERROR(I1049,0)*IFERROR(H1049,0)-IFERROR(J1049,0)))</f>
        <v/>
      </c>
      <c r="L1049" s="8" t="n"/>
      <c r="M1049" s="11">
        <f>IF(B1049="","",MAX(0,K1049-L1049))</f>
        <v/>
      </c>
      <c r="N1049" s="11">
        <f>IF(B1049="","",IF(L1049&gt;=K1049,"Paid",IF(L1049&gt;0,"Partial","Unpaid")))</f>
        <v/>
      </c>
      <c r="O1049" s="5" t="n"/>
      <c r="P1049" s="8" t="n"/>
      <c r="Q1049" s="8" t="n"/>
      <c r="R1049" s="11">
        <f>IF(B1049="","",IFERROR(K1049,0)+IFERROR(P1049,0)-IFERROR(Q1049,0))</f>
        <v/>
      </c>
      <c r="S1049" s="5" t="n"/>
      <c r="T1049" s="5" t="n"/>
      <c r="U1049" s="11">
        <f>IF(B1049="","",TRIM(LOWER(C1049)&amp;"|"&amp;LOWER(D1049)))</f>
        <v/>
      </c>
    </row>
    <row r="1050">
      <c r="A1050" s="11">
        <f>IF(B1050="","",TEXT(ROW()-3,"""DC-""0000"))</f>
        <v/>
      </c>
      <c r="B1050" s="5" t="n"/>
      <c r="C1050" s="5" t="n"/>
      <c r="D1050" s="5" t="n"/>
      <c r="E1050" s="5" t="n"/>
      <c r="F1050" s="5" t="n"/>
      <c r="G1050" s="5" t="n"/>
      <c r="H1050" s="8" t="n"/>
      <c r="I1050" s="8" t="n"/>
      <c r="J1050" s="8" t="n"/>
      <c r="K1050" s="11">
        <f>IF(B1050="","",MAX(0,IFERROR(I1050,0)*IFERROR(H1050,0)-IFERROR(J1050,0)))</f>
        <v/>
      </c>
      <c r="L1050" s="8" t="n"/>
      <c r="M1050" s="11">
        <f>IF(B1050="","",MAX(0,K1050-L1050))</f>
        <v/>
      </c>
      <c r="N1050" s="11">
        <f>IF(B1050="","",IF(L1050&gt;=K1050,"Paid",IF(L1050&gt;0,"Partial","Unpaid")))</f>
        <v/>
      </c>
      <c r="O1050" s="5" t="n"/>
      <c r="P1050" s="8" t="n"/>
      <c r="Q1050" s="8" t="n"/>
      <c r="R1050" s="11">
        <f>IF(B1050="","",IFERROR(K1050,0)+IFERROR(P1050,0)-IFERROR(Q1050,0))</f>
        <v/>
      </c>
      <c r="S1050" s="5" t="n"/>
      <c r="T1050" s="5" t="n"/>
      <c r="U1050" s="11">
        <f>IF(B1050="","",TRIM(LOWER(C1050)&amp;"|"&amp;LOWER(D1050)))</f>
        <v/>
      </c>
    </row>
    <row r="1051">
      <c r="A1051" s="11">
        <f>IF(B1051="","",TEXT(ROW()-3,"""DC-""0000"))</f>
        <v/>
      </c>
      <c r="B1051" s="5" t="n"/>
      <c r="C1051" s="5" t="n"/>
      <c r="D1051" s="5" t="n"/>
      <c r="E1051" s="5" t="n"/>
      <c r="F1051" s="5" t="n"/>
      <c r="G1051" s="5" t="n"/>
      <c r="H1051" s="8" t="n"/>
      <c r="I1051" s="8" t="n"/>
      <c r="J1051" s="8" t="n"/>
      <c r="K1051" s="11">
        <f>IF(B1051="","",MAX(0,IFERROR(I1051,0)*IFERROR(H1051,0)-IFERROR(J1051,0)))</f>
        <v/>
      </c>
      <c r="L1051" s="8" t="n"/>
      <c r="M1051" s="11">
        <f>IF(B1051="","",MAX(0,K1051-L1051))</f>
        <v/>
      </c>
      <c r="N1051" s="11">
        <f>IF(B1051="","",IF(L1051&gt;=K1051,"Paid",IF(L1051&gt;0,"Partial","Unpaid")))</f>
        <v/>
      </c>
      <c r="O1051" s="5" t="n"/>
      <c r="P1051" s="8" t="n"/>
      <c r="Q1051" s="8" t="n"/>
      <c r="R1051" s="11">
        <f>IF(B1051="","",IFERROR(K1051,0)+IFERROR(P1051,0)-IFERROR(Q1051,0))</f>
        <v/>
      </c>
      <c r="S1051" s="5" t="n"/>
      <c r="T1051" s="5" t="n"/>
      <c r="U1051" s="11">
        <f>IF(B1051="","",TRIM(LOWER(C1051)&amp;"|"&amp;LOWER(D1051)))</f>
        <v/>
      </c>
    </row>
    <row r="1052">
      <c r="A1052" s="11">
        <f>IF(B1052="","",TEXT(ROW()-3,"""DC-""0000"))</f>
        <v/>
      </c>
      <c r="B1052" s="5" t="n"/>
      <c r="C1052" s="5" t="n"/>
      <c r="D1052" s="5" t="n"/>
      <c r="E1052" s="5" t="n"/>
      <c r="F1052" s="5" t="n"/>
      <c r="G1052" s="5" t="n"/>
      <c r="H1052" s="8" t="n"/>
      <c r="I1052" s="8" t="n"/>
      <c r="J1052" s="8" t="n"/>
      <c r="K1052" s="11">
        <f>IF(B1052="","",MAX(0,IFERROR(I1052,0)*IFERROR(H1052,0)-IFERROR(J1052,0)))</f>
        <v/>
      </c>
      <c r="L1052" s="8" t="n"/>
      <c r="M1052" s="11">
        <f>IF(B1052="","",MAX(0,K1052-L1052))</f>
        <v/>
      </c>
      <c r="N1052" s="11">
        <f>IF(B1052="","",IF(L1052&gt;=K1052,"Paid",IF(L1052&gt;0,"Partial","Unpaid")))</f>
        <v/>
      </c>
      <c r="O1052" s="5" t="n"/>
      <c r="P1052" s="8" t="n"/>
      <c r="Q1052" s="8" t="n"/>
      <c r="R1052" s="11">
        <f>IF(B1052="","",IFERROR(K1052,0)+IFERROR(P1052,0)-IFERROR(Q1052,0))</f>
        <v/>
      </c>
      <c r="S1052" s="5" t="n"/>
      <c r="T1052" s="5" t="n"/>
      <c r="U1052" s="11">
        <f>IF(B1052="","",TRIM(LOWER(C1052)&amp;"|"&amp;LOWER(D1052)))</f>
        <v/>
      </c>
    </row>
    <row r="1053">
      <c r="A1053" s="11">
        <f>IF(B1053="","",TEXT(ROW()-3,"""DC-""0000"))</f>
        <v/>
      </c>
      <c r="B1053" s="5" t="n"/>
      <c r="C1053" s="5" t="n"/>
      <c r="D1053" s="5" t="n"/>
      <c r="E1053" s="5" t="n"/>
      <c r="F1053" s="5" t="n"/>
      <c r="G1053" s="5" t="n"/>
      <c r="H1053" s="8" t="n"/>
      <c r="I1053" s="8" t="n"/>
      <c r="J1053" s="8" t="n"/>
      <c r="K1053" s="11">
        <f>IF(B1053="","",MAX(0,IFERROR(I1053,0)*IFERROR(H1053,0)-IFERROR(J1053,0)))</f>
        <v/>
      </c>
      <c r="L1053" s="8" t="n"/>
      <c r="M1053" s="11">
        <f>IF(B1053="","",MAX(0,K1053-L1053))</f>
        <v/>
      </c>
      <c r="N1053" s="11">
        <f>IF(B1053="","",IF(L1053&gt;=K1053,"Paid",IF(L1053&gt;0,"Partial","Unpaid")))</f>
        <v/>
      </c>
      <c r="O1053" s="5" t="n"/>
      <c r="P1053" s="8" t="n"/>
      <c r="Q1053" s="8" t="n"/>
      <c r="R1053" s="11">
        <f>IF(B1053="","",IFERROR(K1053,0)+IFERROR(P1053,0)-IFERROR(Q1053,0))</f>
        <v/>
      </c>
      <c r="S1053" s="5" t="n"/>
      <c r="T1053" s="5" t="n"/>
      <c r="U1053" s="11">
        <f>IF(B1053="","",TRIM(LOWER(C1053)&amp;"|"&amp;LOWER(D1053)))</f>
        <v/>
      </c>
    </row>
    <row r="1054">
      <c r="A1054" s="11">
        <f>IF(B1054="","",TEXT(ROW()-3,"""DC-""0000"))</f>
        <v/>
      </c>
      <c r="B1054" s="5" t="n"/>
      <c r="C1054" s="5" t="n"/>
      <c r="D1054" s="5" t="n"/>
      <c r="E1054" s="5" t="n"/>
      <c r="F1054" s="5" t="n"/>
      <c r="G1054" s="5" t="n"/>
      <c r="H1054" s="8" t="n"/>
      <c r="I1054" s="8" t="n"/>
      <c r="J1054" s="8" t="n"/>
      <c r="K1054" s="11">
        <f>IF(B1054="","",MAX(0,IFERROR(I1054,0)*IFERROR(H1054,0)-IFERROR(J1054,0)))</f>
        <v/>
      </c>
      <c r="L1054" s="8" t="n"/>
      <c r="M1054" s="11">
        <f>IF(B1054="","",MAX(0,K1054-L1054))</f>
        <v/>
      </c>
      <c r="N1054" s="11">
        <f>IF(B1054="","",IF(L1054&gt;=K1054,"Paid",IF(L1054&gt;0,"Partial","Unpaid")))</f>
        <v/>
      </c>
      <c r="O1054" s="5" t="n"/>
      <c r="P1054" s="8" t="n"/>
      <c r="Q1054" s="8" t="n"/>
      <c r="R1054" s="11">
        <f>IF(B1054="","",IFERROR(K1054,0)+IFERROR(P1054,0)-IFERROR(Q1054,0))</f>
        <v/>
      </c>
      <c r="S1054" s="5" t="n"/>
      <c r="T1054" s="5" t="n"/>
      <c r="U1054" s="11">
        <f>IF(B1054="","",TRIM(LOWER(C1054)&amp;"|"&amp;LOWER(D1054)))</f>
        <v/>
      </c>
    </row>
    <row r="1055">
      <c r="A1055" s="11">
        <f>IF(B1055="","",TEXT(ROW()-3,"""DC-""0000"))</f>
        <v/>
      </c>
      <c r="B1055" s="5" t="n"/>
      <c r="C1055" s="5" t="n"/>
      <c r="D1055" s="5" t="n"/>
      <c r="E1055" s="5" t="n"/>
      <c r="F1055" s="5" t="n"/>
      <c r="G1055" s="5" t="n"/>
      <c r="H1055" s="8" t="n"/>
      <c r="I1055" s="8" t="n"/>
      <c r="J1055" s="8" t="n"/>
      <c r="K1055" s="11">
        <f>IF(B1055="","",MAX(0,IFERROR(I1055,0)*IFERROR(H1055,0)-IFERROR(J1055,0)))</f>
        <v/>
      </c>
      <c r="L1055" s="8" t="n"/>
      <c r="M1055" s="11">
        <f>IF(B1055="","",MAX(0,K1055-L1055))</f>
        <v/>
      </c>
      <c r="N1055" s="11">
        <f>IF(B1055="","",IF(L1055&gt;=K1055,"Paid",IF(L1055&gt;0,"Partial","Unpaid")))</f>
        <v/>
      </c>
      <c r="O1055" s="5" t="n"/>
      <c r="P1055" s="8" t="n"/>
      <c r="Q1055" s="8" t="n"/>
      <c r="R1055" s="11">
        <f>IF(B1055="","",IFERROR(K1055,0)+IFERROR(P1055,0)-IFERROR(Q1055,0))</f>
        <v/>
      </c>
      <c r="S1055" s="5" t="n"/>
      <c r="T1055" s="5" t="n"/>
      <c r="U1055" s="11">
        <f>IF(B1055="","",TRIM(LOWER(C1055)&amp;"|"&amp;LOWER(D1055)))</f>
        <v/>
      </c>
    </row>
    <row r="1056">
      <c r="A1056" s="11">
        <f>IF(B1056="","",TEXT(ROW()-3,"""DC-""0000"))</f>
        <v/>
      </c>
      <c r="B1056" s="5" t="n"/>
      <c r="C1056" s="5" t="n"/>
      <c r="D1056" s="5" t="n"/>
      <c r="E1056" s="5" t="n"/>
      <c r="F1056" s="5" t="n"/>
      <c r="G1056" s="5" t="n"/>
      <c r="H1056" s="8" t="n"/>
      <c r="I1056" s="8" t="n"/>
      <c r="J1056" s="8" t="n"/>
      <c r="K1056" s="11">
        <f>IF(B1056="","",MAX(0,IFERROR(I1056,0)*IFERROR(H1056,0)-IFERROR(J1056,0)))</f>
        <v/>
      </c>
      <c r="L1056" s="8" t="n"/>
      <c r="M1056" s="11">
        <f>IF(B1056="","",MAX(0,K1056-L1056))</f>
        <v/>
      </c>
      <c r="N1056" s="11">
        <f>IF(B1056="","",IF(L1056&gt;=K1056,"Paid",IF(L1056&gt;0,"Partial","Unpaid")))</f>
        <v/>
      </c>
      <c r="O1056" s="5" t="n"/>
      <c r="P1056" s="8" t="n"/>
      <c r="Q1056" s="8" t="n"/>
      <c r="R1056" s="11">
        <f>IF(B1056="","",IFERROR(K1056,0)+IFERROR(P1056,0)-IFERROR(Q1056,0))</f>
        <v/>
      </c>
      <c r="S1056" s="5" t="n"/>
      <c r="T1056" s="5" t="n"/>
      <c r="U1056" s="11">
        <f>IF(B1056="","",TRIM(LOWER(C1056)&amp;"|"&amp;LOWER(D1056)))</f>
        <v/>
      </c>
    </row>
    <row r="1057">
      <c r="A1057" s="11">
        <f>IF(B1057="","",TEXT(ROW()-3,"""DC-""0000"))</f>
        <v/>
      </c>
      <c r="B1057" s="5" t="n"/>
      <c r="C1057" s="5" t="n"/>
      <c r="D1057" s="5" t="n"/>
      <c r="E1057" s="5" t="n"/>
      <c r="F1057" s="5" t="n"/>
      <c r="G1057" s="5" t="n"/>
      <c r="H1057" s="8" t="n"/>
      <c r="I1057" s="8" t="n"/>
      <c r="J1057" s="8" t="n"/>
      <c r="K1057" s="11">
        <f>IF(B1057="","",MAX(0,IFERROR(I1057,0)*IFERROR(H1057,0)-IFERROR(J1057,0)))</f>
        <v/>
      </c>
      <c r="L1057" s="8" t="n"/>
      <c r="M1057" s="11">
        <f>IF(B1057="","",MAX(0,K1057-L1057))</f>
        <v/>
      </c>
      <c r="N1057" s="11">
        <f>IF(B1057="","",IF(L1057&gt;=K1057,"Paid",IF(L1057&gt;0,"Partial","Unpaid")))</f>
        <v/>
      </c>
      <c r="O1057" s="5" t="n"/>
      <c r="P1057" s="8" t="n"/>
      <c r="Q1057" s="8" t="n"/>
      <c r="R1057" s="11">
        <f>IF(B1057="","",IFERROR(K1057,0)+IFERROR(P1057,0)-IFERROR(Q1057,0))</f>
        <v/>
      </c>
      <c r="S1057" s="5" t="n"/>
      <c r="T1057" s="5" t="n"/>
      <c r="U1057" s="11">
        <f>IF(B1057="","",TRIM(LOWER(C1057)&amp;"|"&amp;LOWER(D1057)))</f>
        <v/>
      </c>
    </row>
    <row r="1058">
      <c r="A1058" s="11">
        <f>IF(B1058="","",TEXT(ROW()-3,"""DC-""0000"))</f>
        <v/>
      </c>
      <c r="B1058" s="5" t="n"/>
      <c r="C1058" s="5" t="n"/>
      <c r="D1058" s="5" t="n"/>
      <c r="E1058" s="5" t="n"/>
      <c r="F1058" s="5" t="n"/>
      <c r="G1058" s="5" t="n"/>
      <c r="H1058" s="8" t="n"/>
      <c r="I1058" s="8" t="n"/>
      <c r="J1058" s="8" t="n"/>
      <c r="K1058" s="11">
        <f>IF(B1058="","",MAX(0,IFERROR(I1058,0)*IFERROR(H1058,0)-IFERROR(J1058,0)))</f>
        <v/>
      </c>
      <c r="L1058" s="8" t="n"/>
      <c r="M1058" s="11">
        <f>IF(B1058="","",MAX(0,K1058-L1058))</f>
        <v/>
      </c>
      <c r="N1058" s="11">
        <f>IF(B1058="","",IF(L1058&gt;=K1058,"Paid",IF(L1058&gt;0,"Partial","Unpaid")))</f>
        <v/>
      </c>
      <c r="O1058" s="5" t="n"/>
      <c r="P1058" s="8" t="n"/>
      <c r="Q1058" s="8" t="n"/>
      <c r="R1058" s="11">
        <f>IF(B1058="","",IFERROR(K1058,0)+IFERROR(P1058,0)-IFERROR(Q1058,0))</f>
        <v/>
      </c>
      <c r="S1058" s="5" t="n"/>
      <c r="T1058" s="5" t="n"/>
      <c r="U1058" s="11">
        <f>IF(B1058="","",TRIM(LOWER(C1058)&amp;"|"&amp;LOWER(D1058)))</f>
        <v/>
      </c>
    </row>
    <row r="1059">
      <c r="A1059" s="11">
        <f>IF(B1059="","",TEXT(ROW()-3,"""DC-""0000"))</f>
        <v/>
      </c>
      <c r="B1059" s="5" t="n"/>
      <c r="C1059" s="5" t="n"/>
      <c r="D1059" s="5" t="n"/>
      <c r="E1059" s="5" t="n"/>
      <c r="F1059" s="5" t="n"/>
      <c r="G1059" s="5" t="n"/>
      <c r="H1059" s="8" t="n"/>
      <c r="I1059" s="8" t="n"/>
      <c r="J1059" s="8" t="n"/>
      <c r="K1059" s="11">
        <f>IF(B1059="","",MAX(0,IFERROR(I1059,0)*IFERROR(H1059,0)-IFERROR(J1059,0)))</f>
        <v/>
      </c>
      <c r="L1059" s="8" t="n"/>
      <c r="M1059" s="11">
        <f>IF(B1059="","",MAX(0,K1059-L1059))</f>
        <v/>
      </c>
      <c r="N1059" s="11">
        <f>IF(B1059="","",IF(L1059&gt;=K1059,"Paid",IF(L1059&gt;0,"Partial","Unpaid")))</f>
        <v/>
      </c>
      <c r="O1059" s="5" t="n"/>
      <c r="P1059" s="8" t="n"/>
      <c r="Q1059" s="8" t="n"/>
      <c r="R1059" s="11">
        <f>IF(B1059="","",IFERROR(K1059,0)+IFERROR(P1059,0)-IFERROR(Q1059,0))</f>
        <v/>
      </c>
      <c r="S1059" s="5" t="n"/>
      <c r="T1059" s="5" t="n"/>
      <c r="U1059" s="11">
        <f>IF(B1059="","",TRIM(LOWER(C1059)&amp;"|"&amp;LOWER(D1059)))</f>
        <v/>
      </c>
    </row>
    <row r="1060">
      <c r="A1060" s="11">
        <f>IF(B1060="","",TEXT(ROW()-3,"""DC-""0000"))</f>
        <v/>
      </c>
      <c r="B1060" s="5" t="n"/>
      <c r="C1060" s="5" t="n"/>
      <c r="D1060" s="5" t="n"/>
      <c r="E1060" s="5" t="n"/>
      <c r="F1060" s="5" t="n"/>
      <c r="G1060" s="5" t="n"/>
      <c r="H1060" s="8" t="n"/>
      <c r="I1060" s="8" t="n"/>
      <c r="J1060" s="8" t="n"/>
      <c r="K1060" s="11">
        <f>IF(B1060="","",MAX(0,IFERROR(I1060,0)*IFERROR(H1060,0)-IFERROR(J1060,0)))</f>
        <v/>
      </c>
      <c r="L1060" s="8" t="n"/>
      <c r="M1060" s="11">
        <f>IF(B1060="","",MAX(0,K1060-L1060))</f>
        <v/>
      </c>
      <c r="N1060" s="11">
        <f>IF(B1060="","",IF(L1060&gt;=K1060,"Paid",IF(L1060&gt;0,"Partial","Unpaid")))</f>
        <v/>
      </c>
      <c r="O1060" s="5" t="n"/>
      <c r="P1060" s="8" t="n"/>
      <c r="Q1060" s="8" t="n"/>
      <c r="R1060" s="11">
        <f>IF(B1060="","",IFERROR(K1060,0)+IFERROR(P1060,0)-IFERROR(Q1060,0))</f>
        <v/>
      </c>
      <c r="S1060" s="5" t="n"/>
      <c r="T1060" s="5" t="n"/>
      <c r="U1060" s="11">
        <f>IF(B1060="","",TRIM(LOWER(C1060)&amp;"|"&amp;LOWER(D1060)))</f>
        <v/>
      </c>
    </row>
    <row r="1061">
      <c r="A1061" s="11">
        <f>IF(B1061="","",TEXT(ROW()-3,"""DC-""0000"))</f>
        <v/>
      </c>
      <c r="B1061" s="5" t="n"/>
      <c r="C1061" s="5" t="n"/>
      <c r="D1061" s="5" t="n"/>
      <c r="E1061" s="5" t="n"/>
      <c r="F1061" s="5" t="n"/>
      <c r="G1061" s="5" t="n"/>
      <c r="H1061" s="8" t="n"/>
      <c r="I1061" s="8" t="n"/>
      <c r="J1061" s="8" t="n"/>
      <c r="K1061" s="11">
        <f>IF(B1061="","",MAX(0,IFERROR(I1061,0)*IFERROR(H1061,0)-IFERROR(J1061,0)))</f>
        <v/>
      </c>
      <c r="L1061" s="8" t="n"/>
      <c r="M1061" s="11">
        <f>IF(B1061="","",MAX(0,K1061-L1061))</f>
        <v/>
      </c>
      <c r="N1061" s="11">
        <f>IF(B1061="","",IF(L1061&gt;=K1061,"Paid",IF(L1061&gt;0,"Partial","Unpaid")))</f>
        <v/>
      </c>
      <c r="O1061" s="5" t="n"/>
      <c r="P1061" s="8" t="n"/>
      <c r="Q1061" s="8" t="n"/>
      <c r="R1061" s="11">
        <f>IF(B1061="","",IFERROR(K1061,0)+IFERROR(P1061,0)-IFERROR(Q1061,0))</f>
        <v/>
      </c>
      <c r="S1061" s="5" t="n"/>
      <c r="T1061" s="5" t="n"/>
      <c r="U1061" s="11">
        <f>IF(B1061="","",TRIM(LOWER(C1061)&amp;"|"&amp;LOWER(D1061)))</f>
        <v/>
      </c>
    </row>
    <row r="1062">
      <c r="A1062" s="11">
        <f>IF(B1062="","",TEXT(ROW()-3,"""DC-""0000"))</f>
        <v/>
      </c>
      <c r="B1062" s="5" t="n"/>
      <c r="C1062" s="5" t="n"/>
      <c r="D1062" s="5" t="n"/>
      <c r="E1062" s="5" t="n"/>
      <c r="F1062" s="5" t="n"/>
      <c r="G1062" s="5" t="n"/>
      <c r="H1062" s="8" t="n"/>
      <c r="I1062" s="8" t="n"/>
      <c r="J1062" s="8" t="n"/>
      <c r="K1062" s="11">
        <f>IF(B1062="","",MAX(0,IFERROR(I1062,0)*IFERROR(H1062,0)-IFERROR(J1062,0)))</f>
        <v/>
      </c>
      <c r="L1062" s="8" t="n"/>
      <c r="M1062" s="11">
        <f>IF(B1062="","",MAX(0,K1062-L1062))</f>
        <v/>
      </c>
      <c r="N1062" s="11">
        <f>IF(B1062="","",IF(L1062&gt;=K1062,"Paid",IF(L1062&gt;0,"Partial","Unpaid")))</f>
        <v/>
      </c>
      <c r="O1062" s="5" t="n"/>
      <c r="P1062" s="8" t="n"/>
      <c r="Q1062" s="8" t="n"/>
      <c r="R1062" s="11">
        <f>IF(B1062="","",IFERROR(K1062,0)+IFERROR(P1062,0)-IFERROR(Q1062,0))</f>
        <v/>
      </c>
      <c r="S1062" s="5" t="n"/>
      <c r="T1062" s="5" t="n"/>
      <c r="U1062" s="11">
        <f>IF(B1062="","",TRIM(LOWER(C1062)&amp;"|"&amp;LOWER(D1062)))</f>
        <v/>
      </c>
    </row>
    <row r="1063">
      <c r="A1063" s="11">
        <f>IF(B1063="","",TEXT(ROW()-3,"""DC-""0000"))</f>
        <v/>
      </c>
      <c r="B1063" s="5" t="n"/>
      <c r="C1063" s="5" t="n"/>
      <c r="D1063" s="5" t="n"/>
      <c r="E1063" s="5" t="n"/>
      <c r="F1063" s="5" t="n"/>
      <c r="G1063" s="5" t="n"/>
      <c r="H1063" s="8" t="n"/>
      <c r="I1063" s="8" t="n"/>
      <c r="J1063" s="8" t="n"/>
      <c r="K1063" s="11">
        <f>IF(B1063="","",MAX(0,IFERROR(I1063,0)*IFERROR(H1063,0)-IFERROR(J1063,0)))</f>
        <v/>
      </c>
      <c r="L1063" s="8" t="n"/>
      <c r="M1063" s="11">
        <f>IF(B1063="","",MAX(0,K1063-L1063))</f>
        <v/>
      </c>
      <c r="N1063" s="11">
        <f>IF(B1063="","",IF(L1063&gt;=K1063,"Paid",IF(L1063&gt;0,"Partial","Unpaid")))</f>
        <v/>
      </c>
      <c r="O1063" s="5" t="n"/>
      <c r="P1063" s="8" t="n"/>
      <c r="Q1063" s="8" t="n"/>
      <c r="R1063" s="11">
        <f>IF(B1063="","",IFERROR(K1063,0)+IFERROR(P1063,0)-IFERROR(Q1063,0))</f>
        <v/>
      </c>
      <c r="S1063" s="5" t="n"/>
      <c r="T1063" s="5" t="n"/>
      <c r="U1063" s="11">
        <f>IF(B1063="","",TRIM(LOWER(C1063)&amp;"|"&amp;LOWER(D1063)))</f>
        <v/>
      </c>
    </row>
    <row r="1064">
      <c r="A1064" s="11">
        <f>IF(B1064="","",TEXT(ROW()-3,"""DC-""0000"))</f>
        <v/>
      </c>
      <c r="B1064" s="5" t="n"/>
      <c r="C1064" s="5" t="n"/>
      <c r="D1064" s="5" t="n"/>
      <c r="E1064" s="5" t="n"/>
      <c r="F1064" s="5" t="n"/>
      <c r="G1064" s="5" t="n"/>
      <c r="H1064" s="8" t="n"/>
      <c r="I1064" s="8" t="n"/>
      <c r="J1064" s="8" t="n"/>
      <c r="K1064" s="11">
        <f>IF(B1064="","",MAX(0,IFERROR(I1064,0)*IFERROR(H1064,0)-IFERROR(J1064,0)))</f>
        <v/>
      </c>
      <c r="L1064" s="8" t="n"/>
      <c r="M1064" s="11">
        <f>IF(B1064="","",MAX(0,K1064-L1064))</f>
        <v/>
      </c>
      <c r="N1064" s="11">
        <f>IF(B1064="","",IF(L1064&gt;=K1064,"Paid",IF(L1064&gt;0,"Partial","Unpaid")))</f>
        <v/>
      </c>
      <c r="O1064" s="5" t="n"/>
      <c r="P1064" s="8" t="n"/>
      <c r="Q1064" s="8" t="n"/>
      <c r="R1064" s="11">
        <f>IF(B1064="","",IFERROR(K1064,0)+IFERROR(P1064,0)-IFERROR(Q1064,0))</f>
        <v/>
      </c>
      <c r="S1064" s="5" t="n"/>
      <c r="T1064" s="5" t="n"/>
      <c r="U1064" s="11">
        <f>IF(B1064="","",TRIM(LOWER(C1064)&amp;"|"&amp;LOWER(D1064)))</f>
        <v/>
      </c>
    </row>
    <row r="1065">
      <c r="A1065" s="11">
        <f>IF(B1065="","",TEXT(ROW()-3,"""DC-""0000"))</f>
        <v/>
      </c>
      <c r="B1065" s="5" t="n"/>
      <c r="C1065" s="5" t="n"/>
      <c r="D1065" s="5" t="n"/>
      <c r="E1065" s="5" t="n"/>
      <c r="F1065" s="5" t="n"/>
      <c r="G1065" s="5" t="n"/>
      <c r="H1065" s="8" t="n"/>
      <c r="I1065" s="8" t="n"/>
      <c r="J1065" s="8" t="n"/>
      <c r="K1065" s="11">
        <f>IF(B1065="","",MAX(0,IFERROR(I1065,0)*IFERROR(H1065,0)-IFERROR(J1065,0)))</f>
        <v/>
      </c>
      <c r="L1065" s="8" t="n"/>
      <c r="M1065" s="11">
        <f>IF(B1065="","",MAX(0,K1065-L1065))</f>
        <v/>
      </c>
      <c r="N1065" s="11">
        <f>IF(B1065="","",IF(L1065&gt;=K1065,"Paid",IF(L1065&gt;0,"Partial","Unpaid")))</f>
        <v/>
      </c>
      <c r="O1065" s="5" t="n"/>
      <c r="P1065" s="8" t="n"/>
      <c r="Q1065" s="8" t="n"/>
      <c r="R1065" s="11">
        <f>IF(B1065="","",IFERROR(K1065,0)+IFERROR(P1065,0)-IFERROR(Q1065,0))</f>
        <v/>
      </c>
      <c r="S1065" s="5" t="n"/>
      <c r="T1065" s="5" t="n"/>
      <c r="U1065" s="11">
        <f>IF(B1065="","",TRIM(LOWER(C1065)&amp;"|"&amp;LOWER(D1065)))</f>
        <v/>
      </c>
    </row>
    <row r="1066">
      <c r="A1066" s="11">
        <f>IF(B1066="","",TEXT(ROW()-3,"""DC-""0000"))</f>
        <v/>
      </c>
      <c r="B1066" s="5" t="n"/>
      <c r="C1066" s="5" t="n"/>
      <c r="D1066" s="5" t="n"/>
      <c r="E1066" s="5" t="n"/>
      <c r="F1066" s="5" t="n"/>
      <c r="G1066" s="5" t="n"/>
      <c r="H1066" s="8" t="n"/>
      <c r="I1066" s="8" t="n"/>
      <c r="J1066" s="8" t="n"/>
      <c r="K1066" s="11">
        <f>IF(B1066="","",MAX(0,IFERROR(I1066,0)*IFERROR(H1066,0)-IFERROR(J1066,0)))</f>
        <v/>
      </c>
      <c r="L1066" s="8" t="n"/>
      <c r="M1066" s="11">
        <f>IF(B1066="","",MAX(0,K1066-L1066))</f>
        <v/>
      </c>
      <c r="N1066" s="11">
        <f>IF(B1066="","",IF(L1066&gt;=K1066,"Paid",IF(L1066&gt;0,"Partial","Unpaid")))</f>
        <v/>
      </c>
      <c r="O1066" s="5" t="n"/>
      <c r="P1066" s="8" t="n"/>
      <c r="Q1066" s="8" t="n"/>
      <c r="R1066" s="11">
        <f>IF(B1066="","",IFERROR(K1066,0)+IFERROR(P1066,0)-IFERROR(Q1066,0))</f>
        <v/>
      </c>
      <c r="S1066" s="5" t="n"/>
      <c r="T1066" s="5" t="n"/>
      <c r="U1066" s="11">
        <f>IF(B1066="","",TRIM(LOWER(C1066)&amp;"|"&amp;LOWER(D1066)))</f>
        <v/>
      </c>
    </row>
    <row r="1067">
      <c r="A1067" s="11">
        <f>IF(B1067="","",TEXT(ROW()-3,"""DC-""0000"))</f>
        <v/>
      </c>
      <c r="B1067" s="5" t="n"/>
      <c r="C1067" s="5" t="n"/>
      <c r="D1067" s="5" t="n"/>
      <c r="E1067" s="5" t="n"/>
      <c r="F1067" s="5" t="n"/>
      <c r="G1067" s="5" t="n"/>
      <c r="H1067" s="8" t="n"/>
      <c r="I1067" s="8" t="n"/>
      <c r="J1067" s="8" t="n"/>
      <c r="K1067" s="11">
        <f>IF(B1067="","",MAX(0,IFERROR(I1067,0)*IFERROR(H1067,0)-IFERROR(J1067,0)))</f>
        <v/>
      </c>
      <c r="L1067" s="8" t="n"/>
      <c r="M1067" s="11">
        <f>IF(B1067="","",MAX(0,K1067-L1067))</f>
        <v/>
      </c>
      <c r="N1067" s="11">
        <f>IF(B1067="","",IF(L1067&gt;=K1067,"Paid",IF(L1067&gt;0,"Partial","Unpaid")))</f>
        <v/>
      </c>
      <c r="O1067" s="5" t="n"/>
      <c r="P1067" s="8" t="n"/>
      <c r="Q1067" s="8" t="n"/>
      <c r="R1067" s="11">
        <f>IF(B1067="","",IFERROR(K1067,0)+IFERROR(P1067,0)-IFERROR(Q1067,0))</f>
        <v/>
      </c>
      <c r="S1067" s="5" t="n"/>
      <c r="T1067" s="5" t="n"/>
      <c r="U1067" s="11">
        <f>IF(B1067="","",TRIM(LOWER(C1067)&amp;"|"&amp;LOWER(D1067)))</f>
        <v/>
      </c>
    </row>
    <row r="1068">
      <c r="A1068" s="11">
        <f>IF(B1068="","",TEXT(ROW()-3,"""DC-""0000"))</f>
        <v/>
      </c>
      <c r="B1068" s="5" t="n"/>
      <c r="C1068" s="5" t="n"/>
      <c r="D1068" s="5" t="n"/>
      <c r="E1068" s="5" t="n"/>
      <c r="F1068" s="5" t="n"/>
      <c r="G1068" s="5" t="n"/>
      <c r="H1068" s="8" t="n"/>
      <c r="I1068" s="8" t="n"/>
      <c r="J1068" s="8" t="n"/>
      <c r="K1068" s="11">
        <f>IF(B1068="","",MAX(0,IFERROR(I1068,0)*IFERROR(H1068,0)-IFERROR(J1068,0)))</f>
        <v/>
      </c>
      <c r="L1068" s="8" t="n"/>
      <c r="M1068" s="11">
        <f>IF(B1068="","",MAX(0,K1068-L1068))</f>
        <v/>
      </c>
      <c r="N1068" s="11">
        <f>IF(B1068="","",IF(L1068&gt;=K1068,"Paid",IF(L1068&gt;0,"Partial","Unpaid")))</f>
        <v/>
      </c>
      <c r="O1068" s="5" t="n"/>
      <c r="P1068" s="8" t="n"/>
      <c r="Q1068" s="8" t="n"/>
      <c r="R1068" s="11">
        <f>IF(B1068="","",IFERROR(K1068,0)+IFERROR(P1068,0)-IFERROR(Q1068,0))</f>
        <v/>
      </c>
      <c r="S1068" s="5" t="n"/>
      <c r="T1068" s="5" t="n"/>
      <c r="U1068" s="11">
        <f>IF(B1068="","",TRIM(LOWER(C1068)&amp;"|"&amp;LOWER(D1068)))</f>
        <v/>
      </c>
    </row>
    <row r="1069">
      <c r="A1069" s="11">
        <f>IF(B1069="","",TEXT(ROW()-3,"""DC-""0000"))</f>
        <v/>
      </c>
      <c r="B1069" s="5" t="n"/>
      <c r="C1069" s="5" t="n"/>
      <c r="D1069" s="5" t="n"/>
      <c r="E1069" s="5" t="n"/>
      <c r="F1069" s="5" t="n"/>
      <c r="G1069" s="5" t="n"/>
      <c r="H1069" s="8" t="n"/>
      <c r="I1069" s="8" t="n"/>
      <c r="J1069" s="8" t="n"/>
      <c r="K1069" s="11">
        <f>IF(B1069="","",MAX(0,IFERROR(I1069,0)*IFERROR(H1069,0)-IFERROR(J1069,0)))</f>
        <v/>
      </c>
      <c r="L1069" s="8" t="n"/>
      <c r="M1069" s="11">
        <f>IF(B1069="","",MAX(0,K1069-L1069))</f>
        <v/>
      </c>
      <c r="N1069" s="11">
        <f>IF(B1069="","",IF(L1069&gt;=K1069,"Paid",IF(L1069&gt;0,"Partial","Unpaid")))</f>
        <v/>
      </c>
      <c r="O1069" s="5" t="n"/>
      <c r="P1069" s="8" t="n"/>
      <c r="Q1069" s="8" t="n"/>
      <c r="R1069" s="11">
        <f>IF(B1069="","",IFERROR(K1069,0)+IFERROR(P1069,0)-IFERROR(Q1069,0))</f>
        <v/>
      </c>
      <c r="S1069" s="5" t="n"/>
      <c r="T1069" s="5" t="n"/>
      <c r="U1069" s="11">
        <f>IF(B1069="","",TRIM(LOWER(C1069)&amp;"|"&amp;LOWER(D1069)))</f>
        <v/>
      </c>
    </row>
    <row r="1070">
      <c r="A1070" s="11">
        <f>IF(B1070="","",TEXT(ROW()-3,"""DC-""0000"))</f>
        <v/>
      </c>
      <c r="B1070" s="5" t="n"/>
      <c r="C1070" s="5" t="n"/>
      <c r="D1070" s="5" t="n"/>
      <c r="E1070" s="5" t="n"/>
      <c r="F1070" s="5" t="n"/>
      <c r="G1070" s="5" t="n"/>
      <c r="H1070" s="8" t="n"/>
      <c r="I1070" s="8" t="n"/>
      <c r="J1070" s="8" t="n"/>
      <c r="K1070" s="11">
        <f>IF(B1070="","",MAX(0,IFERROR(I1070,0)*IFERROR(H1070,0)-IFERROR(J1070,0)))</f>
        <v/>
      </c>
      <c r="L1070" s="8" t="n"/>
      <c r="M1070" s="11">
        <f>IF(B1070="","",MAX(0,K1070-L1070))</f>
        <v/>
      </c>
      <c r="N1070" s="11">
        <f>IF(B1070="","",IF(L1070&gt;=K1070,"Paid",IF(L1070&gt;0,"Partial","Unpaid")))</f>
        <v/>
      </c>
      <c r="O1070" s="5" t="n"/>
      <c r="P1070" s="8" t="n"/>
      <c r="Q1070" s="8" t="n"/>
      <c r="R1070" s="11">
        <f>IF(B1070="","",IFERROR(K1070,0)+IFERROR(P1070,0)-IFERROR(Q1070,0))</f>
        <v/>
      </c>
      <c r="S1070" s="5" t="n"/>
      <c r="T1070" s="5" t="n"/>
      <c r="U1070" s="11">
        <f>IF(B1070="","",TRIM(LOWER(C1070)&amp;"|"&amp;LOWER(D1070)))</f>
        <v/>
      </c>
    </row>
    <row r="1071">
      <c r="A1071" s="11">
        <f>IF(B1071="","",TEXT(ROW()-3,"""DC-""0000"))</f>
        <v/>
      </c>
      <c r="B1071" s="5" t="n"/>
      <c r="C1071" s="5" t="n"/>
      <c r="D1071" s="5" t="n"/>
      <c r="E1071" s="5" t="n"/>
      <c r="F1071" s="5" t="n"/>
      <c r="G1071" s="5" t="n"/>
      <c r="H1071" s="8" t="n"/>
      <c r="I1071" s="8" t="n"/>
      <c r="J1071" s="8" t="n"/>
      <c r="K1071" s="11">
        <f>IF(B1071="","",MAX(0,IFERROR(I1071,0)*IFERROR(H1071,0)-IFERROR(J1071,0)))</f>
        <v/>
      </c>
      <c r="L1071" s="8" t="n"/>
      <c r="M1071" s="11">
        <f>IF(B1071="","",MAX(0,K1071-L1071))</f>
        <v/>
      </c>
      <c r="N1071" s="11">
        <f>IF(B1071="","",IF(L1071&gt;=K1071,"Paid",IF(L1071&gt;0,"Partial","Unpaid")))</f>
        <v/>
      </c>
      <c r="O1071" s="5" t="n"/>
      <c r="P1071" s="8" t="n"/>
      <c r="Q1071" s="8" t="n"/>
      <c r="R1071" s="11">
        <f>IF(B1071="","",IFERROR(K1071,0)+IFERROR(P1071,0)-IFERROR(Q1071,0))</f>
        <v/>
      </c>
      <c r="S1071" s="5" t="n"/>
      <c r="T1071" s="5" t="n"/>
      <c r="U1071" s="11">
        <f>IF(B1071="","",TRIM(LOWER(C1071)&amp;"|"&amp;LOWER(D1071)))</f>
        <v/>
      </c>
    </row>
    <row r="1072">
      <c r="A1072" s="11">
        <f>IF(B1072="","",TEXT(ROW()-3,"""DC-""0000"))</f>
        <v/>
      </c>
      <c r="B1072" s="5" t="n"/>
      <c r="C1072" s="5" t="n"/>
      <c r="D1072" s="5" t="n"/>
      <c r="E1072" s="5" t="n"/>
      <c r="F1072" s="5" t="n"/>
      <c r="G1072" s="5" t="n"/>
      <c r="H1072" s="8" t="n"/>
      <c r="I1072" s="8" t="n"/>
      <c r="J1072" s="8" t="n"/>
      <c r="K1072" s="11">
        <f>IF(B1072="","",MAX(0,IFERROR(I1072,0)*IFERROR(H1072,0)-IFERROR(J1072,0)))</f>
        <v/>
      </c>
      <c r="L1072" s="8" t="n"/>
      <c r="M1072" s="11">
        <f>IF(B1072="","",MAX(0,K1072-L1072))</f>
        <v/>
      </c>
      <c r="N1072" s="11">
        <f>IF(B1072="","",IF(L1072&gt;=K1072,"Paid",IF(L1072&gt;0,"Partial","Unpaid")))</f>
        <v/>
      </c>
      <c r="O1072" s="5" t="n"/>
      <c r="P1072" s="8" t="n"/>
      <c r="Q1072" s="8" t="n"/>
      <c r="R1072" s="11">
        <f>IF(B1072="","",IFERROR(K1072,0)+IFERROR(P1072,0)-IFERROR(Q1072,0))</f>
        <v/>
      </c>
      <c r="S1072" s="5" t="n"/>
      <c r="T1072" s="5" t="n"/>
      <c r="U1072" s="11">
        <f>IF(B1072="","",TRIM(LOWER(C1072)&amp;"|"&amp;LOWER(D1072)))</f>
        <v/>
      </c>
    </row>
    <row r="1073">
      <c r="A1073" s="11">
        <f>IF(B1073="","",TEXT(ROW()-3,"""DC-""0000"))</f>
        <v/>
      </c>
      <c r="B1073" s="5" t="n"/>
      <c r="C1073" s="5" t="n"/>
      <c r="D1073" s="5" t="n"/>
      <c r="E1073" s="5" t="n"/>
      <c r="F1073" s="5" t="n"/>
      <c r="G1073" s="5" t="n"/>
      <c r="H1073" s="8" t="n"/>
      <c r="I1073" s="8" t="n"/>
      <c r="J1073" s="8" t="n"/>
      <c r="K1073" s="11">
        <f>IF(B1073="","",MAX(0,IFERROR(I1073,0)*IFERROR(H1073,0)-IFERROR(J1073,0)))</f>
        <v/>
      </c>
      <c r="L1073" s="8" t="n"/>
      <c r="M1073" s="11">
        <f>IF(B1073="","",MAX(0,K1073-L1073))</f>
        <v/>
      </c>
      <c r="N1073" s="11">
        <f>IF(B1073="","",IF(L1073&gt;=K1073,"Paid",IF(L1073&gt;0,"Partial","Unpaid")))</f>
        <v/>
      </c>
      <c r="O1073" s="5" t="n"/>
      <c r="P1073" s="8" t="n"/>
      <c r="Q1073" s="8" t="n"/>
      <c r="R1073" s="11">
        <f>IF(B1073="","",IFERROR(K1073,0)+IFERROR(P1073,0)-IFERROR(Q1073,0))</f>
        <v/>
      </c>
      <c r="S1073" s="5" t="n"/>
      <c r="T1073" s="5" t="n"/>
      <c r="U1073" s="11">
        <f>IF(B1073="","",TRIM(LOWER(C1073)&amp;"|"&amp;LOWER(D1073)))</f>
        <v/>
      </c>
    </row>
    <row r="1074">
      <c r="A1074" s="11">
        <f>IF(B1074="","",TEXT(ROW()-3,"""DC-""0000"))</f>
        <v/>
      </c>
      <c r="B1074" s="5" t="n"/>
      <c r="C1074" s="5" t="n"/>
      <c r="D1074" s="5" t="n"/>
      <c r="E1074" s="5" t="n"/>
      <c r="F1074" s="5" t="n"/>
      <c r="G1074" s="5" t="n"/>
      <c r="H1074" s="8" t="n"/>
      <c r="I1074" s="8" t="n"/>
      <c r="J1074" s="8" t="n"/>
      <c r="K1074" s="11">
        <f>IF(B1074="","",MAX(0,IFERROR(I1074,0)*IFERROR(H1074,0)-IFERROR(J1074,0)))</f>
        <v/>
      </c>
      <c r="L1074" s="8" t="n"/>
      <c r="M1074" s="11">
        <f>IF(B1074="","",MAX(0,K1074-L1074))</f>
        <v/>
      </c>
      <c r="N1074" s="11">
        <f>IF(B1074="","",IF(L1074&gt;=K1074,"Paid",IF(L1074&gt;0,"Partial","Unpaid")))</f>
        <v/>
      </c>
      <c r="O1074" s="5" t="n"/>
      <c r="P1074" s="8" t="n"/>
      <c r="Q1074" s="8" t="n"/>
      <c r="R1074" s="11">
        <f>IF(B1074="","",IFERROR(K1074,0)+IFERROR(P1074,0)-IFERROR(Q1074,0))</f>
        <v/>
      </c>
      <c r="S1074" s="5" t="n"/>
      <c r="T1074" s="5" t="n"/>
      <c r="U1074" s="11">
        <f>IF(B1074="","",TRIM(LOWER(C1074)&amp;"|"&amp;LOWER(D1074)))</f>
        <v/>
      </c>
    </row>
    <row r="1075">
      <c r="A1075" s="11">
        <f>IF(B1075="","",TEXT(ROW()-3,"""DC-""0000"))</f>
        <v/>
      </c>
      <c r="B1075" s="5" t="n"/>
      <c r="C1075" s="5" t="n"/>
      <c r="D1075" s="5" t="n"/>
      <c r="E1075" s="5" t="n"/>
      <c r="F1075" s="5" t="n"/>
      <c r="G1075" s="5" t="n"/>
      <c r="H1075" s="8" t="n"/>
      <c r="I1075" s="8" t="n"/>
      <c r="J1075" s="8" t="n"/>
      <c r="K1075" s="11">
        <f>IF(B1075="","",MAX(0,IFERROR(I1075,0)*IFERROR(H1075,0)-IFERROR(J1075,0)))</f>
        <v/>
      </c>
      <c r="L1075" s="8" t="n"/>
      <c r="M1075" s="11">
        <f>IF(B1075="","",MAX(0,K1075-L1075))</f>
        <v/>
      </c>
      <c r="N1075" s="11">
        <f>IF(B1075="","",IF(L1075&gt;=K1075,"Paid",IF(L1075&gt;0,"Partial","Unpaid")))</f>
        <v/>
      </c>
      <c r="O1075" s="5" t="n"/>
      <c r="P1075" s="8" t="n"/>
      <c r="Q1075" s="8" t="n"/>
      <c r="R1075" s="11">
        <f>IF(B1075="","",IFERROR(K1075,0)+IFERROR(P1075,0)-IFERROR(Q1075,0))</f>
        <v/>
      </c>
      <c r="S1075" s="5" t="n"/>
      <c r="T1075" s="5" t="n"/>
      <c r="U1075" s="11">
        <f>IF(B1075="","",TRIM(LOWER(C1075)&amp;"|"&amp;LOWER(D1075)))</f>
        <v/>
      </c>
    </row>
    <row r="1076">
      <c r="A1076" s="11">
        <f>IF(B1076="","",TEXT(ROW()-3,"""DC-""0000"))</f>
        <v/>
      </c>
      <c r="B1076" s="5" t="n"/>
      <c r="C1076" s="5" t="n"/>
      <c r="D1076" s="5" t="n"/>
      <c r="E1076" s="5" t="n"/>
      <c r="F1076" s="5" t="n"/>
      <c r="G1076" s="5" t="n"/>
      <c r="H1076" s="8" t="n"/>
      <c r="I1076" s="8" t="n"/>
      <c r="J1076" s="8" t="n"/>
      <c r="K1076" s="11">
        <f>IF(B1076="","",MAX(0,IFERROR(I1076,0)*IFERROR(H1076,0)-IFERROR(J1076,0)))</f>
        <v/>
      </c>
      <c r="L1076" s="8" t="n"/>
      <c r="M1076" s="11">
        <f>IF(B1076="","",MAX(0,K1076-L1076))</f>
        <v/>
      </c>
      <c r="N1076" s="11">
        <f>IF(B1076="","",IF(L1076&gt;=K1076,"Paid",IF(L1076&gt;0,"Partial","Unpaid")))</f>
        <v/>
      </c>
      <c r="O1076" s="5" t="n"/>
      <c r="P1076" s="8" t="n"/>
      <c r="Q1076" s="8" t="n"/>
      <c r="R1076" s="11">
        <f>IF(B1076="","",IFERROR(K1076,0)+IFERROR(P1076,0)-IFERROR(Q1076,0))</f>
        <v/>
      </c>
      <c r="S1076" s="5" t="n"/>
      <c r="T1076" s="5" t="n"/>
      <c r="U1076" s="11">
        <f>IF(B1076="","",TRIM(LOWER(C1076)&amp;"|"&amp;LOWER(D1076)))</f>
        <v/>
      </c>
    </row>
    <row r="1077">
      <c r="A1077" s="11">
        <f>IF(B1077="","",TEXT(ROW()-3,"""DC-""0000"))</f>
        <v/>
      </c>
      <c r="B1077" s="5" t="n"/>
      <c r="C1077" s="5" t="n"/>
      <c r="D1077" s="5" t="n"/>
      <c r="E1077" s="5" t="n"/>
      <c r="F1077" s="5" t="n"/>
      <c r="G1077" s="5" t="n"/>
      <c r="H1077" s="8" t="n"/>
      <c r="I1077" s="8" t="n"/>
      <c r="J1077" s="8" t="n"/>
      <c r="K1077" s="11">
        <f>IF(B1077="","",MAX(0,IFERROR(I1077,0)*IFERROR(H1077,0)-IFERROR(J1077,0)))</f>
        <v/>
      </c>
      <c r="L1077" s="8" t="n"/>
      <c r="M1077" s="11">
        <f>IF(B1077="","",MAX(0,K1077-L1077))</f>
        <v/>
      </c>
      <c r="N1077" s="11">
        <f>IF(B1077="","",IF(L1077&gt;=K1077,"Paid",IF(L1077&gt;0,"Partial","Unpaid")))</f>
        <v/>
      </c>
      <c r="O1077" s="5" t="n"/>
      <c r="P1077" s="8" t="n"/>
      <c r="Q1077" s="8" t="n"/>
      <c r="R1077" s="11">
        <f>IF(B1077="","",IFERROR(K1077,0)+IFERROR(P1077,0)-IFERROR(Q1077,0))</f>
        <v/>
      </c>
      <c r="S1077" s="5" t="n"/>
      <c r="T1077" s="5" t="n"/>
      <c r="U1077" s="11">
        <f>IF(B1077="","",TRIM(LOWER(C1077)&amp;"|"&amp;LOWER(D1077)))</f>
        <v/>
      </c>
    </row>
    <row r="1078">
      <c r="A1078" s="11">
        <f>IF(B1078="","",TEXT(ROW()-3,"""DC-""0000"))</f>
        <v/>
      </c>
      <c r="B1078" s="5" t="n"/>
      <c r="C1078" s="5" t="n"/>
      <c r="D1078" s="5" t="n"/>
      <c r="E1078" s="5" t="n"/>
      <c r="F1078" s="5" t="n"/>
      <c r="G1078" s="5" t="n"/>
      <c r="H1078" s="8" t="n"/>
      <c r="I1078" s="8" t="n"/>
      <c r="J1078" s="8" t="n"/>
      <c r="K1078" s="11">
        <f>IF(B1078="","",MAX(0,IFERROR(I1078,0)*IFERROR(H1078,0)-IFERROR(J1078,0)))</f>
        <v/>
      </c>
      <c r="L1078" s="8" t="n"/>
      <c r="M1078" s="11">
        <f>IF(B1078="","",MAX(0,K1078-L1078))</f>
        <v/>
      </c>
      <c r="N1078" s="11">
        <f>IF(B1078="","",IF(L1078&gt;=K1078,"Paid",IF(L1078&gt;0,"Partial","Unpaid")))</f>
        <v/>
      </c>
      <c r="O1078" s="5" t="n"/>
      <c r="P1078" s="8" t="n"/>
      <c r="Q1078" s="8" t="n"/>
      <c r="R1078" s="11">
        <f>IF(B1078="","",IFERROR(K1078,0)+IFERROR(P1078,0)-IFERROR(Q1078,0))</f>
        <v/>
      </c>
      <c r="S1078" s="5" t="n"/>
      <c r="T1078" s="5" t="n"/>
      <c r="U1078" s="11">
        <f>IF(B1078="","",TRIM(LOWER(C1078)&amp;"|"&amp;LOWER(D1078)))</f>
        <v/>
      </c>
    </row>
    <row r="1079">
      <c r="A1079" s="11">
        <f>IF(B1079="","",TEXT(ROW()-3,"""DC-""0000"))</f>
        <v/>
      </c>
      <c r="B1079" s="5" t="n"/>
      <c r="C1079" s="5" t="n"/>
      <c r="D1079" s="5" t="n"/>
      <c r="E1079" s="5" t="n"/>
      <c r="F1079" s="5" t="n"/>
      <c r="G1079" s="5" t="n"/>
      <c r="H1079" s="8" t="n"/>
      <c r="I1079" s="8" t="n"/>
      <c r="J1079" s="8" t="n"/>
      <c r="K1079" s="11">
        <f>IF(B1079="","",MAX(0,IFERROR(I1079,0)*IFERROR(H1079,0)-IFERROR(J1079,0)))</f>
        <v/>
      </c>
      <c r="L1079" s="8" t="n"/>
      <c r="M1079" s="11">
        <f>IF(B1079="","",MAX(0,K1079-L1079))</f>
        <v/>
      </c>
      <c r="N1079" s="11">
        <f>IF(B1079="","",IF(L1079&gt;=K1079,"Paid",IF(L1079&gt;0,"Partial","Unpaid")))</f>
        <v/>
      </c>
      <c r="O1079" s="5" t="n"/>
      <c r="P1079" s="8" t="n"/>
      <c r="Q1079" s="8" t="n"/>
      <c r="R1079" s="11">
        <f>IF(B1079="","",IFERROR(K1079,0)+IFERROR(P1079,0)-IFERROR(Q1079,0))</f>
        <v/>
      </c>
      <c r="S1079" s="5" t="n"/>
      <c r="T1079" s="5" t="n"/>
      <c r="U1079" s="11">
        <f>IF(B1079="","",TRIM(LOWER(C1079)&amp;"|"&amp;LOWER(D1079)))</f>
        <v/>
      </c>
    </row>
    <row r="1080">
      <c r="A1080" s="11">
        <f>IF(B1080="","",TEXT(ROW()-3,"""DC-""0000"))</f>
        <v/>
      </c>
      <c r="B1080" s="5" t="n"/>
      <c r="C1080" s="5" t="n"/>
      <c r="D1080" s="5" t="n"/>
      <c r="E1080" s="5" t="n"/>
      <c r="F1080" s="5" t="n"/>
      <c r="G1080" s="5" t="n"/>
      <c r="H1080" s="8" t="n"/>
      <c r="I1080" s="8" t="n"/>
      <c r="J1080" s="8" t="n"/>
      <c r="K1080" s="11">
        <f>IF(B1080="","",MAX(0,IFERROR(I1080,0)*IFERROR(H1080,0)-IFERROR(J1080,0)))</f>
        <v/>
      </c>
      <c r="L1080" s="8" t="n"/>
      <c r="M1080" s="11">
        <f>IF(B1080="","",MAX(0,K1080-L1080))</f>
        <v/>
      </c>
      <c r="N1080" s="11">
        <f>IF(B1080="","",IF(L1080&gt;=K1080,"Paid",IF(L1080&gt;0,"Partial","Unpaid")))</f>
        <v/>
      </c>
      <c r="O1080" s="5" t="n"/>
      <c r="P1080" s="8" t="n"/>
      <c r="Q1080" s="8" t="n"/>
      <c r="R1080" s="11">
        <f>IF(B1080="","",IFERROR(K1080,0)+IFERROR(P1080,0)-IFERROR(Q1080,0))</f>
        <v/>
      </c>
      <c r="S1080" s="5" t="n"/>
      <c r="T1080" s="5" t="n"/>
      <c r="U1080" s="11">
        <f>IF(B1080="","",TRIM(LOWER(C1080)&amp;"|"&amp;LOWER(D1080)))</f>
        <v/>
      </c>
    </row>
    <row r="1081">
      <c r="A1081" s="11">
        <f>IF(B1081="","",TEXT(ROW()-3,"""DC-""0000"))</f>
        <v/>
      </c>
      <c r="B1081" s="5" t="n"/>
      <c r="C1081" s="5" t="n"/>
      <c r="D1081" s="5" t="n"/>
      <c r="E1081" s="5" t="n"/>
      <c r="F1081" s="5" t="n"/>
      <c r="G1081" s="5" t="n"/>
      <c r="H1081" s="8" t="n"/>
      <c r="I1081" s="8" t="n"/>
      <c r="J1081" s="8" t="n"/>
      <c r="K1081" s="11">
        <f>IF(B1081="","",MAX(0,IFERROR(I1081,0)*IFERROR(H1081,0)-IFERROR(J1081,0)))</f>
        <v/>
      </c>
      <c r="L1081" s="8" t="n"/>
      <c r="M1081" s="11">
        <f>IF(B1081="","",MAX(0,K1081-L1081))</f>
        <v/>
      </c>
      <c r="N1081" s="11">
        <f>IF(B1081="","",IF(L1081&gt;=K1081,"Paid",IF(L1081&gt;0,"Partial","Unpaid")))</f>
        <v/>
      </c>
      <c r="O1081" s="5" t="n"/>
      <c r="P1081" s="8" t="n"/>
      <c r="Q1081" s="8" t="n"/>
      <c r="R1081" s="11">
        <f>IF(B1081="","",IFERROR(K1081,0)+IFERROR(P1081,0)-IFERROR(Q1081,0))</f>
        <v/>
      </c>
      <c r="S1081" s="5" t="n"/>
      <c r="T1081" s="5" t="n"/>
      <c r="U1081" s="11">
        <f>IF(B1081="","",TRIM(LOWER(C1081)&amp;"|"&amp;LOWER(D1081)))</f>
        <v/>
      </c>
    </row>
    <row r="1082">
      <c r="A1082" s="11">
        <f>IF(B1082="","",TEXT(ROW()-3,"""DC-""0000"))</f>
        <v/>
      </c>
      <c r="B1082" s="5" t="n"/>
      <c r="C1082" s="5" t="n"/>
      <c r="D1082" s="5" t="n"/>
      <c r="E1082" s="5" t="n"/>
      <c r="F1082" s="5" t="n"/>
      <c r="G1082" s="5" t="n"/>
      <c r="H1082" s="8" t="n"/>
      <c r="I1082" s="8" t="n"/>
      <c r="J1082" s="8" t="n"/>
      <c r="K1082" s="11">
        <f>IF(B1082="","",MAX(0,IFERROR(I1082,0)*IFERROR(H1082,0)-IFERROR(J1082,0)))</f>
        <v/>
      </c>
      <c r="L1082" s="8" t="n"/>
      <c r="M1082" s="11">
        <f>IF(B1082="","",MAX(0,K1082-L1082))</f>
        <v/>
      </c>
      <c r="N1082" s="11">
        <f>IF(B1082="","",IF(L1082&gt;=K1082,"Paid",IF(L1082&gt;0,"Partial","Unpaid")))</f>
        <v/>
      </c>
      <c r="O1082" s="5" t="n"/>
      <c r="P1082" s="8" t="n"/>
      <c r="Q1082" s="8" t="n"/>
      <c r="R1082" s="11">
        <f>IF(B1082="","",IFERROR(K1082,0)+IFERROR(P1082,0)-IFERROR(Q1082,0))</f>
        <v/>
      </c>
      <c r="S1082" s="5" t="n"/>
      <c r="T1082" s="5" t="n"/>
      <c r="U1082" s="11">
        <f>IF(B1082="","",TRIM(LOWER(C1082)&amp;"|"&amp;LOWER(D1082)))</f>
        <v/>
      </c>
    </row>
    <row r="1083">
      <c r="A1083" s="11">
        <f>IF(B1083="","",TEXT(ROW()-3,"""DC-""0000"))</f>
        <v/>
      </c>
      <c r="B1083" s="5" t="n"/>
      <c r="C1083" s="5" t="n"/>
      <c r="D1083" s="5" t="n"/>
      <c r="E1083" s="5" t="n"/>
      <c r="F1083" s="5" t="n"/>
      <c r="G1083" s="5" t="n"/>
      <c r="H1083" s="8" t="n"/>
      <c r="I1083" s="8" t="n"/>
      <c r="J1083" s="8" t="n"/>
      <c r="K1083" s="11">
        <f>IF(B1083="","",MAX(0,IFERROR(I1083,0)*IFERROR(H1083,0)-IFERROR(J1083,0)))</f>
        <v/>
      </c>
      <c r="L1083" s="8" t="n"/>
      <c r="M1083" s="11">
        <f>IF(B1083="","",MAX(0,K1083-L1083))</f>
        <v/>
      </c>
      <c r="N1083" s="11">
        <f>IF(B1083="","",IF(L1083&gt;=K1083,"Paid",IF(L1083&gt;0,"Partial","Unpaid")))</f>
        <v/>
      </c>
      <c r="O1083" s="5" t="n"/>
      <c r="P1083" s="8" t="n"/>
      <c r="Q1083" s="8" t="n"/>
      <c r="R1083" s="11">
        <f>IF(B1083="","",IFERROR(K1083,0)+IFERROR(P1083,0)-IFERROR(Q1083,0))</f>
        <v/>
      </c>
      <c r="S1083" s="5" t="n"/>
      <c r="T1083" s="5" t="n"/>
      <c r="U1083" s="11">
        <f>IF(B1083="","",TRIM(LOWER(C1083)&amp;"|"&amp;LOWER(D1083)))</f>
        <v/>
      </c>
    </row>
    <row r="1084">
      <c r="A1084" s="11">
        <f>IF(B1084="","",TEXT(ROW()-3,"""DC-""0000"))</f>
        <v/>
      </c>
      <c r="B1084" s="5" t="n"/>
      <c r="C1084" s="5" t="n"/>
      <c r="D1084" s="5" t="n"/>
      <c r="E1084" s="5" t="n"/>
      <c r="F1084" s="5" t="n"/>
      <c r="G1084" s="5" t="n"/>
      <c r="H1084" s="8" t="n"/>
      <c r="I1084" s="8" t="n"/>
      <c r="J1084" s="8" t="n"/>
      <c r="K1084" s="11">
        <f>IF(B1084="","",MAX(0,IFERROR(I1084,0)*IFERROR(H1084,0)-IFERROR(J1084,0)))</f>
        <v/>
      </c>
      <c r="L1084" s="8" t="n"/>
      <c r="M1084" s="11">
        <f>IF(B1084="","",MAX(0,K1084-L1084))</f>
        <v/>
      </c>
      <c r="N1084" s="11">
        <f>IF(B1084="","",IF(L1084&gt;=K1084,"Paid",IF(L1084&gt;0,"Partial","Unpaid")))</f>
        <v/>
      </c>
      <c r="O1084" s="5" t="n"/>
      <c r="P1084" s="8" t="n"/>
      <c r="Q1084" s="8" t="n"/>
      <c r="R1084" s="11">
        <f>IF(B1084="","",IFERROR(K1084,0)+IFERROR(P1084,0)-IFERROR(Q1084,0))</f>
        <v/>
      </c>
      <c r="S1084" s="5" t="n"/>
      <c r="T1084" s="5" t="n"/>
      <c r="U1084" s="11">
        <f>IF(B1084="","",TRIM(LOWER(C1084)&amp;"|"&amp;LOWER(D1084)))</f>
        <v/>
      </c>
    </row>
    <row r="1085">
      <c r="A1085" s="11">
        <f>IF(B1085="","",TEXT(ROW()-3,"""DC-""0000"))</f>
        <v/>
      </c>
      <c r="B1085" s="5" t="n"/>
      <c r="C1085" s="5" t="n"/>
      <c r="D1085" s="5" t="n"/>
      <c r="E1085" s="5" t="n"/>
      <c r="F1085" s="5" t="n"/>
      <c r="G1085" s="5" t="n"/>
      <c r="H1085" s="8" t="n"/>
      <c r="I1085" s="8" t="n"/>
      <c r="J1085" s="8" t="n"/>
      <c r="K1085" s="11">
        <f>IF(B1085="","",MAX(0,IFERROR(I1085,0)*IFERROR(H1085,0)-IFERROR(J1085,0)))</f>
        <v/>
      </c>
      <c r="L1085" s="8" t="n"/>
      <c r="M1085" s="11">
        <f>IF(B1085="","",MAX(0,K1085-L1085))</f>
        <v/>
      </c>
      <c r="N1085" s="11">
        <f>IF(B1085="","",IF(L1085&gt;=K1085,"Paid",IF(L1085&gt;0,"Partial","Unpaid")))</f>
        <v/>
      </c>
      <c r="O1085" s="5" t="n"/>
      <c r="P1085" s="8" t="n"/>
      <c r="Q1085" s="8" t="n"/>
      <c r="R1085" s="11">
        <f>IF(B1085="","",IFERROR(K1085,0)+IFERROR(P1085,0)-IFERROR(Q1085,0))</f>
        <v/>
      </c>
      <c r="S1085" s="5" t="n"/>
      <c r="T1085" s="5" t="n"/>
      <c r="U1085" s="11">
        <f>IF(B1085="","",TRIM(LOWER(C1085)&amp;"|"&amp;LOWER(D1085)))</f>
        <v/>
      </c>
    </row>
    <row r="1086">
      <c r="A1086" s="11">
        <f>IF(B1086="","",TEXT(ROW()-3,"""DC-""0000"))</f>
        <v/>
      </c>
      <c r="B1086" s="5" t="n"/>
      <c r="C1086" s="5" t="n"/>
      <c r="D1086" s="5" t="n"/>
      <c r="E1086" s="5" t="n"/>
      <c r="F1086" s="5" t="n"/>
      <c r="G1086" s="5" t="n"/>
      <c r="H1086" s="8" t="n"/>
      <c r="I1086" s="8" t="n"/>
      <c r="J1086" s="8" t="n"/>
      <c r="K1086" s="11">
        <f>IF(B1086="","",MAX(0,IFERROR(I1086,0)*IFERROR(H1086,0)-IFERROR(J1086,0)))</f>
        <v/>
      </c>
      <c r="L1086" s="8" t="n"/>
      <c r="M1086" s="11">
        <f>IF(B1086="","",MAX(0,K1086-L1086))</f>
        <v/>
      </c>
      <c r="N1086" s="11">
        <f>IF(B1086="","",IF(L1086&gt;=K1086,"Paid",IF(L1086&gt;0,"Partial","Unpaid")))</f>
        <v/>
      </c>
      <c r="O1086" s="5" t="n"/>
      <c r="P1086" s="8" t="n"/>
      <c r="Q1086" s="8" t="n"/>
      <c r="R1086" s="11">
        <f>IF(B1086="","",IFERROR(K1086,0)+IFERROR(P1086,0)-IFERROR(Q1086,0))</f>
        <v/>
      </c>
      <c r="S1086" s="5" t="n"/>
      <c r="T1086" s="5" t="n"/>
      <c r="U1086" s="11">
        <f>IF(B1086="","",TRIM(LOWER(C1086)&amp;"|"&amp;LOWER(D1086)))</f>
        <v/>
      </c>
    </row>
    <row r="1087">
      <c r="A1087" s="11">
        <f>IF(B1087="","",TEXT(ROW()-3,"""DC-""0000"))</f>
        <v/>
      </c>
      <c r="B1087" s="5" t="n"/>
      <c r="C1087" s="5" t="n"/>
      <c r="D1087" s="5" t="n"/>
      <c r="E1087" s="5" t="n"/>
      <c r="F1087" s="5" t="n"/>
      <c r="G1087" s="5" t="n"/>
      <c r="H1087" s="8" t="n"/>
      <c r="I1087" s="8" t="n"/>
      <c r="J1087" s="8" t="n"/>
      <c r="K1087" s="11">
        <f>IF(B1087="","",MAX(0,IFERROR(I1087,0)*IFERROR(H1087,0)-IFERROR(J1087,0)))</f>
        <v/>
      </c>
      <c r="L1087" s="8" t="n"/>
      <c r="M1087" s="11">
        <f>IF(B1087="","",MAX(0,K1087-L1087))</f>
        <v/>
      </c>
      <c r="N1087" s="11">
        <f>IF(B1087="","",IF(L1087&gt;=K1087,"Paid",IF(L1087&gt;0,"Partial","Unpaid")))</f>
        <v/>
      </c>
      <c r="O1087" s="5" t="n"/>
      <c r="P1087" s="8" t="n"/>
      <c r="Q1087" s="8" t="n"/>
      <c r="R1087" s="11">
        <f>IF(B1087="","",IFERROR(K1087,0)+IFERROR(P1087,0)-IFERROR(Q1087,0))</f>
        <v/>
      </c>
      <c r="S1087" s="5" t="n"/>
      <c r="T1087" s="5" t="n"/>
      <c r="U1087" s="11">
        <f>IF(B1087="","",TRIM(LOWER(C1087)&amp;"|"&amp;LOWER(D1087)))</f>
        <v/>
      </c>
    </row>
    <row r="1088">
      <c r="A1088" s="11">
        <f>IF(B1088="","",TEXT(ROW()-3,"""DC-""0000"))</f>
        <v/>
      </c>
      <c r="B1088" s="5" t="n"/>
      <c r="C1088" s="5" t="n"/>
      <c r="D1088" s="5" t="n"/>
      <c r="E1088" s="5" t="n"/>
      <c r="F1088" s="5" t="n"/>
      <c r="G1088" s="5" t="n"/>
      <c r="H1088" s="8" t="n"/>
      <c r="I1088" s="8" t="n"/>
      <c r="J1088" s="8" t="n"/>
      <c r="K1088" s="11">
        <f>IF(B1088="","",MAX(0,IFERROR(I1088,0)*IFERROR(H1088,0)-IFERROR(J1088,0)))</f>
        <v/>
      </c>
      <c r="L1088" s="8" t="n"/>
      <c r="M1088" s="11">
        <f>IF(B1088="","",MAX(0,K1088-L1088))</f>
        <v/>
      </c>
      <c r="N1088" s="11">
        <f>IF(B1088="","",IF(L1088&gt;=K1088,"Paid",IF(L1088&gt;0,"Partial","Unpaid")))</f>
        <v/>
      </c>
      <c r="O1088" s="5" t="n"/>
      <c r="P1088" s="8" t="n"/>
      <c r="Q1088" s="8" t="n"/>
      <c r="R1088" s="11">
        <f>IF(B1088="","",IFERROR(K1088,0)+IFERROR(P1088,0)-IFERROR(Q1088,0))</f>
        <v/>
      </c>
      <c r="S1088" s="5" t="n"/>
      <c r="T1088" s="5" t="n"/>
      <c r="U1088" s="11">
        <f>IF(B1088="","",TRIM(LOWER(C1088)&amp;"|"&amp;LOWER(D1088)))</f>
        <v/>
      </c>
    </row>
    <row r="1089">
      <c r="A1089" s="11">
        <f>IF(B1089="","",TEXT(ROW()-3,"""DC-""0000"))</f>
        <v/>
      </c>
      <c r="B1089" s="5" t="n"/>
      <c r="C1089" s="5" t="n"/>
      <c r="D1089" s="5" t="n"/>
      <c r="E1089" s="5" t="n"/>
      <c r="F1089" s="5" t="n"/>
      <c r="G1089" s="5" t="n"/>
      <c r="H1089" s="8" t="n"/>
      <c r="I1089" s="8" t="n"/>
      <c r="J1089" s="8" t="n"/>
      <c r="K1089" s="11">
        <f>IF(B1089="","",MAX(0,IFERROR(I1089,0)*IFERROR(H1089,0)-IFERROR(J1089,0)))</f>
        <v/>
      </c>
      <c r="L1089" s="8" t="n"/>
      <c r="M1089" s="11">
        <f>IF(B1089="","",MAX(0,K1089-L1089))</f>
        <v/>
      </c>
      <c r="N1089" s="11">
        <f>IF(B1089="","",IF(L1089&gt;=K1089,"Paid",IF(L1089&gt;0,"Partial","Unpaid")))</f>
        <v/>
      </c>
      <c r="O1089" s="5" t="n"/>
      <c r="P1089" s="8" t="n"/>
      <c r="Q1089" s="8" t="n"/>
      <c r="R1089" s="11">
        <f>IF(B1089="","",IFERROR(K1089,0)+IFERROR(P1089,0)-IFERROR(Q1089,0))</f>
        <v/>
      </c>
      <c r="S1089" s="5" t="n"/>
      <c r="T1089" s="5" t="n"/>
      <c r="U1089" s="11">
        <f>IF(B1089="","",TRIM(LOWER(C1089)&amp;"|"&amp;LOWER(D1089)))</f>
        <v/>
      </c>
    </row>
    <row r="1090">
      <c r="A1090" s="11">
        <f>IF(B1090="","",TEXT(ROW()-3,"""DC-""0000"))</f>
        <v/>
      </c>
      <c r="B1090" s="5" t="n"/>
      <c r="C1090" s="5" t="n"/>
      <c r="D1090" s="5" t="n"/>
      <c r="E1090" s="5" t="n"/>
      <c r="F1090" s="5" t="n"/>
      <c r="G1090" s="5" t="n"/>
      <c r="H1090" s="8" t="n"/>
      <c r="I1090" s="8" t="n"/>
      <c r="J1090" s="8" t="n"/>
      <c r="K1090" s="11">
        <f>IF(B1090="","",MAX(0,IFERROR(I1090,0)*IFERROR(H1090,0)-IFERROR(J1090,0)))</f>
        <v/>
      </c>
      <c r="L1090" s="8" t="n"/>
      <c r="M1090" s="11">
        <f>IF(B1090="","",MAX(0,K1090-L1090))</f>
        <v/>
      </c>
      <c r="N1090" s="11">
        <f>IF(B1090="","",IF(L1090&gt;=K1090,"Paid",IF(L1090&gt;0,"Partial","Unpaid")))</f>
        <v/>
      </c>
      <c r="O1090" s="5" t="n"/>
      <c r="P1090" s="8" t="n"/>
      <c r="Q1090" s="8" t="n"/>
      <c r="R1090" s="11">
        <f>IF(B1090="","",IFERROR(K1090,0)+IFERROR(P1090,0)-IFERROR(Q1090,0))</f>
        <v/>
      </c>
      <c r="S1090" s="5" t="n"/>
      <c r="T1090" s="5" t="n"/>
      <c r="U1090" s="11">
        <f>IF(B1090="","",TRIM(LOWER(C1090)&amp;"|"&amp;LOWER(D1090)))</f>
        <v/>
      </c>
    </row>
    <row r="1091">
      <c r="A1091" s="11">
        <f>IF(B1091="","",TEXT(ROW()-3,"""DC-""0000"))</f>
        <v/>
      </c>
      <c r="B1091" s="5" t="n"/>
      <c r="C1091" s="5" t="n"/>
      <c r="D1091" s="5" t="n"/>
      <c r="E1091" s="5" t="n"/>
      <c r="F1091" s="5" t="n"/>
      <c r="G1091" s="5" t="n"/>
      <c r="H1091" s="8" t="n"/>
      <c r="I1091" s="8" t="n"/>
      <c r="J1091" s="8" t="n"/>
      <c r="K1091" s="11">
        <f>IF(B1091="","",MAX(0,IFERROR(I1091,0)*IFERROR(H1091,0)-IFERROR(J1091,0)))</f>
        <v/>
      </c>
      <c r="L1091" s="8" t="n"/>
      <c r="M1091" s="11">
        <f>IF(B1091="","",MAX(0,K1091-L1091))</f>
        <v/>
      </c>
      <c r="N1091" s="11">
        <f>IF(B1091="","",IF(L1091&gt;=K1091,"Paid",IF(L1091&gt;0,"Partial","Unpaid")))</f>
        <v/>
      </c>
      <c r="O1091" s="5" t="n"/>
      <c r="P1091" s="8" t="n"/>
      <c r="Q1091" s="8" t="n"/>
      <c r="R1091" s="11">
        <f>IF(B1091="","",IFERROR(K1091,0)+IFERROR(P1091,0)-IFERROR(Q1091,0))</f>
        <v/>
      </c>
      <c r="S1091" s="5" t="n"/>
      <c r="T1091" s="5" t="n"/>
      <c r="U1091" s="11">
        <f>IF(B1091="","",TRIM(LOWER(C1091)&amp;"|"&amp;LOWER(D1091)))</f>
        <v/>
      </c>
    </row>
    <row r="1092">
      <c r="A1092" s="11">
        <f>IF(B1092="","",TEXT(ROW()-3,"""DC-""0000"))</f>
        <v/>
      </c>
      <c r="B1092" s="5" t="n"/>
      <c r="C1092" s="5" t="n"/>
      <c r="D1092" s="5" t="n"/>
      <c r="E1092" s="5" t="n"/>
      <c r="F1092" s="5" t="n"/>
      <c r="G1092" s="5" t="n"/>
      <c r="H1092" s="8" t="n"/>
      <c r="I1092" s="8" t="n"/>
      <c r="J1092" s="8" t="n"/>
      <c r="K1092" s="11">
        <f>IF(B1092="","",MAX(0,IFERROR(I1092,0)*IFERROR(H1092,0)-IFERROR(J1092,0)))</f>
        <v/>
      </c>
      <c r="L1092" s="8" t="n"/>
      <c r="M1092" s="11">
        <f>IF(B1092="","",MAX(0,K1092-L1092))</f>
        <v/>
      </c>
      <c r="N1092" s="11">
        <f>IF(B1092="","",IF(L1092&gt;=K1092,"Paid",IF(L1092&gt;0,"Partial","Unpaid")))</f>
        <v/>
      </c>
      <c r="O1092" s="5" t="n"/>
      <c r="P1092" s="8" t="n"/>
      <c r="Q1092" s="8" t="n"/>
      <c r="R1092" s="11">
        <f>IF(B1092="","",IFERROR(K1092,0)+IFERROR(P1092,0)-IFERROR(Q1092,0))</f>
        <v/>
      </c>
      <c r="S1092" s="5" t="n"/>
      <c r="T1092" s="5" t="n"/>
      <c r="U1092" s="11">
        <f>IF(B1092="","",TRIM(LOWER(C1092)&amp;"|"&amp;LOWER(D1092)))</f>
        <v/>
      </c>
    </row>
    <row r="1093">
      <c r="A1093" s="11">
        <f>IF(B1093="","",TEXT(ROW()-3,"""DC-""0000"))</f>
        <v/>
      </c>
      <c r="B1093" s="5" t="n"/>
      <c r="C1093" s="5" t="n"/>
      <c r="D1093" s="5" t="n"/>
      <c r="E1093" s="5" t="n"/>
      <c r="F1093" s="5" t="n"/>
      <c r="G1093" s="5" t="n"/>
      <c r="H1093" s="8" t="n"/>
      <c r="I1093" s="8" t="n"/>
      <c r="J1093" s="8" t="n"/>
      <c r="K1093" s="11">
        <f>IF(B1093="","",MAX(0,IFERROR(I1093,0)*IFERROR(H1093,0)-IFERROR(J1093,0)))</f>
        <v/>
      </c>
      <c r="L1093" s="8" t="n"/>
      <c r="M1093" s="11">
        <f>IF(B1093="","",MAX(0,K1093-L1093))</f>
        <v/>
      </c>
      <c r="N1093" s="11">
        <f>IF(B1093="","",IF(L1093&gt;=K1093,"Paid",IF(L1093&gt;0,"Partial","Unpaid")))</f>
        <v/>
      </c>
      <c r="O1093" s="5" t="n"/>
      <c r="P1093" s="8" t="n"/>
      <c r="Q1093" s="8" t="n"/>
      <c r="R1093" s="11">
        <f>IF(B1093="","",IFERROR(K1093,0)+IFERROR(P1093,0)-IFERROR(Q1093,0))</f>
        <v/>
      </c>
      <c r="S1093" s="5" t="n"/>
      <c r="T1093" s="5" t="n"/>
      <c r="U1093" s="11">
        <f>IF(B1093="","",TRIM(LOWER(C1093)&amp;"|"&amp;LOWER(D1093)))</f>
        <v/>
      </c>
    </row>
    <row r="1094">
      <c r="A1094" s="11">
        <f>IF(B1094="","",TEXT(ROW()-3,"""DC-""0000"))</f>
        <v/>
      </c>
      <c r="B1094" s="5" t="n"/>
      <c r="C1094" s="5" t="n"/>
      <c r="D1094" s="5" t="n"/>
      <c r="E1094" s="5" t="n"/>
      <c r="F1094" s="5" t="n"/>
      <c r="G1094" s="5" t="n"/>
      <c r="H1094" s="8" t="n"/>
      <c r="I1094" s="8" t="n"/>
      <c r="J1094" s="8" t="n"/>
      <c r="K1094" s="11">
        <f>IF(B1094="","",MAX(0,IFERROR(I1094,0)*IFERROR(H1094,0)-IFERROR(J1094,0)))</f>
        <v/>
      </c>
      <c r="L1094" s="8" t="n"/>
      <c r="M1094" s="11">
        <f>IF(B1094="","",MAX(0,K1094-L1094))</f>
        <v/>
      </c>
      <c r="N1094" s="11">
        <f>IF(B1094="","",IF(L1094&gt;=K1094,"Paid",IF(L1094&gt;0,"Partial","Unpaid")))</f>
        <v/>
      </c>
      <c r="O1094" s="5" t="n"/>
      <c r="P1094" s="8" t="n"/>
      <c r="Q1094" s="8" t="n"/>
      <c r="R1094" s="11">
        <f>IF(B1094="","",IFERROR(K1094,0)+IFERROR(P1094,0)-IFERROR(Q1094,0))</f>
        <v/>
      </c>
      <c r="S1094" s="5" t="n"/>
      <c r="T1094" s="5" t="n"/>
      <c r="U1094" s="11">
        <f>IF(B1094="","",TRIM(LOWER(C1094)&amp;"|"&amp;LOWER(D1094)))</f>
        <v/>
      </c>
    </row>
    <row r="1095">
      <c r="A1095" s="11">
        <f>IF(B1095="","",TEXT(ROW()-3,"""DC-""0000"))</f>
        <v/>
      </c>
      <c r="B1095" s="5" t="n"/>
      <c r="C1095" s="5" t="n"/>
      <c r="D1095" s="5" t="n"/>
      <c r="E1095" s="5" t="n"/>
      <c r="F1095" s="5" t="n"/>
      <c r="G1095" s="5" t="n"/>
      <c r="H1095" s="8" t="n"/>
      <c r="I1095" s="8" t="n"/>
      <c r="J1095" s="8" t="n"/>
      <c r="K1095" s="11">
        <f>IF(B1095="","",MAX(0,IFERROR(I1095,0)*IFERROR(H1095,0)-IFERROR(J1095,0)))</f>
        <v/>
      </c>
      <c r="L1095" s="8" t="n"/>
      <c r="M1095" s="11">
        <f>IF(B1095="","",MAX(0,K1095-L1095))</f>
        <v/>
      </c>
      <c r="N1095" s="11">
        <f>IF(B1095="","",IF(L1095&gt;=K1095,"Paid",IF(L1095&gt;0,"Partial","Unpaid")))</f>
        <v/>
      </c>
      <c r="O1095" s="5" t="n"/>
      <c r="P1095" s="8" t="n"/>
      <c r="Q1095" s="8" t="n"/>
      <c r="R1095" s="11">
        <f>IF(B1095="","",IFERROR(K1095,0)+IFERROR(P1095,0)-IFERROR(Q1095,0))</f>
        <v/>
      </c>
      <c r="S1095" s="5" t="n"/>
      <c r="T1095" s="5" t="n"/>
      <c r="U1095" s="11">
        <f>IF(B1095="","",TRIM(LOWER(C1095)&amp;"|"&amp;LOWER(D1095)))</f>
        <v/>
      </c>
    </row>
    <row r="1096">
      <c r="A1096" s="11">
        <f>IF(B1096="","",TEXT(ROW()-3,"""DC-""0000"))</f>
        <v/>
      </c>
      <c r="B1096" s="5" t="n"/>
      <c r="C1096" s="5" t="n"/>
      <c r="D1096" s="5" t="n"/>
      <c r="E1096" s="5" t="n"/>
      <c r="F1096" s="5" t="n"/>
      <c r="G1096" s="5" t="n"/>
      <c r="H1096" s="8" t="n"/>
      <c r="I1096" s="8" t="n"/>
      <c r="J1096" s="8" t="n"/>
      <c r="K1096" s="11">
        <f>IF(B1096="","",MAX(0,IFERROR(I1096,0)*IFERROR(H1096,0)-IFERROR(J1096,0)))</f>
        <v/>
      </c>
      <c r="L1096" s="8" t="n"/>
      <c r="M1096" s="11">
        <f>IF(B1096="","",MAX(0,K1096-L1096))</f>
        <v/>
      </c>
      <c r="N1096" s="11">
        <f>IF(B1096="","",IF(L1096&gt;=K1096,"Paid",IF(L1096&gt;0,"Partial","Unpaid")))</f>
        <v/>
      </c>
      <c r="O1096" s="5" t="n"/>
      <c r="P1096" s="8" t="n"/>
      <c r="Q1096" s="8" t="n"/>
      <c r="R1096" s="11">
        <f>IF(B1096="","",IFERROR(K1096,0)+IFERROR(P1096,0)-IFERROR(Q1096,0))</f>
        <v/>
      </c>
      <c r="S1096" s="5" t="n"/>
      <c r="T1096" s="5" t="n"/>
      <c r="U1096" s="11">
        <f>IF(B1096="","",TRIM(LOWER(C1096)&amp;"|"&amp;LOWER(D1096)))</f>
        <v/>
      </c>
    </row>
    <row r="1097">
      <c r="A1097" s="11">
        <f>IF(B1097="","",TEXT(ROW()-3,"""DC-""0000"))</f>
        <v/>
      </c>
      <c r="B1097" s="5" t="n"/>
      <c r="C1097" s="5" t="n"/>
      <c r="D1097" s="5" t="n"/>
      <c r="E1097" s="5" t="n"/>
      <c r="F1097" s="5" t="n"/>
      <c r="G1097" s="5" t="n"/>
      <c r="H1097" s="8" t="n"/>
      <c r="I1097" s="8" t="n"/>
      <c r="J1097" s="8" t="n"/>
      <c r="K1097" s="11">
        <f>IF(B1097="","",MAX(0,IFERROR(I1097,0)*IFERROR(H1097,0)-IFERROR(J1097,0)))</f>
        <v/>
      </c>
      <c r="L1097" s="8" t="n"/>
      <c r="M1097" s="11">
        <f>IF(B1097="","",MAX(0,K1097-L1097))</f>
        <v/>
      </c>
      <c r="N1097" s="11">
        <f>IF(B1097="","",IF(L1097&gt;=K1097,"Paid",IF(L1097&gt;0,"Partial","Unpaid")))</f>
        <v/>
      </c>
      <c r="O1097" s="5" t="n"/>
      <c r="P1097" s="8" t="n"/>
      <c r="Q1097" s="8" t="n"/>
      <c r="R1097" s="11">
        <f>IF(B1097="","",IFERROR(K1097,0)+IFERROR(P1097,0)-IFERROR(Q1097,0))</f>
        <v/>
      </c>
      <c r="S1097" s="5" t="n"/>
      <c r="T1097" s="5" t="n"/>
      <c r="U1097" s="11">
        <f>IF(B1097="","",TRIM(LOWER(C1097)&amp;"|"&amp;LOWER(D1097)))</f>
        <v/>
      </c>
    </row>
    <row r="1098">
      <c r="A1098" s="11">
        <f>IF(B1098="","",TEXT(ROW()-3,"""DC-""0000"))</f>
        <v/>
      </c>
      <c r="B1098" s="5" t="n"/>
      <c r="C1098" s="5" t="n"/>
      <c r="D1098" s="5" t="n"/>
      <c r="E1098" s="5" t="n"/>
      <c r="F1098" s="5" t="n"/>
      <c r="G1098" s="5" t="n"/>
      <c r="H1098" s="8" t="n"/>
      <c r="I1098" s="8" t="n"/>
      <c r="J1098" s="8" t="n"/>
      <c r="K1098" s="11">
        <f>IF(B1098="","",MAX(0,IFERROR(I1098,0)*IFERROR(H1098,0)-IFERROR(J1098,0)))</f>
        <v/>
      </c>
      <c r="L1098" s="8" t="n"/>
      <c r="M1098" s="11">
        <f>IF(B1098="","",MAX(0,K1098-L1098))</f>
        <v/>
      </c>
      <c r="N1098" s="11">
        <f>IF(B1098="","",IF(L1098&gt;=K1098,"Paid",IF(L1098&gt;0,"Partial","Unpaid")))</f>
        <v/>
      </c>
      <c r="O1098" s="5" t="n"/>
      <c r="P1098" s="8" t="n"/>
      <c r="Q1098" s="8" t="n"/>
      <c r="R1098" s="11">
        <f>IF(B1098="","",IFERROR(K1098,0)+IFERROR(P1098,0)-IFERROR(Q1098,0))</f>
        <v/>
      </c>
      <c r="S1098" s="5" t="n"/>
      <c r="T1098" s="5" t="n"/>
      <c r="U1098" s="11">
        <f>IF(B1098="","",TRIM(LOWER(C1098)&amp;"|"&amp;LOWER(D1098)))</f>
        <v/>
      </c>
    </row>
    <row r="1099">
      <c r="A1099" s="11">
        <f>IF(B1099="","",TEXT(ROW()-3,"""DC-""0000"))</f>
        <v/>
      </c>
      <c r="B1099" s="5" t="n"/>
      <c r="C1099" s="5" t="n"/>
      <c r="D1099" s="5" t="n"/>
      <c r="E1099" s="5" t="n"/>
      <c r="F1099" s="5" t="n"/>
      <c r="G1099" s="5" t="n"/>
      <c r="H1099" s="8" t="n"/>
      <c r="I1099" s="8" t="n"/>
      <c r="J1099" s="8" t="n"/>
      <c r="K1099" s="11">
        <f>IF(B1099="","",MAX(0,IFERROR(I1099,0)*IFERROR(H1099,0)-IFERROR(J1099,0)))</f>
        <v/>
      </c>
      <c r="L1099" s="8" t="n"/>
      <c r="M1099" s="11">
        <f>IF(B1099="","",MAX(0,K1099-L1099))</f>
        <v/>
      </c>
      <c r="N1099" s="11">
        <f>IF(B1099="","",IF(L1099&gt;=K1099,"Paid",IF(L1099&gt;0,"Partial","Unpaid")))</f>
        <v/>
      </c>
      <c r="O1099" s="5" t="n"/>
      <c r="P1099" s="8" t="n"/>
      <c r="Q1099" s="8" t="n"/>
      <c r="R1099" s="11">
        <f>IF(B1099="","",IFERROR(K1099,0)+IFERROR(P1099,0)-IFERROR(Q1099,0))</f>
        <v/>
      </c>
      <c r="S1099" s="5" t="n"/>
      <c r="T1099" s="5" t="n"/>
      <c r="U1099" s="11">
        <f>IF(B1099="","",TRIM(LOWER(C1099)&amp;"|"&amp;LOWER(D1099)))</f>
        <v/>
      </c>
    </row>
    <row r="1100">
      <c r="A1100" s="11">
        <f>IF(B1100="","",TEXT(ROW()-3,"""DC-""0000"))</f>
        <v/>
      </c>
      <c r="B1100" s="5" t="n"/>
      <c r="C1100" s="5" t="n"/>
      <c r="D1100" s="5" t="n"/>
      <c r="E1100" s="5" t="n"/>
      <c r="F1100" s="5" t="n"/>
      <c r="G1100" s="5" t="n"/>
      <c r="H1100" s="8" t="n"/>
      <c r="I1100" s="8" t="n"/>
      <c r="J1100" s="8" t="n"/>
      <c r="K1100" s="11">
        <f>IF(B1100="","",MAX(0,IFERROR(I1100,0)*IFERROR(H1100,0)-IFERROR(J1100,0)))</f>
        <v/>
      </c>
      <c r="L1100" s="8" t="n"/>
      <c r="M1100" s="11">
        <f>IF(B1100="","",MAX(0,K1100-L1100))</f>
        <v/>
      </c>
      <c r="N1100" s="11">
        <f>IF(B1100="","",IF(L1100&gt;=K1100,"Paid",IF(L1100&gt;0,"Partial","Unpaid")))</f>
        <v/>
      </c>
      <c r="O1100" s="5" t="n"/>
      <c r="P1100" s="8" t="n"/>
      <c r="Q1100" s="8" t="n"/>
      <c r="R1100" s="11">
        <f>IF(B1100="","",IFERROR(K1100,0)+IFERROR(P1100,0)-IFERROR(Q1100,0))</f>
        <v/>
      </c>
      <c r="S1100" s="5" t="n"/>
      <c r="T1100" s="5" t="n"/>
      <c r="U1100" s="11">
        <f>IF(B1100="","",TRIM(LOWER(C1100)&amp;"|"&amp;LOWER(D1100)))</f>
        <v/>
      </c>
    </row>
    <row r="1101">
      <c r="A1101" s="11">
        <f>IF(B1101="","",TEXT(ROW()-3,"""DC-""0000"))</f>
        <v/>
      </c>
      <c r="B1101" s="5" t="n"/>
      <c r="C1101" s="5" t="n"/>
      <c r="D1101" s="5" t="n"/>
      <c r="E1101" s="5" t="n"/>
      <c r="F1101" s="5" t="n"/>
      <c r="G1101" s="5" t="n"/>
      <c r="H1101" s="8" t="n"/>
      <c r="I1101" s="8" t="n"/>
      <c r="J1101" s="8" t="n"/>
      <c r="K1101" s="11">
        <f>IF(B1101="","",MAX(0,IFERROR(I1101,0)*IFERROR(H1101,0)-IFERROR(J1101,0)))</f>
        <v/>
      </c>
      <c r="L1101" s="8" t="n"/>
      <c r="M1101" s="11">
        <f>IF(B1101="","",MAX(0,K1101-L1101))</f>
        <v/>
      </c>
      <c r="N1101" s="11">
        <f>IF(B1101="","",IF(L1101&gt;=K1101,"Paid",IF(L1101&gt;0,"Partial","Unpaid")))</f>
        <v/>
      </c>
      <c r="O1101" s="5" t="n"/>
      <c r="P1101" s="8" t="n"/>
      <c r="Q1101" s="8" t="n"/>
      <c r="R1101" s="11">
        <f>IF(B1101="","",IFERROR(K1101,0)+IFERROR(P1101,0)-IFERROR(Q1101,0))</f>
        <v/>
      </c>
      <c r="S1101" s="5" t="n"/>
      <c r="T1101" s="5" t="n"/>
      <c r="U1101" s="11">
        <f>IF(B1101="","",TRIM(LOWER(C1101)&amp;"|"&amp;LOWER(D1101)))</f>
        <v/>
      </c>
    </row>
    <row r="1102">
      <c r="A1102" s="11">
        <f>IF(B1102="","",TEXT(ROW()-3,"""DC-""0000"))</f>
        <v/>
      </c>
      <c r="B1102" s="5" t="n"/>
      <c r="C1102" s="5" t="n"/>
      <c r="D1102" s="5" t="n"/>
      <c r="E1102" s="5" t="n"/>
      <c r="F1102" s="5" t="n"/>
      <c r="G1102" s="5" t="n"/>
      <c r="H1102" s="8" t="n"/>
      <c r="I1102" s="8" t="n"/>
      <c r="J1102" s="8" t="n"/>
      <c r="K1102" s="11">
        <f>IF(B1102="","",MAX(0,IFERROR(I1102,0)*IFERROR(H1102,0)-IFERROR(J1102,0)))</f>
        <v/>
      </c>
      <c r="L1102" s="8" t="n"/>
      <c r="M1102" s="11">
        <f>IF(B1102="","",MAX(0,K1102-L1102))</f>
        <v/>
      </c>
      <c r="N1102" s="11">
        <f>IF(B1102="","",IF(L1102&gt;=K1102,"Paid",IF(L1102&gt;0,"Partial","Unpaid")))</f>
        <v/>
      </c>
      <c r="O1102" s="5" t="n"/>
      <c r="P1102" s="8" t="n"/>
      <c r="Q1102" s="8" t="n"/>
      <c r="R1102" s="11">
        <f>IF(B1102="","",IFERROR(K1102,0)+IFERROR(P1102,0)-IFERROR(Q1102,0))</f>
        <v/>
      </c>
      <c r="S1102" s="5" t="n"/>
      <c r="T1102" s="5" t="n"/>
      <c r="U1102" s="11">
        <f>IF(B1102="","",TRIM(LOWER(C1102)&amp;"|"&amp;LOWER(D1102)))</f>
        <v/>
      </c>
    </row>
    <row r="1103">
      <c r="A1103" s="11">
        <f>IF(B1103="","",TEXT(ROW()-3,"""DC-""0000"))</f>
        <v/>
      </c>
      <c r="B1103" s="5" t="n"/>
      <c r="C1103" s="5" t="n"/>
      <c r="D1103" s="5" t="n"/>
      <c r="E1103" s="5" t="n"/>
      <c r="F1103" s="5" t="n"/>
      <c r="G1103" s="5" t="n"/>
      <c r="H1103" s="8" t="n"/>
      <c r="I1103" s="8" t="n"/>
      <c r="J1103" s="8" t="n"/>
      <c r="K1103" s="11">
        <f>IF(B1103="","",MAX(0,IFERROR(I1103,0)*IFERROR(H1103,0)-IFERROR(J1103,0)))</f>
        <v/>
      </c>
      <c r="L1103" s="8" t="n"/>
      <c r="M1103" s="11">
        <f>IF(B1103="","",MAX(0,K1103-L1103))</f>
        <v/>
      </c>
      <c r="N1103" s="11">
        <f>IF(B1103="","",IF(L1103&gt;=K1103,"Paid",IF(L1103&gt;0,"Partial","Unpaid")))</f>
        <v/>
      </c>
      <c r="O1103" s="5" t="n"/>
      <c r="P1103" s="8" t="n"/>
      <c r="Q1103" s="8" t="n"/>
      <c r="R1103" s="11">
        <f>IF(B1103="","",IFERROR(K1103,0)+IFERROR(P1103,0)-IFERROR(Q1103,0))</f>
        <v/>
      </c>
      <c r="S1103" s="5" t="n"/>
      <c r="T1103" s="5" t="n"/>
      <c r="U1103" s="11">
        <f>IF(B1103="","",TRIM(LOWER(C1103)&amp;"|"&amp;LOWER(D1103)))</f>
        <v/>
      </c>
    </row>
    <row r="1104">
      <c r="A1104" s="11">
        <f>IF(B1104="","",TEXT(ROW()-3,"""DC-""0000"))</f>
        <v/>
      </c>
      <c r="B1104" s="5" t="n"/>
      <c r="C1104" s="5" t="n"/>
      <c r="D1104" s="5" t="n"/>
      <c r="E1104" s="5" t="n"/>
      <c r="F1104" s="5" t="n"/>
      <c r="G1104" s="5" t="n"/>
      <c r="H1104" s="8" t="n"/>
      <c r="I1104" s="8" t="n"/>
      <c r="J1104" s="8" t="n"/>
      <c r="K1104" s="11">
        <f>IF(B1104="","",MAX(0,IFERROR(I1104,0)*IFERROR(H1104,0)-IFERROR(J1104,0)))</f>
        <v/>
      </c>
      <c r="L1104" s="8" t="n"/>
      <c r="M1104" s="11">
        <f>IF(B1104="","",MAX(0,K1104-L1104))</f>
        <v/>
      </c>
      <c r="N1104" s="11">
        <f>IF(B1104="","",IF(L1104&gt;=K1104,"Paid",IF(L1104&gt;0,"Partial","Unpaid")))</f>
        <v/>
      </c>
      <c r="O1104" s="5" t="n"/>
      <c r="P1104" s="8" t="n"/>
      <c r="Q1104" s="8" t="n"/>
      <c r="R1104" s="11">
        <f>IF(B1104="","",IFERROR(K1104,0)+IFERROR(P1104,0)-IFERROR(Q1104,0))</f>
        <v/>
      </c>
      <c r="S1104" s="5" t="n"/>
      <c r="T1104" s="5" t="n"/>
      <c r="U1104" s="11">
        <f>IF(B1104="","",TRIM(LOWER(C1104)&amp;"|"&amp;LOWER(D1104)))</f>
        <v/>
      </c>
    </row>
    <row r="1105">
      <c r="A1105" s="11">
        <f>IF(B1105="","",TEXT(ROW()-3,"""DC-""0000"))</f>
        <v/>
      </c>
      <c r="B1105" s="5" t="n"/>
      <c r="C1105" s="5" t="n"/>
      <c r="D1105" s="5" t="n"/>
      <c r="E1105" s="5" t="n"/>
      <c r="F1105" s="5" t="n"/>
      <c r="G1105" s="5" t="n"/>
      <c r="H1105" s="8" t="n"/>
      <c r="I1105" s="8" t="n"/>
      <c r="J1105" s="8" t="n"/>
      <c r="K1105" s="11">
        <f>IF(B1105="","",MAX(0,IFERROR(I1105,0)*IFERROR(H1105,0)-IFERROR(J1105,0)))</f>
        <v/>
      </c>
      <c r="L1105" s="8" t="n"/>
      <c r="M1105" s="11">
        <f>IF(B1105="","",MAX(0,K1105-L1105))</f>
        <v/>
      </c>
      <c r="N1105" s="11">
        <f>IF(B1105="","",IF(L1105&gt;=K1105,"Paid",IF(L1105&gt;0,"Partial","Unpaid")))</f>
        <v/>
      </c>
      <c r="O1105" s="5" t="n"/>
      <c r="P1105" s="8" t="n"/>
      <c r="Q1105" s="8" t="n"/>
      <c r="R1105" s="11">
        <f>IF(B1105="","",IFERROR(K1105,0)+IFERROR(P1105,0)-IFERROR(Q1105,0))</f>
        <v/>
      </c>
      <c r="S1105" s="5" t="n"/>
      <c r="T1105" s="5" t="n"/>
      <c r="U1105" s="11">
        <f>IF(B1105="","",TRIM(LOWER(C1105)&amp;"|"&amp;LOWER(D1105)))</f>
        <v/>
      </c>
    </row>
    <row r="1106">
      <c r="A1106" s="11">
        <f>IF(B1106="","",TEXT(ROW()-3,"""DC-""0000"))</f>
        <v/>
      </c>
      <c r="B1106" s="5" t="n"/>
      <c r="C1106" s="5" t="n"/>
      <c r="D1106" s="5" t="n"/>
      <c r="E1106" s="5" t="n"/>
      <c r="F1106" s="5" t="n"/>
      <c r="G1106" s="5" t="n"/>
      <c r="H1106" s="8" t="n"/>
      <c r="I1106" s="8" t="n"/>
      <c r="J1106" s="8" t="n"/>
      <c r="K1106" s="11">
        <f>IF(B1106="","",MAX(0,IFERROR(I1106,0)*IFERROR(H1106,0)-IFERROR(J1106,0)))</f>
        <v/>
      </c>
      <c r="L1106" s="8" t="n"/>
      <c r="M1106" s="11">
        <f>IF(B1106="","",MAX(0,K1106-L1106))</f>
        <v/>
      </c>
      <c r="N1106" s="11">
        <f>IF(B1106="","",IF(L1106&gt;=K1106,"Paid",IF(L1106&gt;0,"Partial","Unpaid")))</f>
        <v/>
      </c>
      <c r="O1106" s="5" t="n"/>
      <c r="P1106" s="8" t="n"/>
      <c r="Q1106" s="8" t="n"/>
      <c r="R1106" s="11">
        <f>IF(B1106="","",IFERROR(K1106,0)+IFERROR(P1106,0)-IFERROR(Q1106,0))</f>
        <v/>
      </c>
      <c r="S1106" s="5" t="n"/>
      <c r="T1106" s="5" t="n"/>
      <c r="U1106" s="11">
        <f>IF(B1106="","",TRIM(LOWER(C1106)&amp;"|"&amp;LOWER(D1106)))</f>
        <v/>
      </c>
    </row>
    <row r="1107">
      <c r="A1107" s="11">
        <f>IF(B1107="","",TEXT(ROW()-3,"""DC-""0000"))</f>
        <v/>
      </c>
      <c r="B1107" s="5" t="n"/>
      <c r="C1107" s="5" t="n"/>
      <c r="D1107" s="5" t="n"/>
      <c r="E1107" s="5" t="n"/>
      <c r="F1107" s="5" t="n"/>
      <c r="G1107" s="5" t="n"/>
      <c r="H1107" s="8" t="n"/>
      <c r="I1107" s="8" t="n"/>
      <c r="J1107" s="8" t="n"/>
      <c r="K1107" s="11">
        <f>IF(B1107="","",MAX(0,IFERROR(I1107,0)*IFERROR(H1107,0)-IFERROR(J1107,0)))</f>
        <v/>
      </c>
      <c r="L1107" s="8" t="n"/>
      <c r="M1107" s="11">
        <f>IF(B1107="","",MAX(0,K1107-L1107))</f>
        <v/>
      </c>
      <c r="N1107" s="11">
        <f>IF(B1107="","",IF(L1107&gt;=K1107,"Paid",IF(L1107&gt;0,"Partial","Unpaid")))</f>
        <v/>
      </c>
      <c r="O1107" s="5" t="n"/>
      <c r="P1107" s="8" t="n"/>
      <c r="Q1107" s="8" t="n"/>
      <c r="R1107" s="11">
        <f>IF(B1107="","",IFERROR(K1107,0)+IFERROR(P1107,0)-IFERROR(Q1107,0))</f>
        <v/>
      </c>
      <c r="S1107" s="5" t="n"/>
      <c r="T1107" s="5" t="n"/>
      <c r="U1107" s="11">
        <f>IF(B1107="","",TRIM(LOWER(C1107)&amp;"|"&amp;LOWER(D1107)))</f>
        <v/>
      </c>
    </row>
    <row r="1108">
      <c r="A1108" s="11">
        <f>IF(B1108="","",TEXT(ROW()-3,"""DC-""0000"))</f>
        <v/>
      </c>
      <c r="B1108" s="5" t="n"/>
      <c r="C1108" s="5" t="n"/>
      <c r="D1108" s="5" t="n"/>
      <c r="E1108" s="5" t="n"/>
      <c r="F1108" s="5" t="n"/>
      <c r="G1108" s="5" t="n"/>
      <c r="H1108" s="8" t="n"/>
      <c r="I1108" s="8" t="n"/>
      <c r="J1108" s="8" t="n"/>
      <c r="K1108" s="11">
        <f>IF(B1108="","",MAX(0,IFERROR(I1108,0)*IFERROR(H1108,0)-IFERROR(J1108,0)))</f>
        <v/>
      </c>
      <c r="L1108" s="8" t="n"/>
      <c r="M1108" s="11">
        <f>IF(B1108="","",MAX(0,K1108-L1108))</f>
        <v/>
      </c>
      <c r="N1108" s="11">
        <f>IF(B1108="","",IF(L1108&gt;=K1108,"Paid",IF(L1108&gt;0,"Partial","Unpaid")))</f>
        <v/>
      </c>
      <c r="O1108" s="5" t="n"/>
      <c r="P1108" s="8" t="n"/>
      <c r="Q1108" s="8" t="n"/>
      <c r="R1108" s="11">
        <f>IF(B1108="","",IFERROR(K1108,0)+IFERROR(P1108,0)-IFERROR(Q1108,0))</f>
        <v/>
      </c>
      <c r="S1108" s="5" t="n"/>
      <c r="T1108" s="5" t="n"/>
      <c r="U1108" s="11">
        <f>IF(B1108="","",TRIM(LOWER(C1108)&amp;"|"&amp;LOWER(D1108)))</f>
        <v/>
      </c>
    </row>
    <row r="1109">
      <c r="A1109" s="11">
        <f>IF(B1109="","",TEXT(ROW()-3,"""DC-""0000"))</f>
        <v/>
      </c>
      <c r="B1109" s="5" t="n"/>
      <c r="C1109" s="5" t="n"/>
      <c r="D1109" s="5" t="n"/>
      <c r="E1109" s="5" t="n"/>
      <c r="F1109" s="5" t="n"/>
      <c r="G1109" s="5" t="n"/>
      <c r="H1109" s="8" t="n"/>
      <c r="I1109" s="8" t="n"/>
      <c r="J1109" s="8" t="n"/>
      <c r="K1109" s="11">
        <f>IF(B1109="","",MAX(0,IFERROR(I1109,0)*IFERROR(H1109,0)-IFERROR(J1109,0)))</f>
        <v/>
      </c>
      <c r="L1109" s="8" t="n"/>
      <c r="M1109" s="11">
        <f>IF(B1109="","",MAX(0,K1109-L1109))</f>
        <v/>
      </c>
      <c r="N1109" s="11">
        <f>IF(B1109="","",IF(L1109&gt;=K1109,"Paid",IF(L1109&gt;0,"Partial","Unpaid")))</f>
        <v/>
      </c>
      <c r="O1109" s="5" t="n"/>
      <c r="P1109" s="8" t="n"/>
      <c r="Q1109" s="8" t="n"/>
      <c r="R1109" s="11">
        <f>IF(B1109="","",IFERROR(K1109,0)+IFERROR(P1109,0)-IFERROR(Q1109,0))</f>
        <v/>
      </c>
      <c r="S1109" s="5" t="n"/>
      <c r="T1109" s="5" t="n"/>
      <c r="U1109" s="11">
        <f>IF(B1109="","",TRIM(LOWER(C1109)&amp;"|"&amp;LOWER(D1109)))</f>
        <v/>
      </c>
    </row>
    <row r="1110">
      <c r="A1110" s="11">
        <f>IF(B1110="","",TEXT(ROW()-3,"""DC-""0000"))</f>
        <v/>
      </c>
      <c r="B1110" s="5" t="n"/>
      <c r="C1110" s="5" t="n"/>
      <c r="D1110" s="5" t="n"/>
      <c r="E1110" s="5" t="n"/>
      <c r="F1110" s="5" t="n"/>
      <c r="G1110" s="5" t="n"/>
      <c r="H1110" s="8" t="n"/>
      <c r="I1110" s="8" t="n"/>
      <c r="J1110" s="8" t="n"/>
      <c r="K1110" s="11">
        <f>IF(B1110="","",MAX(0,IFERROR(I1110,0)*IFERROR(H1110,0)-IFERROR(J1110,0)))</f>
        <v/>
      </c>
      <c r="L1110" s="8" t="n"/>
      <c r="M1110" s="11">
        <f>IF(B1110="","",MAX(0,K1110-L1110))</f>
        <v/>
      </c>
      <c r="N1110" s="11">
        <f>IF(B1110="","",IF(L1110&gt;=K1110,"Paid",IF(L1110&gt;0,"Partial","Unpaid")))</f>
        <v/>
      </c>
      <c r="O1110" s="5" t="n"/>
      <c r="P1110" s="8" t="n"/>
      <c r="Q1110" s="8" t="n"/>
      <c r="R1110" s="11">
        <f>IF(B1110="","",IFERROR(K1110,0)+IFERROR(P1110,0)-IFERROR(Q1110,0))</f>
        <v/>
      </c>
      <c r="S1110" s="5" t="n"/>
      <c r="T1110" s="5" t="n"/>
      <c r="U1110" s="11">
        <f>IF(B1110="","",TRIM(LOWER(C1110)&amp;"|"&amp;LOWER(D1110)))</f>
        <v/>
      </c>
    </row>
    <row r="1111">
      <c r="A1111" s="11">
        <f>IF(B1111="","",TEXT(ROW()-3,"""DC-""0000"))</f>
        <v/>
      </c>
      <c r="B1111" s="5" t="n"/>
      <c r="C1111" s="5" t="n"/>
      <c r="D1111" s="5" t="n"/>
      <c r="E1111" s="5" t="n"/>
      <c r="F1111" s="5" t="n"/>
      <c r="G1111" s="5" t="n"/>
      <c r="H1111" s="8" t="n"/>
      <c r="I1111" s="8" t="n"/>
      <c r="J1111" s="8" t="n"/>
      <c r="K1111" s="11">
        <f>IF(B1111="","",MAX(0,IFERROR(I1111,0)*IFERROR(H1111,0)-IFERROR(J1111,0)))</f>
        <v/>
      </c>
      <c r="L1111" s="8" t="n"/>
      <c r="M1111" s="11">
        <f>IF(B1111="","",MAX(0,K1111-L1111))</f>
        <v/>
      </c>
      <c r="N1111" s="11">
        <f>IF(B1111="","",IF(L1111&gt;=K1111,"Paid",IF(L1111&gt;0,"Partial","Unpaid")))</f>
        <v/>
      </c>
      <c r="O1111" s="5" t="n"/>
      <c r="P1111" s="8" t="n"/>
      <c r="Q1111" s="8" t="n"/>
      <c r="R1111" s="11">
        <f>IF(B1111="","",IFERROR(K1111,0)+IFERROR(P1111,0)-IFERROR(Q1111,0))</f>
        <v/>
      </c>
      <c r="S1111" s="5" t="n"/>
      <c r="T1111" s="5" t="n"/>
      <c r="U1111" s="11">
        <f>IF(B1111="","",TRIM(LOWER(C1111)&amp;"|"&amp;LOWER(D1111)))</f>
        <v/>
      </c>
    </row>
    <row r="1112">
      <c r="A1112" s="11">
        <f>IF(B1112="","",TEXT(ROW()-3,"""DC-""0000"))</f>
        <v/>
      </c>
      <c r="B1112" s="5" t="n"/>
      <c r="C1112" s="5" t="n"/>
      <c r="D1112" s="5" t="n"/>
      <c r="E1112" s="5" t="n"/>
      <c r="F1112" s="5" t="n"/>
      <c r="G1112" s="5" t="n"/>
      <c r="H1112" s="8" t="n"/>
      <c r="I1112" s="8" t="n"/>
      <c r="J1112" s="8" t="n"/>
      <c r="K1112" s="11">
        <f>IF(B1112="","",MAX(0,IFERROR(I1112,0)*IFERROR(H1112,0)-IFERROR(J1112,0)))</f>
        <v/>
      </c>
      <c r="L1112" s="8" t="n"/>
      <c r="M1112" s="11">
        <f>IF(B1112="","",MAX(0,K1112-L1112))</f>
        <v/>
      </c>
      <c r="N1112" s="11">
        <f>IF(B1112="","",IF(L1112&gt;=K1112,"Paid",IF(L1112&gt;0,"Partial","Unpaid")))</f>
        <v/>
      </c>
      <c r="O1112" s="5" t="n"/>
      <c r="P1112" s="8" t="n"/>
      <c r="Q1112" s="8" t="n"/>
      <c r="R1112" s="11">
        <f>IF(B1112="","",IFERROR(K1112,0)+IFERROR(P1112,0)-IFERROR(Q1112,0))</f>
        <v/>
      </c>
      <c r="S1112" s="5" t="n"/>
      <c r="T1112" s="5" t="n"/>
      <c r="U1112" s="11">
        <f>IF(B1112="","",TRIM(LOWER(C1112)&amp;"|"&amp;LOWER(D1112)))</f>
        <v/>
      </c>
    </row>
    <row r="1113">
      <c r="A1113" s="11">
        <f>IF(B1113="","",TEXT(ROW()-3,"""DC-""0000"))</f>
        <v/>
      </c>
      <c r="B1113" s="5" t="n"/>
      <c r="C1113" s="5" t="n"/>
      <c r="D1113" s="5" t="n"/>
      <c r="E1113" s="5" t="n"/>
      <c r="F1113" s="5" t="n"/>
      <c r="G1113" s="5" t="n"/>
      <c r="H1113" s="8" t="n"/>
      <c r="I1113" s="8" t="n"/>
      <c r="J1113" s="8" t="n"/>
      <c r="K1113" s="11">
        <f>IF(B1113="","",MAX(0,IFERROR(I1113,0)*IFERROR(H1113,0)-IFERROR(J1113,0)))</f>
        <v/>
      </c>
      <c r="L1113" s="8" t="n"/>
      <c r="M1113" s="11">
        <f>IF(B1113="","",MAX(0,K1113-L1113))</f>
        <v/>
      </c>
      <c r="N1113" s="11">
        <f>IF(B1113="","",IF(L1113&gt;=K1113,"Paid",IF(L1113&gt;0,"Partial","Unpaid")))</f>
        <v/>
      </c>
      <c r="O1113" s="5" t="n"/>
      <c r="P1113" s="8" t="n"/>
      <c r="Q1113" s="8" t="n"/>
      <c r="R1113" s="11">
        <f>IF(B1113="","",IFERROR(K1113,0)+IFERROR(P1113,0)-IFERROR(Q1113,0))</f>
        <v/>
      </c>
      <c r="S1113" s="5" t="n"/>
      <c r="T1113" s="5" t="n"/>
      <c r="U1113" s="11">
        <f>IF(B1113="","",TRIM(LOWER(C1113)&amp;"|"&amp;LOWER(D1113)))</f>
        <v/>
      </c>
    </row>
    <row r="1114">
      <c r="A1114" s="11">
        <f>IF(B1114="","",TEXT(ROW()-3,"""DC-""0000"))</f>
        <v/>
      </c>
      <c r="B1114" s="5" t="n"/>
      <c r="C1114" s="5" t="n"/>
      <c r="D1114" s="5" t="n"/>
      <c r="E1114" s="5" t="n"/>
      <c r="F1114" s="5" t="n"/>
      <c r="G1114" s="5" t="n"/>
      <c r="H1114" s="8" t="n"/>
      <c r="I1114" s="8" t="n"/>
      <c r="J1114" s="8" t="n"/>
      <c r="K1114" s="11">
        <f>IF(B1114="","",MAX(0,IFERROR(I1114,0)*IFERROR(H1114,0)-IFERROR(J1114,0)))</f>
        <v/>
      </c>
      <c r="L1114" s="8" t="n"/>
      <c r="M1114" s="11">
        <f>IF(B1114="","",MAX(0,K1114-L1114))</f>
        <v/>
      </c>
      <c r="N1114" s="11">
        <f>IF(B1114="","",IF(L1114&gt;=K1114,"Paid",IF(L1114&gt;0,"Partial","Unpaid")))</f>
        <v/>
      </c>
      <c r="O1114" s="5" t="n"/>
      <c r="P1114" s="8" t="n"/>
      <c r="Q1114" s="8" t="n"/>
      <c r="R1114" s="11">
        <f>IF(B1114="","",IFERROR(K1114,0)+IFERROR(P1114,0)-IFERROR(Q1114,0))</f>
        <v/>
      </c>
      <c r="S1114" s="5" t="n"/>
      <c r="T1114" s="5" t="n"/>
      <c r="U1114" s="11">
        <f>IF(B1114="","",TRIM(LOWER(C1114)&amp;"|"&amp;LOWER(D1114)))</f>
        <v/>
      </c>
    </row>
    <row r="1115">
      <c r="A1115" s="11">
        <f>IF(B1115="","",TEXT(ROW()-3,"""DC-""0000"))</f>
        <v/>
      </c>
      <c r="B1115" s="5" t="n"/>
      <c r="C1115" s="5" t="n"/>
      <c r="D1115" s="5" t="n"/>
      <c r="E1115" s="5" t="n"/>
      <c r="F1115" s="5" t="n"/>
      <c r="G1115" s="5" t="n"/>
      <c r="H1115" s="8" t="n"/>
      <c r="I1115" s="8" t="n"/>
      <c r="J1115" s="8" t="n"/>
      <c r="K1115" s="11">
        <f>IF(B1115="","",MAX(0,IFERROR(I1115,0)*IFERROR(H1115,0)-IFERROR(J1115,0)))</f>
        <v/>
      </c>
      <c r="L1115" s="8" t="n"/>
      <c r="M1115" s="11">
        <f>IF(B1115="","",MAX(0,K1115-L1115))</f>
        <v/>
      </c>
      <c r="N1115" s="11">
        <f>IF(B1115="","",IF(L1115&gt;=K1115,"Paid",IF(L1115&gt;0,"Partial","Unpaid")))</f>
        <v/>
      </c>
      <c r="O1115" s="5" t="n"/>
      <c r="P1115" s="8" t="n"/>
      <c r="Q1115" s="8" t="n"/>
      <c r="R1115" s="11">
        <f>IF(B1115="","",IFERROR(K1115,0)+IFERROR(P1115,0)-IFERROR(Q1115,0))</f>
        <v/>
      </c>
      <c r="S1115" s="5" t="n"/>
      <c r="T1115" s="5" t="n"/>
      <c r="U1115" s="11">
        <f>IF(B1115="","",TRIM(LOWER(C1115)&amp;"|"&amp;LOWER(D1115)))</f>
        <v/>
      </c>
    </row>
    <row r="1116">
      <c r="A1116" s="11">
        <f>IF(B1116="","",TEXT(ROW()-3,"""DC-""0000"))</f>
        <v/>
      </c>
      <c r="B1116" s="5" t="n"/>
      <c r="C1116" s="5" t="n"/>
      <c r="D1116" s="5" t="n"/>
      <c r="E1116" s="5" t="n"/>
      <c r="F1116" s="5" t="n"/>
      <c r="G1116" s="5" t="n"/>
      <c r="H1116" s="8" t="n"/>
      <c r="I1116" s="8" t="n"/>
      <c r="J1116" s="8" t="n"/>
      <c r="K1116" s="11">
        <f>IF(B1116="","",MAX(0,IFERROR(I1116,0)*IFERROR(H1116,0)-IFERROR(J1116,0)))</f>
        <v/>
      </c>
      <c r="L1116" s="8" t="n"/>
      <c r="M1116" s="11">
        <f>IF(B1116="","",MAX(0,K1116-L1116))</f>
        <v/>
      </c>
      <c r="N1116" s="11">
        <f>IF(B1116="","",IF(L1116&gt;=K1116,"Paid",IF(L1116&gt;0,"Partial","Unpaid")))</f>
        <v/>
      </c>
      <c r="O1116" s="5" t="n"/>
      <c r="P1116" s="8" t="n"/>
      <c r="Q1116" s="8" t="n"/>
      <c r="R1116" s="11">
        <f>IF(B1116="","",IFERROR(K1116,0)+IFERROR(P1116,0)-IFERROR(Q1116,0))</f>
        <v/>
      </c>
      <c r="S1116" s="5" t="n"/>
      <c r="T1116" s="5" t="n"/>
      <c r="U1116" s="11">
        <f>IF(B1116="","",TRIM(LOWER(C1116)&amp;"|"&amp;LOWER(D1116)))</f>
        <v/>
      </c>
    </row>
    <row r="1117">
      <c r="A1117" s="11">
        <f>IF(B1117="","",TEXT(ROW()-3,"""DC-""0000"))</f>
        <v/>
      </c>
      <c r="B1117" s="5" t="n"/>
      <c r="C1117" s="5" t="n"/>
      <c r="D1117" s="5" t="n"/>
      <c r="E1117" s="5" t="n"/>
      <c r="F1117" s="5" t="n"/>
      <c r="G1117" s="5" t="n"/>
      <c r="H1117" s="8" t="n"/>
      <c r="I1117" s="8" t="n"/>
      <c r="J1117" s="8" t="n"/>
      <c r="K1117" s="11">
        <f>IF(B1117="","",MAX(0,IFERROR(I1117,0)*IFERROR(H1117,0)-IFERROR(J1117,0)))</f>
        <v/>
      </c>
      <c r="L1117" s="8" t="n"/>
      <c r="M1117" s="11">
        <f>IF(B1117="","",MAX(0,K1117-L1117))</f>
        <v/>
      </c>
      <c r="N1117" s="11">
        <f>IF(B1117="","",IF(L1117&gt;=K1117,"Paid",IF(L1117&gt;0,"Partial","Unpaid")))</f>
        <v/>
      </c>
      <c r="O1117" s="5" t="n"/>
      <c r="P1117" s="8" t="n"/>
      <c r="Q1117" s="8" t="n"/>
      <c r="R1117" s="11">
        <f>IF(B1117="","",IFERROR(K1117,0)+IFERROR(P1117,0)-IFERROR(Q1117,0))</f>
        <v/>
      </c>
      <c r="S1117" s="5" t="n"/>
      <c r="T1117" s="5" t="n"/>
      <c r="U1117" s="11">
        <f>IF(B1117="","",TRIM(LOWER(C1117)&amp;"|"&amp;LOWER(D1117)))</f>
        <v/>
      </c>
    </row>
    <row r="1118">
      <c r="A1118" s="11">
        <f>IF(B1118="","",TEXT(ROW()-3,"""DC-""0000"))</f>
        <v/>
      </c>
      <c r="B1118" s="5" t="n"/>
      <c r="C1118" s="5" t="n"/>
      <c r="D1118" s="5" t="n"/>
      <c r="E1118" s="5" t="n"/>
      <c r="F1118" s="5" t="n"/>
      <c r="G1118" s="5" t="n"/>
      <c r="H1118" s="8" t="n"/>
      <c r="I1118" s="8" t="n"/>
      <c r="J1118" s="8" t="n"/>
      <c r="K1118" s="11">
        <f>IF(B1118="","",MAX(0,IFERROR(I1118,0)*IFERROR(H1118,0)-IFERROR(J1118,0)))</f>
        <v/>
      </c>
      <c r="L1118" s="8" t="n"/>
      <c r="M1118" s="11">
        <f>IF(B1118="","",MAX(0,K1118-L1118))</f>
        <v/>
      </c>
      <c r="N1118" s="11">
        <f>IF(B1118="","",IF(L1118&gt;=K1118,"Paid",IF(L1118&gt;0,"Partial","Unpaid")))</f>
        <v/>
      </c>
      <c r="O1118" s="5" t="n"/>
      <c r="P1118" s="8" t="n"/>
      <c r="Q1118" s="8" t="n"/>
      <c r="R1118" s="11">
        <f>IF(B1118="","",IFERROR(K1118,0)+IFERROR(P1118,0)-IFERROR(Q1118,0))</f>
        <v/>
      </c>
      <c r="S1118" s="5" t="n"/>
      <c r="T1118" s="5" t="n"/>
      <c r="U1118" s="11">
        <f>IF(B1118="","",TRIM(LOWER(C1118)&amp;"|"&amp;LOWER(D1118)))</f>
        <v/>
      </c>
    </row>
    <row r="1119">
      <c r="A1119" s="11">
        <f>IF(B1119="","",TEXT(ROW()-3,"""DC-""0000"))</f>
        <v/>
      </c>
      <c r="B1119" s="5" t="n"/>
      <c r="C1119" s="5" t="n"/>
      <c r="D1119" s="5" t="n"/>
      <c r="E1119" s="5" t="n"/>
      <c r="F1119" s="5" t="n"/>
      <c r="G1119" s="5" t="n"/>
      <c r="H1119" s="8" t="n"/>
      <c r="I1119" s="8" t="n"/>
      <c r="J1119" s="8" t="n"/>
      <c r="K1119" s="11">
        <f>IF(B1119="","",MAX(0,IFERROR(I1119,0)*IFERROR(H1119,0)-IFERROR(J1119,0)))</f>
        <v/>
      </c>
      <c r="L1119" s="8" t="n"/>
      <c r="M1119" s="11">
        <f>IF(B1119="","",MAX(0,K1119-L1119))</f>
        <v/>
      </c>
      <c r="N1119" s="11">
        <f>IF(B1119="","",IF(L1119&gt;=K1119,"Paid",IF(L1119&gt;0,"Partial","Unpaid")))</f>
        <v/>
      </c>
      <c r="O1119" s="5" t="n"/>
      <c r="P1119" s="8" t="n"/>
      <c r="Q1119" s="8" t="n"/>
      <c r="R1119" s="11">
        <f>IF(B1119="","",IFERROR(K1119,0)+IFERROR(P1119,0)-IFERROR(Q1119,0))</f>
        <v/>
      </c>
      <c r="S1119" s="5" t="n"/>
      <c r="T1119" s="5" t="n"/>
      <c r="U1119" s="11">
        <f>IF(B1119="","",TRIM(LOWER(C1119)&amp;"|"&amp;LOWER(D1119)))</f>
        <v/>
      </c>
    </row>
    <row r="1120">
      <c r="A1120" s="11">
        <f>IF(B1120="","",TEXT(ROW()-3,"""DC-""0000"))</f>
        <v/>
      </c>
      <c r="B1120" s="5" t="n"/>
      <c r="C1120" s="5" t="n"/>
      <c r="D1120" s="5" t="n"/>
      <c r="E1120" s="5" t="n"/>
      <c r="F1120" s="5" t="n"/>
      <c r="G1120" s="5" t="n"/>
      <c r="H1120" s="8" t="n"/>
      <c r="I1120" s="8" t="n"/>
      <c r="J1120" s="8" t="n"/>
      <c r="K1120" s="11">
        <f>IF(B1120="","",MAX(0,IFERROR(I1120,0)*IFERROR(H1120,0)-IFERROR(J1120,0)))</f>
        <v/>
      </c>
      <c r="L1120" s="8" t="n"/>
      <c r="M1120" s="11">
        <f>IF(B1120="","",MAX(0,K1120-L1120))</f>
        <v/>
      </c>
      <c r="N1120" s="11">
        <f>IF(B1120="","",IF(L1120&gt;=K1120,"Paid",IF(L1120&gt;0,"Partial","Unpaid")))</f>
        <v/>
      </c>
      <c r="O1120" s="5" t="n"/>
      <c r="P1120" s="8" t="n"/>
      <c r="Q1120" s="8" t="n"/>
      <c r="R1120" s="11">
        <f>IF(B1120="","",IFERROR(K1120,0)+IFERROR(P1120,0)-IFERROR(Q1120,0))</f>
        <v/>
      </c>
      <c r="S1120" s="5" t="n"/>
      <c r="T1120" s="5" t="n"/>
      <c r="U1120" s="11">
        <f>IF(B1120="","",TRIM(LOWER(C1120)&amp;"|"&amp;LOWER(D1120)))</f>
        <v/>
      </c>
    </row>
    <row r="1121">
      <c r="A1121" s="11">
        <f>IF(B1121="","",TEXT(ROW()-3,"""DC-""0000"))</f>
        <v/>
      </c>
      <c r="B1121" s="5" t="n"/>
      <c r="C1121" s="5" t="n"/>
      <c r="D1121" s="5" t="n"/>
      <c r="E1121" s="5" t="n"/>
      <c r="F1121" s="5" t="n"/>
      <c r="G1121" s="5" t="n"/>
      <c r="H1121" s="8" t="n"/>
      <c r="I1121" s="8" t="n"/>
      <c r="J1121" s="8" t="n"/>
      <c r="K1121" s="11">
        <f>IF(B1121="","",MAX(0,IFERROR(I1121,0)*IFERROR(H1121,0)-IFERROR(J1121,0)))</f>
        <v/>
      </c>
      <c r="L1121" s="8" t="n"/>
      <c r="M1121" s="11">
        <f>IF(B1121="","",MAX(0,K1121-L1121))</f>
        <v/>
      </c>
      <c r="N1121" s="11">
        <f>IF(B1121="","",IF(L1121&gt;=K1121,"Paid",IF(L1121&gt;0,"Partial","Unpaid")))</f>
        <v/>
      </c>
      <c r="O1121" s="5" t="n"/>
      <c r="P1121" s="8" t="n"/>
      <c r="Q1121" s="8" t="n"/>
      <c r="R1121" s="11">
        <f>IF(B1121="","",IFERROR(K1121,0)+IFERROR(P1121,0)-IFERROR(Q1121,0))</f>
        <v/>
      </c>
      <c r="S1121" s="5" t="n"/>
      <c r="T1121" s="5" t="n"/>
      <c r="U1121" s="11">
        <f>IF(B1121="","",TRIM(LOWER(C1121)&amp;"|"&amp;LOWER(D1121)))</f>
        <v/>
      </c>
    </row>
    <row r="1122">
      <c r="A1122" s="11">
        <f>IF(B1122="","",TEXT(ROW()-3,"""DC-""0000"))</f>
        <v/>
      </c>
      <c r="B1122" s="5" t="n"/>
      <c r="C1122" s="5" t="n"/>
      <c r="D1122" s="5" t="n"/>
      <c r="E1122" s="5" t="n"/>
      <c r="F1122" s="5" t="n"/>
      <c r="G1122" s="5" t="n"/>
      <c r="H1122" s="8" t="n"/>
      <c r="I1122" s="8" t="n"/>
      <c r="J1122" s="8" t="n"/>
      <c r="K1122" s="11">
        <f>IF(B1122="","",MAX(0,IFERROR(I1122,0)*IFERROR(H1122,0)-IFERROR(J1122,0)))</f>
        <v/>
      </c>
      <c r="L1122" s="8" t="n"/>
      <c r="M1122" s="11">
        <f>IF(B1122="","",MAX(0,K1122-L1122))</f>
        <v/>
      </c>
      <c r="N1122" s="11">
        <f>IF(B1122="","",IF(L1122&gt;=K1122,"Paid",IF(L1122&gt;0,"Partial","Unpaid")))</f>
        <v/>
      </c>
      <c r="O1122" s="5" t="n"/>
      <c r="P1122" s="8" t="n"/>
      <c r="Q1122" s="8" t="n"/>
      <c r="R1122" s="11">
        <f>IF(B1122="","",IFERROR(K1122,0)+IFERROR(P1122,0)-IFERROR(Q1122,0))</f>
        <v/>
      </c>
      <c r="S1122" s="5" t="n"/>
      <c r="T1122" s="5" t="n"/>
      <c r="U1122" s="11">
        <f>IF(B1122="","",TRIM(LOWER(C1122)&amp;"|"&amp;LOWER(D1122)))</f>
        <v/>
      </c>
    </row>
    <row r="1123">
      <c r="A1123" s="11">
        <f>IF(B1123="","",TEXT(ROW()-3,"""DC-""0000"))</f>
        <v/>
      </c>
      <c r="B1123" s="5" t="n"/>
      <c r="C1123" s="5" t="n"/>
      <c r="D1123" s="5" t="n"/>
      <c r="E1123" s="5" t="n"/>
      <c r="F1123" s="5" t="n"/>
      <c r="G1123" s="5" t="n"/>
      <c r="H1123" s="8" t="n"/>
      <c r="I1123" s="8" t="n"/>
      <c r="J1123" s="8" t="n"/>
      <c r="K1123" s="11">
        <f>IF(B1123="","",MAX(0,IFERROR(I1123,0)*IFERROR(H1123,0)-IFERROR(J1123,0)))</f>
        <v/>
      </c>
      <c r="L1123" s="8" t="n"/>
      <c r="M1123" s="11">
        <f>IF(B1123="","",MAX(0,K1123-L1123))</f>
        <v/>
      </c>
      <c r="N1123" s="11">
        <f>IF(B1123="","",IF(L1123&gt;=K1123,"Paid",IF(L1123&gt;0,"Partial","Unpaid")))</f>
        <v/>
      </c>
      <c r="O1123" s="5" t="n"/>
      <c r="P1123" s="8" t="n"/>
      <c r="Q1123" s="8" t="n"/>
      <c r="R1123" s="11">
        <f>IF(B1123="","",IFERROR(K1123,0)+IFERROR(P1123,0)-IFERROR(Q1123,0))</f>
        <v/>
      </c>
      <c r="S1123" s="5" t="n"/>
      <c r="T1123" s="5" t="n"/>
      <c r="U1123" s="11">
        <f>IF(B1123="","",TRIM(LOWER(C1123)&amp;"|"&amp;LOWER(D1123)))</f>
        <v/>
      </c>
    </row>
    <row r="1124">
      <c r="A1124" s="11">
        <f>IF(B1124="","",TEXT(ROW()-3,"""DC-""0000"))</f>
        <v/>
      </c>
      <c r="B1124" s="5" t="n"/>
      <c r="C1124" s="5" t="n"/>
      <c r="D1124" s="5" t="n"/>
      <c r="E1124" s="5" t="n"/>
      <c r="F1124" s="5" t="n"/>
      <c r="G1124" s="5" t="n"/>
      <c r="H1124" s="8" t="n"/>
      <c r="I1124" s="8" t="n"/>
      <c r="J1124" s="8" t="n"/>
      <c r="K1124" s="11">
        <f>IF(B1124="","",MAX(0,IFERROR(I1124,0)*IFERROR(H1124,0)-IFERROR(J1124,0)))</f>
        <v/>
      </c>
      <c r="L1124" s="8" t="n"/>
      <c r="M1124" s="11">
        <f>IF(B1124="","",MAX(0,K1124-L1124))</f>
        <v/>
      </c>
      <c r="N1124" s="11">
        <f>IF(B1124="","",IF(L1124&gt;=K1124,"Paid",IF(L1124&gt;0,"Partial","Unpaid")))</f>
        <v/>
      </c>
      <c r="O1124" s="5" t="n"/>
      <c r="P1124" s="8" t="n"/>
      <c r="Q1124" s="8" t="n"/>
      <c r="R1124" s="11">
        <f>IF(B1124="","",IFERROR(K1124,0)+IFERROR(P1124,0)-IFERROR(Q1124,0))</f>
        <v/>
      </c>
      <c r="S1124" s="5" t="n"/>
      <c r="T1124" s="5" t="n"/>
      <c r="U1124" s="11">
        <f>IF(B1124="","",TRIM(LOWER(C1124)&amp;"|"&amp;LOWER(D1124)))</f>
        <v/>
      </c>
    </row>
    <row r="1125">
      <c r="A1125" s="11">
        <f>IF(B1125="","",TEXT(ROW()-3,"""DC-""0000"))</f>
        <v/>
      </c>
      <c r="B1125" s="5" t="n"/>
      <c r="C1125" s="5" t="n"/>
      <c r="D1125" s="5" t="n"/>
      <c r="E1125" s="5" t="n"/>
      <c r="F1125" s="5" t="n"/>
      <c r="G1125" s="5" t="n"/>
      <c r="H1125" s="8" t="n"/>
      <c r="I1125" s="8" t="n"/>
      <c r="J1125" s="8" t="n"/>
      <c r="K1125" s="11">
        <f>IF(B1125="","",MAX(0,IFERROR(I1125,0)*IFERROR(H1125,0)-IFERROR(J1125,0)))</f>
        <v/>
      </c>
      <c r="L1125" s="8" t="n"/>
      <c r="M1125" s="11">
        <f>IF(B1125="","",MAX(0,K1125-L1125))</f>
        <v/>
      </c>
      <c r="N1125" s="11">
        <f>IF(B1125="","",IF(L1125&gt;=K1125,"Paid",IF(L1125&gt;0,"Partial","Unpaid")))</f>
        <v/>
      </c>
      <c r="O1125" s="5" t="n"/>
      <c r="P1125" s="8" t="n"/>
      <c r="Q1125" s="8" t="n"/>
      <c r="R1125" s="11">
        <f>IF(B1125="","",IFERROR(K1125,0)+IFERROR(P1125,0)-IFERROR(Q1125,0))</f>
        <v/>
      </c>
      <c r="S1125" s="5" t="n"/>
      <c r="T1125" s="5" t="n"/>
      <c r="U1125" s="11">
        <f>IF(B1125="","",TRIM(LOWER(C1125)&amp;"|"&amp;LOWER(D1125)))</f>
        <v/>
      </c>
    </row>
    <row r="1126">
      <c r="A1126" s="11">
        <f>IF(B1126="","",TEXT(ROW()-3,"""DC-""0000"))</f>
        <v/>
      </c>
      <c r="B1126" s="5" t="n"/>
      <c r="C1126" s="5" t="n"/>
      <c r="D1126" s="5" t="n"/>
      <c r="E1126" s="5" t="n"/>
      <c r="F1126" s="5" t="n"/>
      <c r="G1126" s="5" t="n"/>
      <c r="H1126" s="8" t="n"/>
      <c r="I1126" s="8" t="n"/>
      <c r="J1126" s="8" t="n"/>
      <c r="K1126" s="11">
        <f>IF(B1126="","",MAX(0,IFERROR(I1126,0)*IFERROR(H1126,0)-IFERROR(J1126,0)))</f>
        <v/>
      </c>
      <c r="L1126" s="8" t="n"/>
      <c r="M1126" s="11">
        <f>IF(B1126="","",MAX(0,K1126-L1126))</f>
        <v/>
      </c>
      <c r="N1126" s="11">
        <f>IF(B1126="","",IF(L1126&gt;=K1126,"Paid",IF(L1126&gt;0,"Partial","Unpaid")))</f>
        <v/>
      </c>
      <c r="O1126" s="5" t="n"/>
      <c r="P1126" s="8" t="n"/>
      <c r="Q1126" s="8" t="n"/>
      <c r="R1126" s="11">
        <f>IF(B1126="","",IFERROR(K1126,0)+IFERROR(P1126,0)-IFERROR(Q1126,0))</f>
        <v/>
      </c>
      <c r="S1126" s="5" t="n"/>
      <c r="T1126" s="5" t="n"/>
      <c r="U1126" s="11">
        <f>IF(B1126="","",TRIM(LOWER(C1126)&amp;"|"&amp;LOWER(D1126)))</f>
        <v/>
      </c>
    </row>
    <row r="1127">
      <c r="A1127" s="11">
        <f>IF(B1127="","",TEXT(ROW()-3,"""DC-""0000"))</f>
        <v/>
      </c>
      <c r="B1127" s="5" t="n"/>
      <c r="C1127" s="5" t="n"/>
      <c r="D1127" s="5" t="n"/>
      <c r="E1127" s="5" t="n"/>
      <c r="F1127" s="5" t="n"/>
      <c r="G1127" s="5" t="n"/>
      <c r="H1127" s="8" t="n"/>
      <c r="I1127" s="8" t="n"/>
      <c r="J1127" s="8" t="n"/>
      <c r="K1127" s="11">
        <f>IF(B1127="","",MAX(0,IFERROR(I1127,0)*IFERROR(H1127,0)-IFERROR(J1127,0)))</f>
        <v/>
      </c>
      <c r="L1127" s="8" t="n"/>
      <c r="M1127" s="11">
        <f>IF(B1127="","",MAX(0,K1127-L1127))</f>
        <v/>
      </c>
      <c r="N1127" s="11">
        <f>IF(B1127="","",IF(L1127&gt;=K1127,"Paid",IF(L1127&gt;0,"Partial","Unpaid")))</f>
        <v/>
      </c>
      <c r="O1127" s="5" t="n"/>
      <c r="P1127" s="8" t="n"/>
      <c r="Q1127" s="8" t="n"/>
      <c r="R1127" s="11">
        <f>IF(B1127="","",IFERROR(K1127,0)+IFERROR(P1127,0)-IFERROR(Q1127,0))</f>
        <v/>
      </c>
      <c r="S1127" s="5" t="n"/>
      <c r="T1127" s="5" t="n"/>
      <c r="U1127" s="11">
        <f>IF(B1127="","",TRIM(LOWER(C1127)&amp;"|"&amp;LOWER(D1127)))</f>
        <v/>
      </c>
    </row>
    <row r="1128">
      <c r="A1128" s="11">
        <f>IF(B1128="","",TEXT(ROW()-3,"""DC-""0000"))</f>
        <v/>
      </c>
      <c r="B1128" s="5" t="n"/>
      <c r="C1128" s="5" t="n"/>
      <c r="D1128" s="5" t="n"/>
      <c r="E1128" s="5" t="n"/>
      <c r="F1128" s="5" t="n"/>
      <c r="G1128" s="5" t="n"/>
      <c r="H1128" s="8" t="n"/>
      <c r="I1128" s="8" t="n"/>
      <c r="J1128" s="8" t="n"/>
      <c r="K1128" s="11">
        <f>IF(B1128="","",MAX(0,IFERROR(I1128,0)*IFERROR(H1128,0)-IFERROR(J1128,0)))</f>
        <v/>
      </c>
      <c r="L1128" s="8" t="n"/>
      <c r="M1128" s="11">
        <f>IF(B1128="","",MAX(0,K1128-L1128))</f>
        <v/>
      </c>
      <c r="N1128" s="11">
        <f>IF(B1128="","",IF(L1128&gt;=K1128,"Paid",IF(L1128&gt;0,"Partial","Unpaid")))</f>
        <v/>
      </c>
      <c r="O1128" s="5" t="n"/>
      <c r="P1128" s="8" t="n"/>
      <c r="Q1128" s="8" t="n"/>
      <c r="R1128" s="11">
        <f>IF(B1128="","",IFERROR(K1128,0)+IFERROR(P1128,0)-IFERROR(Q1128,0))</f>
        <v/>
      </c>
      <c r="S1128" s="5" t="n"/>
      <c r="T1128" s="5" t="n"/>
      <c r="U1128" s="11">
        <f>IF(B1128="","",TRIM(LOWER(C1128)&amp;"|"&amp;LOWER(D1128)))</f>
        <v/>
      </c>
    </row>
    <row r="1129">
      <c r="A1129" s="11">
        <f>IF(B1129="","",TEXT(ROW()-3,"""DC-""0000"))</f>
        <v/>
      </c>
      <c r="B1129" s="5" t="n"/>
      <c r="C1129" s="5" t="n"/>
      <c r="D1129" s="5" t="n"/>
      <c r="E1129" s="5" t="n"/>
      <c r="F1129" s="5" t="n"/>
      <c r="G1129" s="5" t="n"/>
      <c r="H1129" s="8" t="n"/>
      <c r="I1129" s="8" t="n"/>
      <c r="J1129" s="8" t="n"/>
      <c r="K1129" s="11">
        <f>IF(B1129="","",MAX(0,IFERROR(I1129,0)*IFERROR(H1129,0)-IFERROR(J1129,0)))</f>
        <v/>
      </c>
      <c r="L1129" s="8" t="n"/>
      <c r="M1129" s="11">
        <f>IF(B1129="","",MAX(0,K1129-L1129))</f>
        <v/>
      </c>
      <c r="N1129" s="11">
        <f>IF(B1129="","",IF(L1129&gt;=K1129,"Paid",IF(L1129&gt;0,"Partial","Unpaid")))</f>
        <v/>
      </c>
      <c r="O1129" s="5" t="n"/>
      <c r="P1129" s="8" t="n"/>
      <c r="Q1129" s="8" t="n"/>
      <c r="R1129" s="11">
        <f>IF(B1129="","",IFERROR(K1129,0)+IFERROR(P1129,0)-IFERROR(Q1129,0))</f>
        <v/>
      </c>
      <c r="S1129" s="5" t="n"/>
      <c r="T1129" s="5" t="n"/>
      <c r="U1129" s="11">
        <f>IF(B1129="","",TRIM(LOWER(C1129)&amp;"|"&amp;LOWER(D1129)))</f>
        <v/>
      </c>
    </row>
    <row r="1130">
      <c r="A1130" s="11">
        <f>IF(B1130="","",TEXT(ROW()-3,"""DC-""0000"))</f>
        <v/>
      </c>
      <c r="B1130" s="5" t="n"/>
      <c r="C1130" s="5" t="n"/>
      <c r="D1130" s="5" t="n"/>
      <c r="E1130" s="5" t="n"/>
      <c r="F1130" s="5" t="n"/>
      <c r="G1130" s="5" t="n"/>
      <c r="H1130" s="8" t="n"/>
      <c r="I1130" s="8" t="n"/>
      <c r="J1130" s="8" t="n"/>
      <c r="K1130" s="11">
        <f>IF(B1130="","",MAX(0,IFERROR(I1130,0)*IFERROR(H1130,0)-IFERROR(J1130,0)))</f>
        <v/>
      </c>
      <c r="L1130" s="8" t="n"/>
      <c r="M1130" s="11">
        <f>IF(B1130="","",MAX(0,K1130-L1130))</f>
        <v/>
      </c>
      <c r="N1130" s="11">
        <f>IF(B1130="","",IF(L1130&gt;=K1130,"Paid",IF(L1130&gt;0,"Partial","Unpaid")))</f>
        <v/>
      </c>
      <c r="O1130" s="5" t="n"/>
      <c r="P1130" s="8" t="n"/>
      <c r="Q1130" s="8" t="n"/>
      <c r="R1130" s="11">
        <f>IF(B1130="","",IFERROR(K1130,0)+IFERROR(P1130,0)-IFERROR(Q1130,0))</f>
        <v/>
      </c>
      <c r="S1130" s="5" t="n"/>
      <c r="T1130" s="5" t="n"/>
      <c r="U1130" s="11">
        <f>IF(B1130="","",TRIM(LOWER(C1130)&amp;"|"&amp;LOWER(D1130)))</f>
        <v/>
      </c>
    </row>
    <row r="1131">
      <c r="A1131" s="11">
        <f>IF(B1131="","",TEXT(ROW()-3,"""DC-""0000"))</f>
        <v/>
      </c>
      <c r="B1131" s="5" t="n"/>
      <c r="C1131" s="5" t="n"/>
      <c r="D1131" s="5" t="n"/>
      <c r="E1131" s="5" t="n"/>
      <c r="F1131" s="5" t="n"/>
      <c r="G1131" s="5" t="n"/>
      <c r="H1131" s="8" t="n"/>
      <c r="I1131" s="8" t="n"/>
      <c r="J1131" s="8" t="n"/>
      <c r="K1131" s="11">
        <f>IF(B1131="","",MAX(0,IFERROR(I1131,0)*IFERROR(H1131,0)-IFERROR(J1131,0)))</f>
        <v/>
      </c>
      <c r="L1131" s="8" t="n"/>
      <c r="M1131" s="11">
        <f>IF(B1131="","",MAX(0,K1131-L1131))</f>
        <v/>
      </c>
      <c r="N1131" s="11">
        <f>IF(B1131="","",IF(L1131&gt;=K1131,"Paid",IF(L1131&gt;0,"Partial","Unpaid")))</f>
        <v/>
      </c>
      <c r="O1131" s="5" t="n"/>
      <c r="P1131" s="8" t="n"/>
      <c r="Q1131" s="8" t="n"/>
      <c r="R1131" s="11">
        <f>IF(B1131="","",IFERROR(K1131,0)+IFERROR(P1131,0)-IFERROR(Q1131,0))</f>
        <v/>
      </c>
      <c r="S1131" s="5" t="n"/>
      <c r="T1131" s="5" t="n"/>
      <c r="U1131" s="11">
        <f>IF(B1131="","",TRIM(LOWER(C1131)&amp;"|"&amp;LOWER(D1131)))</f>
        <v/>
      </c>
    </row>
    <row r="1132">
      <c r="A1132" s="11">
        <f>IF(B1132="","",TEXT(ROW()-3,"""DC-""0000"))</f>
        <v/>
      </c>
      <c r="B1132" s="5" t="n"/>
      <c r="C1132" s="5" t="n"/>
      <c r="D1132" s="5" t="n"/>
      <c r="E1132" s="5" t="n"/>
      <c r="F1132" s="5" t="n"/>
      <c r="G1132" s="5" t="n"/>
      <c r="H1132" s="8" t="n"/>
      <c r="I1132" s="8" t="n"/>
      <c r="J1132" s="8" t="n"/>
      <c r="K1132" s="11">
        <f>IF(B1132="","",MAX(0,IFERROR(I1132,0)*IFERROR(H1132,0)-IFERROR(J1132,0)))</f>
        <v/>
      </c>
      <c r="L1132" s="8" t="n"/>
      <c r="M1132" s="11">
        <f>IF(B1132="","",MAX(0,K1132-L1132))</f>
        <v/>
      </c>
      <c r="N1132" s="11">
        <f>IF(B1132="","",IF(L1132&gt;=K1132,"Paid",IF(L1132&gt;0,"Partial","Unpaid")))</f>
        <v/>
      </c>
      <c r="O1132" s="5" t="n"/>
      <c r="P1132" s="8" t="n"/>
      <c r="Q1132" s="8" t="n"/>
      <c r="R1132" s="11">
        <f>IF(B1132="","",IFERROR(K1132,0)+IFERROR(P1132,0)-IFERROR(Q1132,0))</f>
        <v/>
      </c>
      <c r="S1132" s="5" t="n"/>
      <c r="T1132" s="5" t="n"/>
      <c r="U1132" s="11">
        <f>IF(B1132="","",TRIM(LOWER(C1132)&amp;"|"&amp;LOWER(D1132)))</f>
        <v/>
      </c>
    </row>
    <row r="1133">
      <c r="A1133" s="11">
        <f>IF(B1133="","",TEXT(ROW()-3,"""DC-""0000"))</f>
        <v/>
      </c>
      <c r="B1133" s="5" t="n"/>
      <c r="C1133" s="5" t="n"/>
      <c r="D1133" s="5" t="n"/>
      <c r="E1133" s="5" t="n"/>
      <c r="F1133" s="5" t="n"/>
      <c r="G1133" s="5" t="n"/>
      <c r="H1133" s="8" t="n"/>
      <c r="I1133" s="8" t="n"/>
      <c r="J1133" s="8" t="n"/>
      <c r="K1133" s="11">
        <f>IF(B1133="","",MAX(0,IFERROR(I1133,0)*IFERROR(H1133,0)-IFERROR(J1133,0)))</f>
        <v/>
      </c>
      <c r="L1133" s="8" t="n"/>
      <c r="M1133" s="11">
        <f>IF(B1133="","",MAX(0,K1133-L1133))</f>
        <v/>
      </c>
      <c r="N1133" s="11">
        <f>IF(B1133="","",IF(L1133&gt;=K1133,"Paid",IF(L1133&gt;0,"Partial","Unpaid")))</f>
        <v/>
      </c>
      <c r="O1133" s="5" t="n"/>
      <c r="P1133" s="8" t="n"/>
      <c r="Q1133" s="8" t="n"/>
      <c r="R1133" s="11">
        <f>IF(B1133="","",IFERROR(K1133,0)+IFERROR(P1133,0)-IFERROR(Q1133,0))</f>
        <v/>
      </c>
      <c r="S1133" s="5" t="n"/>
      <c r="T1133" s="5" t="n"/>
      <c r="U1133" s="11">
        <f>IF(B1133="","",TRIM(LOWER(C1133)&amp;"|"&amp;LOWER(D1133)))</f>
        <v/>
      </c>
    </row>
    <row r="1134">
      <c r="A1134" s="11">
        <f>IF(B1134="","",TEXT(ROW()-3,"""DC-""0000"))</f>
        <v/>
      </c>
      <c r="B1134" s="5" t="n"/>
      <c r="C1134" s="5" t="n"/>
      <c r="D1134" s="5" t="n"/>
      <c r="E1134" s="5" t="n"/>
      <c r="F1134" s="5" t="n"/>
      <c r="G1134" s="5" t="n"/>
      <c r="H1134" s="8" t="n"/>
      <c r="I1134" s="8" t="n"/>
      <c r="J1134" s="8" t="n"/>
      <c r="K1134" s="11">
        <f>IF(B1134="","",MAX(0,IFERROR(I1134,0)*IFERROR(H1134,0)-IFERROR(J1134,0)))</f>
        <v/>
      </c>
      <c r="L1134" s="8" t="n"/>
      <c r="M1134" s="11">
        <f>IF(B1134="","",MAX(0,K1134-L1134))</f>
        <v/>
      </c>
      <c r="N1134" s="11">
        <f>IF(B1134="","",IF(L1134&gt;=K1134,"Paid",IF(L1134&gt;0,"Partial","Unpaid")))</f>
        <v/>
      </c>
      <c r="O1134" s="5" t="n"/>
      <c r="P1134" s="8" t="n"/>
      <c r="Q1134" s="8" t="n"/>
      <c r="R1134" s="11">
        <f>IF(B1134="","",IFERROR(K1134,0)+IFERROR(P1134,0)-IFERROR(Q1134,0))</f>
        <v/>
      </c>
      <c r="S1134" s="5" t="n"/>
      <c r="T1134" s="5" t="n"/>
      <c r="U1134" s="11">
        <f>IF(B1134="","",TRIM(LOWER(C1134)&amp;"|"&amp;LOWER(D1134)))</f>
        <v/>
      </c>
    </row>
    <row r="1135">
      <c r="A1135" s="11">
        <f>IF(B1135="","",TEXT(ROW()-3,"""DC-""0000"))</f>
        <v/>
      </c>
      <c r="B1135" s="5" t="n"/>
      <c r="C1135" s="5" t="n"/>
      <c r="D1135" s="5" t="n"/>
      <c r="E1135" s="5" t="n"/>
      <c r="F1135" s="5" t="n"/>
      <c r="G1135" s="5" t="n"/>
      <c r="H1135" s="8" t="n"/>
      <c r="I1135" s="8" t="n"/>
      <c r="J1135" s="8" t="n"/>
      <c r="K1135" s="11">
        <f>IF(B1135="","",MAX(0,IFERROR(I1135,0)*IFERROR(H1135,0)-IFERROR(J1135,0)))</f>
        <v/>
      </c>
      <c r="L1135" s="8" t="n"/>
      <c r="M1135" s="11">
        <f>IF(B1135="","",MAX(0,K1135-L1135))</f>
        <v/>
      </c>
      <c r="N1135" s="11">
        <f>IF(B1135="","",IF(L1135&gt;=K1135,"Paid",IF(L1135&gt;0,"Partial","Unpaid")))</f>
        <v/>
      </c>
      <c r="O1135" s="5" t="n"/>
      <c r="P1135" s="8" t="n"/>
      <c r="Q1135" s="8" t="n"/>
      <c r="R1135" s="11">
        <f>IF(B1135="","",IFERROR(K1135,0)+IFERROR(P1135,0)-IFERROR(Q1135,0))</f>
        <v/>
      </c>
      <c r="S1135" s="5" t="n"/>
      <c r="T1135" s="5" t="n"/>
      <c r="U1135" s="11">
        <f>IF(B1135="","",TRIM(LOWER(C1135)&amp;"|"&amp;LOWER(D1135)))</f>
        <v/>
      </c>
    </row>
    <row r="1136">
      <c r="A1136" s="11">
        <f>IF(B1136="","",TEXT(ROW()-3,"""DC-""0000"))</f>
        <v/>
      </c>
      <c r="B1136" s="5" t="n"/>
      <c r="C1136" s="5" t="n"/>
      <c r="D1136" s="5" t="n"/>
      <c r="E1136" s="5" t="n"/>
      <c r="F1136" s="5" t="n"/>
      <c r="G1136" s="5" t="n"/>
      <c r="H1136" s="8" t="n"/>
      <c r="I1136" s="8" t="n"/>
      <c r="J1136" s="8" t="n"/>
      <c r="K1136" s="11">
        <f>IF(B1136="","",MAX(0,IFERROR(I1136,0)*IFERROR(H1136,0)-IFERROR(J1136,0)))</f>
        <v/>
      </c>
      <c r="L1136" s="8" t="n"/>
      <c r="M1136" s="11">
        <f>IF(B1136="","",MAX(0,K1136-L1136))</f>
        <v/>
      </c>
      <c r="N1136" s="11">
        <f>IF(B1136="","",IF(L1136&gt;=K1136,"Paid",IF(L1136&gt;0,"Partial","Unpaid")))</f>
        <v/>
      </c>
      <c r="O1136" s="5" t="n"/>
      <c r="P1136" s="8" t="n"/>
      <c r="Q1136" s="8" t="n"/>
      <c r="R1136" s="11">
        <f>IF(B1136="","",IFERROR(K1136,0)+IFERROR(P1136,0)-IFERROR(Q1136,0))</f>
        <v/>
      </c>
      <c r="S1136" s="5" t="n"/>
      <c r="T1136" s="5" t="n"/>
      <c r="U1136" s="11">
        <f>IF(B1136="","",TRIM(LOWER(C1136)&amp;"|"&amp;LOWER(D1136)))</f>
        <v/>
      </c>
    </row>
    <row r="1137">
      <c r="A1137" s="11">
        <f>IF(B1137="","",TEXT(ROW()-3,"""DC-""0000"))</f>
        <v/>
      </c>
      <c r="B1137" s="5" t="n"/>
      <c r="C1137" s="5" t="n"/>
      <c r="D1137" s="5" t="n"/>
      <c r="E1137" s="5" t="n"/>
      <c r="F1137" s="5" t="n"/>
      <c r="G1137" s="5" t="n"/>
      <c r="H1137" s="8" t="n"/>
      <c r="I1137" s="8" t="n"/>
      <c r="J1137" s="8" t="n"/>
      <c r="K1137" s="11">
        <f>IF(B1137="","",MAX(0,IFERROR(I1137,0)*IFERROR(H1137,0)-IFERROR(J1137,0)))</f>
        <v/>
      </c>
      <c r="L1137" s="8" t="n"/>
      <c r="M1137" s="11">
        <f>IF(B1137="","",MAX(0,K1137-L1137))</f>
        <v/>
      </c>
      <c r="N1137" s="11">
        <f>IF(B1137="","",IF(L1137&gt;=K1137,"Paid",IF(L1137&gt;0,"Partial","Unpaid")))</f>
        <v/>
      </c>
      <c r="O1137" s="5" t="n"/>
      <c r="P1137" s="8" t="n"/>
      <c r="Q1137" s="8" t="n"/>
      <c r="R1137" s="11">
        <f>IF(B1137="","",IFERROR(K1137,0)+IFERROR(P1137,0)-IFERROR(Q1137,0))</f>
        <v/>
      </c>
      <c r="S1137" s="5" t="n"/>
      <c r="T1137" s="5" t="n"/>
      <c r="U1137" s="11">
        <f>IF(B1137="","",TRIM(LOWER(C1137)&amp;"|"&amp;LOWER(D1137)))</f>
        <v/>
      </c>
    </row>
    <row r="1138">
      <c r="A1138" s="11">
        <f>IF(B1138="","",TEXT(ROW()-3,"""DC-""0000"))</f>
        <v/>
      </c>
      <c r="B1138" s="5" t="n"/>
      <c r="C1138" s="5" t="n"/>
      <c r="D1138" s="5" t="n"/>
      <c r="E1138" s="5" t="n"/>
      <c r="F1138" s="5" t="n"/>
      <c r="G1138" s="5" t="n"/>
      <c r="H1138" s="8" t="n"/>
      <c r="I1138" s="8" t="n"/>
      <c r="J1138" s="8" t="n"/>
      <c r="K1138" s="11">
        <f>IF(B1138="","",MAX(0,IFERROR(I1138,0)*IFERROR(H1138,0)-IFERROR(J1138,0)))</f>
        <v/>
      </c>
      <c r="L1138" s="8" t="n"/>
      <c r="M1138" s="11">
        <f>IF(B1138="","",MAX(0,K1138-L1138))</f>
        <v/>
      </c>
      <c r="N1138" s="11">
        <f>IF(B1138="","",IF(L1138&gt;=K1138,"Paid",IF(L1138&gt;0,"Partial","Unpaid")))</f>
        <v/>
      </c>
      <c r="O1138" s="5" t="n"/>
      <c r="P1138" s="8" t="n"/>
      <c r="Q1138" s="8" t="n"/>
      <c r="R1138" s="11">
        <f>IF(B1138="","",IFERROR(K1138,0)+IFERROR(P1138,0)-IFERROR(Q1138,0))</f>
        <v/>
      </c>
      <c r="S1138" s="5" t="n"/>
      <c r="T1138" s="5" t="n"/>
      <c r="U1138" s="11">
        <f>IF(B1138="","",TRIM(LOWER(C1138)&amp;"|"&amp;LOWER(D1138)))</f>
        <v/>
      </c>
    </row>
    <row r="1139">
      <c r="A1139" s="11">
        <f>IF(B1139="","",TEXT(ROW()-3,"""DC-""0000"))</f>
        <v/>
      </c>
      <c r="B1139" s="5" t="n"/>
      <c r="C1139" s="5" t="n"/>
      <c r="D1139" s="5" t="n"/>
      <c r="E1139" s="5" t="n"/>
      <c r="F1139" s="5" t="n"/>
      <c r="G1139" s="5" t="n"/>
      <c r="H1139" s="8" t="n"/>
      <c r="I1139" s="8" t="n"/>
      <c r="J1139" s="8" t="n"/>
      <c r="K1139" s="11">
        <f>IF(B1139="","",MAX(0,IFERROR(I1139,0)*IFERROR(H1139,0)-IFERROR(J1139,0)))</f>
        <v/>
      </c>
      <c r="L1139" s="8" t="n"/>
      <c r="M1139" s="11">
        <f>IF(B1139="","",MAX(0,K1139-L1139))</f>
        <v/>
      </c>
      <c r="N1139" s="11">
        <f>IF(B1139="","",IF(L1139&gt;=K1139,"Paid",IF(L1139&gt;0,"Partial","Unpaid")))</f>
        <v/>
      </c>
      <c r="O1139" s="5" t="n"/>
      <c r="P1139" s="8" t="n"/>
      <c r="Q1139" s="8" t="n"/>
      <c r="R1139" s="11">
        <f>IF(B1139="","",IFERROR(K1139,0)+IFERROR(P1139,0)-IFERROR(Q1139,0))</f>
        <v/>
      </c>
      <c r="S1139" s="5" t="n"/>
      <c r="T1139" s="5" t="n"/>
      <c r="U1139" s="11">
        <f>IF(B1139="","",TRIM(LOWER(C1139)&amp;"|"&amp;LOWER(D1139)))</f>
        <v/>
      </c>
    </row>
    <row r="1140">
      <c r="A1140" s="11">
        <f>IF(B1140="","",TEXT(ROW()-3,"""DC-""0000"))</f>
        <v/>
      </c>
      <c r="B1140" s="5" t="n"/>
      <c r="C1140" s="5" t="n"/>
      <c r="D1140" s="5" t="n"/>
      <c r="E1140" s="5" t="n"/>
      <c r="F1140" s="5" t="n"/>
      <c r="G1140" s="5" t="n"/>
      <c r="H1140" s="8" t="n"/>
      <c r="I1140" s="8" t="n"/>
      <c r="J1140" s="8" t="n"/>
      <c r="K1140" s="11">
        <f>IF(B1140="","",MAX(0,IFERROR(I1140,0)*IFERROR(H1140,0)-IFERROR(J1140,0)))</f>
        <v/>
      </c>
      <c r="L1140" s="8" t="n"/>
      <c r="M1140" s="11">
        <f>IF(B1140="","",MAX(0,K1140-L1140))</f>
        <v/>
      </c>
      <c r="N1140" s="11">
        <f>IF(B1140="","",IF(L1140&gt;=K1140,"Paid",IF(L1140&gt;0,"Partial","Unpaid")))</f>
        <v/>
      </c>
      <c r="O1140" s="5" t="n"/>
      <c r="P1140" s="8" t="n"/>
      <c r="Q1140" s="8" t="n"/>
      <c r="R1140" s="11">
        <f>IF(B1140="","",IFERROR(K1140,0)+IFERROR(P1140,0)-IFERROR(Q1140,0))</f>
        <v/>
      </c>
      <c r="S1140" s="5" t="n"/>
      <c r="T1140" s="5" t="n"/>
      <c r="U1140" s="11">
        <f>IF(B1140="","",TRIM(LOWER(C1140)&amp;"|"&amp;LOWER(D1140)))</f>
        <v/>
      </c>
    </row>
    <row r="1141">
      <c r="A1141" s="11">
        <f>IF(B1141="","",TEXT(ROW()-3,"""DC-""0000"))</f>
        <v/>
      </c>
      <c r="B1141" s="5" t="n"/>
      <c r="C1141" s="5" t="n"/>
      <c r="D1141" s="5" t="n"/>
      <c r="E1141" s="5" t="n"/>
      <c r="F1141" s="5" t="n"/>
      <c r="G1141" s="5" t="n"/>
      <c r="H1141" s="8" t="n"/>
      <c r="I1141" s="8" t="n"/>
      <c r="J1141" s="8" t="n"/>
      <c r="K1141" s="11">
        <f>IF(B1141="","",MAX(0,IFERROR(I1141,0)*IFERROR(H1141,0)-IFERROR(J1141,0)))</f>
        <v/>
      </c>
      <c r="L1141" s="8" t="n"/>
      <c r="M1141" s="11">
        <f>IF(B1141="","",MAX(0,K1141-L1141))</f>
        <v/>
      </c>
      <c r="N1141" s="11">
        <f>IF(B1141="","",IF(L1141&gt;=K1141,"Paid",IF(L1141&gt;0,"Partial","Unpaid")))</f>
        <v/>
      </c>
      <c r="O1141" s="5" t="n"/>
      <c r="P1141" s="8" t="n"/>
      <c r="Q1141" s="8" t="n"/>
      <c r="R1141" s="11">
        <f>IF(B1141="","",IFERROR(K1141,0)+IFERROR(P1141,0)-IFERROR(Q1141,0))</f>
        <v/>
      </c>
      <c r="S1141" s="5" t="n"/>
      <c r="T1141" s="5" t="n"/>
      <c r="U1141" s="11">
        <f>IF(B1141="","",TRIM(LOWER(C1141)&amp;"|"&amp;LOWER(D1141)))</f>
        <v/>
      </c>
    </row>
    <row r="1142">
      <c r="A1142" s="11">
        <f>IF(B1142="","",TEXT(ROW()-3,"""DC-""0000"))</f>
        <v/>
      </c>
      <c r="B1142" s="5" t="n"/>
      <c r="C1142" s="5" t="n"/>
      <c r="D1142" s="5" t="n"/>
      <c r="E1142" s="5" t="n"/>
      <c r="F1142" s="5" t="n"/>
      <c r="G1142" s="5" t="n"/>
      <c r="H1142" s="8" t="n"/>
      <c r="I1142" s="8" t="n"/>
      <c r="J1142" s="8" t="n"/>
      <c r="K1142" s="11">
        <f>IF(B1142="","",MAX(0,IFERROR(I1142,0)*IFERROR(H1142,0)-IFERROR(J1142,0)))</f>
        <v/>
      </c>
      <c r="L1142" s="8" t="n"/>
      <c r="M1142" s="11">
        <f>IF(B1142="","",MAX(0,K1142-L1142))</f>
        <v/>
      </c>
      <c r="N1142" s="11">
        <f>IF(B1142="","",IF(L1142&gt;=K1142,"Paid",IF(L1142&gt;0,"Partial","Unpaid")))</f>
        <v/>
      </c>
      <c r="O1142" s="5" t="n"/>
      <c r="P1142" s="8" t="n"/>
      <c r="Q1142" s="8" t="n"/>
      <c r="R1142" s="11">
        <f>IF(B1142="","",IFERROR(K1142,0)+IFERROR(P1142,0)-IFERROR(Q1142,0))</f>
        <v/>
      </c>
      <c r="S1142" s="5" t="n"/>
      <c r="T1142" s="5" t="n"/>
      <c r="U1142" s="11">
        <f>IF(B1142="","",TRIM(LOWER(C1142)&amp;"|"&amp;LOWER(D1142)))</f>
        <v/>
      </c>
    </row>
    <row r="1143">
      <c r="A1143" s="11">
        <f>IF(B1143="","",TEXT(ROW()-3,"""DC-""0000"))</f>
        <v/>
      </c>
      <c r="B1143" s="5" t="n"/>
      <c r="C1143" s="5" t="n"/>
      <c r="D1143" s="5" t="n"/>
      <c r="E1143" s="5" t="n"/>
      <c r="F1143" s="5" t="n"/>
      <c r="G1143" s="5" t="n"/>
      <c r="H1143" s="8" t="n"/>
      <c r="I1143" s="8" t="n"/>
      <c r="J1143" s="8" t="n"/>
      <c r="K1143" s="11">
        <f>IF(B1143="","",MAX(0,IFERROR(I1143,0)*IFERROR(H1143,0)-IFERROR(J1143,0)))</f>
        <v/>
      </c>
      <c r="L1143" s="8" t="n"/>
      <c r="M1143" s="11">
        <f>IF(B1143="","",MAX(0,K1143-L1143))</f>
        <v/>
      </c>
      <c r="N1143" s="11">
        <f>IF(B1143="","",IF(L1143&gt;=K1143,"Paid",IF(L1143&gt;0,"Partial","Unpaid")))</f>
        <v/>
      </c>
      <c r="O1143" s="5" t="n"/>
      <c r="P1143" s="8" t="n"/>
      <c r="Q1143" s="8" t="n"/>
      <c r="R1143" s="11">
        <f>IF(B1143="","",IFERROR(K1143,0)+IFERROR(P1143,0)-IFERROR(Q1143,0))</f>
        <v/>
      </c>
      <c r="S1143" s="5" t="n"/>
      <c r="T1143" s="5" t="n"/>
      <c r="U1143" s="11">
        <f>IF(B1143="","",TRIM(LOWER(C1143)&amp;"|"&amp;LOWER(D1143)))</f>
        <v/>
      </c>
    </row>
    <row r="1144">
      <c r="A1144" s="11">
        <f>IF(B1144="","",TEXT(ROW()-3,"""DC-""0000"))</f>
        <v/>
      </c>
      <c r="B1144" s="5" t="n"/>
      <c r="C1144" s="5" t="n"/>
      <c r="D1144" s="5" t="n"/>
      <c r="E1144" s="5" t="n"/>
      <c r="F1144" s="5" t="n"/>
      <c r="G1144" s="5" t="n"/>
      <c r="H1144" s="8" t="n"/>
      <c r="I1144" s="8" t="n"/>
      <c r="J1144" s="8" t="n"/>
      <c r="K1144" s="11">
        <f>IF(B1144="","",MAX(0,IFERROR(I1144,0)*IFERROR(H1144,0)-IFERROR(J1144,0)))</f>
        <v/>
      </c>
      <c r="L1144" s="8" t="n"/>
      <c r="M1144" s="11">
        <f>IF(B1144="","",MAX(0,K1144-L1144))</f>
        <v/>
      </c>
      <c r="N1144" s="11">
        <f>IF(B1144="","",IF(L1144&gt;=K1144,"Paid",IF(L1144&gt;0,"Partial","Unpaid")))</f>
        <v/>
      </c>
      <c r="O1144" s="5" t="n"/>
      <c r="P1144" s="8" t="n"/>
      <c r="Q1144" s="8" t="n"/>
      <c r="R1144" s="11">
        <f>IF(B1144="","",IFERROR(K1144,0)+IFERROR(P1144,0)-IFERROR(Q1144,0))</f>
        <v/>
      </c>
      <c r="S1144" s="5" t="n"/>
      <c r="T1144" s="5" t="n"/>
      <c r="U1144" s="11">
        <f>IF(B1144="","",TRIM(LOWER(C1144)&amp;"|"&amp;LOWER(D1144)))</f>
        <v/>
      </c>
    </row>
    <row r="1145">
      <c r="A1145" s="11">
        <f>IF(B1145="","",TEXT(ROW()-3,"""DC-""0000"))</f>
        <v/>
      </c>
      <c r="B1145" s="5" t="n"/>
      <c r="C1145" s="5" t="n"/>
      <c r="D1145" s="5" t="n"/>
      <c r="E1145" s="5" t="n"/>
      <c r="F1145" s="5" t="n"/>
      <c r="G1145" s="5" t="n"/>
      <c r="H1145" s="8" t="n"/>
      <c r="I1145" s="8" t="n"/>
      <c r="J1145" s="8" t="n"/>
      <c r="K1145" s="11">
        <f>IF(B1145="","",MAX(0,IFERROR(I1145,0)*IFERROR(H1145,0)-IFERROR(J1145,0)))</f>
        <v/>
      </c>
      <c r="L1145" s="8" t="n"/>
      <c r="M1145" s="11">
        <f>IF(B1145="","",MAX(0,K1145-L1145))</f>
        <v/>
      </c>
      <c r="N1145" s="11">
        <f>IF(B1145="","",IF(L1145&gt;=K1145,"Paid",IF(L1145&gt;0,"Partial","Unpaid")))</f>
        <v/>
      </c>
      <c r="O1145" s="5" t="n"/>
      <c r="P1145" s="8" t="n"/>
      <c r="Q1145" s="8" t="n"/>
      <c r="R1145" s="11">
        <f>IF(B1145="","",IFERROR(K1145,0)+IFERROR(P1145,0)-IFERROR(Q1145,0))</f>
        <v/>
      </c>
      <c r="S1145" s="5" t="n"/>
      <c r="T1145" s="5" t="n"/>
      <c r="U1145" s="11">
        <f>IF(B1145="","",TRIM(LOWER(C1145)&amp;"|"&amp;LOWER(D1145)))</f>
        <v/>
      </c>
    </row>
    <row r="1146">
      <c r="A1146" s="11">
        <f>IF(B1146="","",TEXT(ROW()-3,"""DC-""0000"))</f>
        <v/>
      </c>
      <c r="B1146" s="5" t="n"/>
      <c r="C1146" s="5" t="n"/>
      <c r="D1146" s="5" t="n"/>
      <c r="E1146" s="5" t="n"/>
      <c r="F1146" s="5" t="n"/>
      <c r="G1146" s="5" t="n"/>
      <c r="H1146" s="8" t="n"/>
      <c r="I1146" s="8" t="n"/>
      <c r="J1146" s="8" t="n"/>
      <c r="K1146" s="11">
        <f>IF(B1146="","",MAX(0,IFERROR(I1146,0)*IFERROR(H1146,0)-IFERROR(J1146,0)))</f>
        <v/>
      </c>
      <c r="L1146" s="8" t="n"/>
      <c r="M1146" s="11">
        <f>IF(B1146="","",MAX(0,K1146-L1146))</f>
        <v/>
      </c>
      <c r="N1146" s="11">
        <f>IF(B1146="","",IF(L1146&gt;=K1146,"Paid",IF(L1146&gt;0,"Partial","Unpaid")))</f>
        <v/>
      </c>
      <c r="O1146" s="5" t="n"/>
      <c r="P1146" s="8" t="n"/>
      <c r="Q1146" s="8" t="n"/>
      <c r="R1146" s="11">
        <f>IF(B1146="","",IFERROR(K1146,0)+IFERROR(P1146,0)-IFERROR(Q1146,0))</f>
        <v/>
      </c>
      <c r="S1146" s="5" t="n"/>
      <c r="T1146" s="5" t="n"/>
      <c r="U1146" s="11">
        <f>IF(B1146="","",TRIM(LOWER(C1146)&amp;"|"&amp;LOWER(D1146)))</f>
        <v/>
      </c>
    </row>
    <row r="1147">
      <c r="A1147" s="11">
        <f>IF(B1147="","",TEXT(ROW()-3,"""DC-""0000"))</f>
        <v/>
      </c>
      <c r="B1147" s="5" t="n"/>
      <c r="C1147" s="5" t="n"/>
      <c r="D1147" s="5" t="n"/>
      <c r="E1147" s="5" t="n"/>
      <c r="F1147" s="5" t="n"/>
      <c r="G1147" s="5" t="n"/>
      <c r="H1147" s="8" t="n"/>
      <c r="I1147" s="8" t="n"/>
      <c r="J1147" s="8" t="n"/>
      <c r="K1147" s="11">
        <f>IF(B1147="","",MAX(0,IFERROR(I1147,0)*IFERROR(H1147,0)-IFERROR(J1147,0)))</f>
        <v/>
      </c>
      <c r="L1147" s="8" t="n"/>
      <c r="M1147" s="11">
        <f>IF(B1147="","",MAX(0,K1147-L1147))</f>
        <v/>
      </c>
      <c r="N1147" s="11">
        <f>IF(B1147="","",IF(L1147&gt;=K1147,"Paid",IF(L1147&gt;0,"Partial","Unpaid")))</f>
        <v/>
      </c>
      <c r="O1147" s="5" t="n"/>
      <c r="P1147" s="8" t="n"/>
      <c r="Q1147" s="8" t="n"/>
      <c r="R1147" s="11">
        <f>IF(B1147="","",IFERROR(K1147,0)+IFERROR(P1147,0)-IFERROR(Q1147,0))</f>
        <v/>
      </c>
      <c r="S1147" s="5" t="n"/>
      <c r="T1147" s="5" t="n"/>
      <c r="U1147" s="11">
        <f>IF(B1147="","",TRIM(LOWER(C1147)&amp;"|"&amp;LOWER(D1147)))</f>
        <v/>
      </c>
    </row>
    <row r="1148">
      <c r="A1148" s="11">
        <f>IF(B1148="","",TEXT(ROW()-3,"""DC-""0000"))</f>
        <v/>
      </c>
      <c r="B1148" s="5" t="n"/>
      <c r="C1148" s="5" t="n"/>
      <c r="D1148" s="5" t="n"/>
      <c r="E1148" s="5" t="n"/>
      <c r="F1148" s="5" t="n"/>
      <c r="G1148" s="5" t="n"/>
      <c r="H1148" s="8" t="n"/>
      <c r="I1148" s="8" t="n"/>
      <c r="J1148" s="8" t="n"/>
      <c r="K1148" s="11">
        <f>IF(B1148="","",MAX(0,IFERROR(I1148,0)*IFERROR(H1148,0)-IFERROR(J1148,0)))</f>
        <v/>
      </c>
      <c r="L1148" s="8" t="n"/>
      <c r="M1148" s="11">
        <f>IF(B1148="","",MAX(0,K1148-L1148))</f>
        <v/>
      </c>
      <c r="N1148" s="11">
        <f>IF(B1148="","",IF(L1148&gt;=K1148,"Paid",IF(L1148&gt;0,"Partial","Unpaid")))</f>
        <v/>
      </c>
      <c r="O1148" s="5" t="n"/>
      <c r="P1148" s="8" t="n"/>
      <c r="Q1148" s="8" t="n"/>
      <c r="R1148" s="11">
        <f>IF(B1148="","",IFERROR(K1148,0)+IFERROR(P1148,0)-IFERROR(Q1148,0))</f>
        <v/>
      </c>
      <c r="S1148" s="5" t="n"/>
      <c r="T1148" s="5" t="n"/>
      <c r="U1148" s="11">
        <f>IF(B1148="","",TRIM(LOWER(C1148)&amp;"|"&amp;LOWER(D1148)))</f>
        <v/>
      </c>
    </row>
    <row r="1149">
      <c r="A1149" s="11">
        <f>IF(B1149="","",TEXT(ROW()-3,"""DC-""0000"))</f>
        <v/>
      </c>
      <c r="B1149" s="5" t="n"/>
      <c r="C1149" s="5" t="n"/>
      <c r="D1149" s="5" t="n"/>
      <c r="E1149" s="5" t="n"/>
      <c r="F1149" s="5" t="n"/>
      <c r="G1149" s="5" t="n"/>
      <c r="H1149" s="8" t="n"/>
      <c r="I1149" s="8" t="n"/>
      <c r="J1149" s="8" t="n"/>
      <c r="K1149" s="11">
        <f>IF(B1149="","",MAX(0,IFERROR(I1149,0)*IFERROR(H1149,0)-IFERROR(J1149,0)))</f>
        <v/>
      </c>
      <c r="L1149" s="8" t="n"/>
      <c r="M1149" s="11">
        <f>IF(B1149="","",MAX(0,K1149-L1149))</f>
        <v/>
      </c>
      <c r="N1149" s="11">
        <f>IF(B1149="","",IF(L1149&gt;=K1149,"Paid",IF(L1149&gt;0,"Partial","Unpaid")))</f>
        <v/>
      </c>
      <c r="O1149" s="5" t="n"/>
      <c r="P1149" s="8" t="n"/>
      <c r="Q1149" s="8" t="n"/>
      <c r="R1149" s="11">
        <f>IF(B1149="","",IFERROR(K1149,0)+IFERROR(P1149,0)-IFERROR(Q1149,0))</f>
        <v/>
      </c>
      <c r="S1149" s="5" t="n"/>
      <c r="T1149" s="5" t="n"/>
      <c r="U1149" s="11">
        <f>IF(B1149="","",TRIM(LOWER(C1149)&amp;"|"&amp;LOWER(D1149)))</f>
        <v/>
      </c>
    </row>
    <row r="1150">
      <c r="A1150" s="11">
        <f>IF(B1150="","",TEXT(ROW()-3,"""DC-""0000"))</f>
        <v/>
      </c>
      <c r="B1150" s="5" t="n"/>
      <c r="C1150" s="5" t="n"/>
      <c r="D1150" s="5" t="n"/>
      <c r="E1150" s="5" t="n"/>
      <c r="F1150" s="5" t="n"/>
      <c r="G1150" s="5" t="n"/>
      <c r="H1150" s="8" t="n"/>
      <c r="I1150" s="8" t="n"/>
      <c r="J1150" s="8" t="n"/>
      <c r="K1150" s="11">
        <f>IF(B1150="","",MAX(0,IFERROR(I1150,0)*IFERROR(H1150,0)-IFERROR(J1150,0)))</f>
        <v/>
      </c>
      <c r="L1150" s="8" t="n"/>
      <c r="M1150" s="11">
        <f>IF(B1150="","",MAX(0,K1150-L1150))</f>
        <v/>
      </c>
      <c r="N1150" s="11">
        <f>IF(B1150="","",IF(L1150&gt;=K1150,"Paid",IF(L1150&gt;0,"Partial","Unpaid")))</f>
        <v/>
      </c>
      <c r="O1150" s="5" t="n"/>
      <c r="P1150" s="8" t="n"/>
      <c r="Q1150" s="8" t="n"/>
      <c r="R1150" s="11">
        <f>IF(B1150="","",IFERROR(K1150,0)+IFERROR(P1150,0)-IFERROR(Q1150,0))</f>
        <v/>
      </c>
      <c r="S1150" s="5" t="n"/>
      <c r="T1150" s="5" t="n"/>
      <c r="U1150" s="11">
        <f>IF(B1150="","",TRIM(LOWER(C1150)&amp;"|"&amp;LOWER(D1150)))</f>
        <v/>
      </c>
    </row>
    <row r="1151">
      <c r="A1151" s="11">
        <f>IF(B1151="","",TEXT(ROW()-3,"""DC-""0000"))</f>
        <v/>
      </c>
      <c r="B1151" s="5" t="n"/>
      <c r="C1151" s="5" t="n"/>
      <c r="D1151" s="5" t="n"/>
      <c r="E1151" s="5" t="n"/>
      <c r="F1151" s="5" t="n"/>
      <c r="G1151" s="5" t="n"/>
      <c r="H1151" s="8" t="n"/>
      <c r="I1151" s="8" t="n"/>
      <c r="J1151" s="8" t="n"/>
      <c r="K1151" s="11">
        <f>IF(B1151="","",MAX(0,IFERROR(I1151,0)*IFERROR(H1151,0)-IFERROR(J1151,0)))</f>
        <v/>
      </c>
      <c r="L1151" s="8" t="n"/>
      <c r="M1151" s="11">
        <f>IF(B1151="","",MAX(0,K1151-L1151))</f>
        <v/>
      </c>
      <c r="N1151" s="11">
        <f>IF(B1151="","",IF(L1151&gt;=K1151,"Paid",IF(L1151&gt;0,"Partial","Unpaid")))</f>
        <v/>
      </c>
      <c r="O1151" s="5" t="n"/>
      <c r="P1151" s="8" t="n"/>
      <c r="Q1151" s="8" t="n"/>
      <c r="R1151" s="11">
        <f>IF(B1151="","",IFERROR(K1151,0)+IFERROR(P1151,0)-IFERROR(Q1151,0))</f>
        <v/>
      </c>
      <c r="S1151" s="5" t="n"/>
      <c r="T1151" s="5" t="n"/>
      <c r="U1151" s="11">
        <f>IF(B1151="","",TRIM(LOWER(C1151)&amp;"|"&amp;LOWER(D1151)))</f>
        <v/>
      </c>
    </row>
    <row r="1152">
      <c r="A1152" s="11">
        <f>IF(B1152="","",TEXT(ROW()-3,"""DC-""0000"))</f>
        <v/>
      </c>
      <c r="B1152" s="5" t="n"/>
      <c r="C1152" s="5" t="n"/>
      <c r="D1152" s="5" t="n"/>
      <c r="E1152" s="5" t="n"/>
      <c r="F1152" s="5" t="n"/>
      <c r="G1152" s="5" t="n"/>
      <c r="H1152" s="8" t="n"/>
      <c r="I1152" s="8" t="n"/>
      <c r="J1152" s="8" t="n"/>
      <c r="K1152" s="11">
        <f>IF(B1152="","",MAX(0,IFERROR(I1152,0)*IFERROR(H1152,0)-IFERROR(J1152,0)))</f>
        <v/>
      </c>
      <c r="L1152" s="8" t="n"/>
      <c r="M1152" s="11">
        <f>IF(B1152="","",MAX(0,K1152-L1152))</f>
        <v/>
      </c>
      <c r="N1152" s="11">
        <f>IF(B1152="","",IF(L1152&gt;=K1152,"Paid",IF(L1152&gt;0,"Partial","Unpaid")))</f>
        <v/>
      </c>
      <c r="O1152" s="5" t="n"/>
      <c r="P1152" s="8" t="n"/>
      <c r="Q1152" s="8" t="n"/>
      <c r="R1152" s="11">
        <f>IF(B1152="","",IFERROR(K1152,0)+IFERROR(P1152,0)-IFERROR(Q1152,0))</f>
        <v/>
      </c>
      <c r="S1152" s="5" t="n"/>
      <c r="T1152" s="5" t="n"/>
      <c r="U1152" s="11">
        <f>IF(B1152="","",TRIM(LOWER(C1152)&amp;"|"&amp;LOWER(D1152)))</f>
        <v/>
      </c>
    </row>
    <row r="1153">
      <c r="A1153" s="11">
        <f>IF(B1153="","",TEXT(ROW()-3,"""DC-""0000"))</f>
        <v/>
      </c>
      <c r="B1153" s="5" t="n"/>
      <c r="C1153" s="5" t="n"/>
      <c r="D1153" s="5" t="n"/>
      <c r="E1153" s="5" t="n"/>
      <c r="F1153" s="5" t="n"/>
      <c r="G1153" s="5" t="n"/>
      <c r="H1153" s="8" t="n"/>
      <c r="I1153" s="8" t="n"/>
      <c r="J1153" s="8" t="n"/>
      <c r="K1153" s="11">
        <f>IF(B1153="","",MAX(0,IFERROR(I1153,0)*IFERROR(H1153,0)-IFERROR(J1153,0)))</f>
        <v/>
      </c>
      <c r="L1153" s="8" t="n"/>
      <c r="M1153" s="11">
        <f>IF(B1153="","",MAX(0,K1153-L1153))</f>
        <v/>
      </c>
      <c r="N1153" s="11">
        <f>IF(B1153="","",IF(L1153&gt;=K1153,"Paid",IF(L1153&gt;0,"Partial","Unpaid")))</f>
        <v/>
      </c>
      <c r="O1153" s="5" t="n"/>
      <c r="P1153" s="8" t="n"/>
      <c r="Q1153" s="8" t="n"/>
      <c r="R1153" s="11">
        <f>IF(B1153="","",IFERROR(K1153,0)+IFERROR(P1153,0)-IFERROR(Q1153,0))</f>
        <v/>
      </c>
      <c r="S1153" s="5" t="n"/>
      <c r="T1153" s="5" t="n"/>
      <c r="U1153" s="11">
        <f>IF(B1153="","",TRIM(LOWER(C1153)&amp;"|"&amp;LOWER(D1153)))</f>
        <v/>
      </c>
    </row>
    <row r="1154">
      <c r="A1154" s="11">
        <f>IF(B1154="","",TEXT(ROW()-3,"""DC-""0000"))</f>
        <v/>
      </c>
      <c r="B1154" s="5" t="n"/>
      <c r="C1154" s="5" t="n"/>
      <c r="D1154" s="5" t="n"/>
      <c r="E1154" s="5" t="n"/>
      <c r="F1154" s="5" t="n"/>
      <c r="G1154" s="5" t="n"/>
      <c r="H1154" s="8" t="n"/>
      <c r="I1154" s="8" t="n"/>
      <c r="J1154" s="8" t="n"/>
      <c r="K1154" s="11">
        <f>IF(B1154="","",MAX(0,IFERROR(I1154,0)*IFERROR(H1154,0)-IFERROR(J1154,0)))</f>
        <v/>
      </c>
      <c r="L1154" s="8" t="n"/>
      <c r="M1154" s="11">
        <f>IF(B1154="","",MAX(0,K1154-L1154))</f>
        <v/>
      </c>
      <c r="N1154" s="11">
        <f>IF(B1154="","",IF(L1154&gt;=K1154,"Paid",IF(L1154&gt;0,"Partial","Unpaid")))</f>
        <v/>
      </c>
      <c r="O1154" s="5" t="n"/>
      <c r="P1154" s="8" t="n"/>
      <c r="Q1154" s="8" t="n"/>
      <c r="R1154" s="11">
        <f>IF(B1154="","",IFERROR(K1154,0)+IFERROR(P1154,0)-IFERROR(Q1154,0))</f>
        <v/>
      </c>
      <c r="S1154" s="5" t="n"/>
      <c r="T1154" s="5" t="n"/>
      <c r="U1154" s="11">
        <f>IF(B1154="","",TRIM(LOWER(C1154)&amp;"|"&amp;LOWER(D1154)))</f>
        <v/>
      </c>
    </row>
    <row r="1155">
      <c r="A1155" s="11">
        <f>IF(B1155="","",TEXT(ROW()-3,"""DC-""0000"))</f>
        <v/>
      </c>
      <c r="B1155" s="5" t="n"/>
      <c r="C1155" s="5" t="n"/>
      <c r="D1155" s="5" t="n"/>
      <c r="E1155" s="5" t="n"/>
      <c r="F1155" s="5" t="n"/>
      <c r="G1155" s="5" t="n"/>
      <c r="H1155" s="8" t="n"/>
      <c r="I1155" s="8" t="n"/>
      <c r="J1155" s="8" t="n"/>
      <c r="K1155" s="11">
        <f>IF(B1155="","",MAX(0,IFERROR(I1155,0)*IFERROR(H1155,0)-IFERROR(J1155,0)))</f>
        <v/>
      </c>
      <c r="L1155" s="8" t="n"/>
      <c r="M1155" s="11">
        <f>IF(B1155="","",MAX(0,K1155-L1155))</f>
        <v/>
      </c>
      <c r="N1155" s="11">
        <f>IF(B1155="","",IF(L1155&gt;=K1155,"Paid",IF(L1155&gt;0,"Partial","Unpaid")))</f>
        <v/>
      </c>
      <c r="O1155" s="5" t="n"/>
      <c r="P1155" s="8" t="n"/>
      <c r="Q1155" s="8" t="n"/>
      <c r="R1155" s="11">
        <f>IF(B1155="","",IFERROR(K1155,0)+IFERROR(P1155,0)-IFERROR(Q1155,0))</f>
        <v/>
      </c>
      <c r="S1155" s="5" t="n"/>
      <c r="T1155" s="5" t="n"/>
      <c r="U1155" s="11">
        <f>IF(B1155="","",TRIM(LOWER(C1155)&amp;"|"&amp;LOWER(D1155)))</f>
        <v/>
      </c>
    </row>
    <row r="1156">
      <c r="A1156" s="11">
        <f>IF(B1156="","",TEXT(ROW()-3,"""DC-""0000"))</f>
        <v/>
      </c>
      <c r="B1156" s="5" t="n"/>
      <c r="C1156" s="5" t="n"/>
      <c r="D1156" s="5" t="n"/>
      <c r="E1156" s="5" t="n"/>
      <c r="F1156" s="5" t="n"/>
      <c r="G1156" s="5" t="n"/>
      <c r="H1156" s="8" t="n"/>
      <c r="I1156" s="8" t="n"/>
      <c r="J1156" s="8" t="n"/>
      <c r="K1156" s="11">
        <f>IF(B1156="","",MAX(0,IFERROR(I1156,0)*IFERROR(H1156,0)-IFERROR(J1156,0)))</f>
        <v/>
      </c>
      <c r="L1156" s="8" t="n"/>
      <c r="M1156" s="11">
        <f>IF(B1156="","",MAX(0,K1156-L1156))</f>
        <v/>
      </c>
      <c r="N1156" s="11">
        <f>IF(B1156="","",IF(L1156&gt;=K1156,"Paid",IF(L1156&gt;0,"Partial","Unpaid")))</f>
        <v/>
      </c>
      <c r="O1156" s="5" t="n"/>
      <c r="P1156" s="8" t="n"/>
      <c r="Q1156" s="8" t="n"/>
      <c r="R1156" s="11">
        <f>IF(B1156="","",IFERROR(K1156,0)+IFERROR(P1156,0)-IFERROR(Q1156,0))</f>
        <v/>
      </c>
      <c r="S1156" s="5" t="n"/>
      <c r="T1156" s="5" t="n"/>
      <c r="U1156" s="11">
        <f>IF(B1156="","",TRIM(LOWER(C1156)&amp;"|"&amp;LOWER(D1156)))</f>
        <v/>
      </c>
    </row>
    <row r="1157">
      <c r="A1157" s="11">
        <f>IF(B1157="","",TEXT(ROW()-3,"""DC-""0000"))</f>
        <v/>
      </c>
      <c r="B1157" s="5" t="n"/>
      <c r="C1157" s="5" t="n"/>
      <c r="D1157" s="5" t="n"/>
      <c r="E1157" s="5" t="n"/>
      <c r="F1157" s="5" t="n"/>
      <c r="G1157" s="5" t="n"/>
      <c r="H1157" s="8" t="n"/>
      <c r="I1157" s="8" t="n"/>
      <c r="J1157" s="8" t="n"/>
      <c r="K1157" s="11">
        <f>IF(B1157="","",MAX(0,IFERROR(I1157,0)*IFERROR(H1157,0)-IFERROR(J1157,0)))</f>
        <v/>
      </c>
      <c r="L1157" s="8" t="n"/>
      <c r="M1157" s="11">
        <f>IF(B1157="","",MAX(0,K1157-L1157))</f>
        <v/>
      </c>
      <c r="N1157" s="11">
        <f>IF(B1157="","",IF(L1157&gt;=K1157,"Paid",IF(L1157&gt;0,"Partial","Unpaid")))</f>
        <v/>
      </c>
      <c r="O1157" s="5" t="n"/>
      <c r="P1157" s="8" t="n"/>
      <c r="Q1157" s="8" t="n"/>
      <c r="R1157" s="11">
        <f>IF(B1157="","",IFERROR(K1157,0)+IFERROR(P1157,0)-IFERROR(Q1157,0))</f>
        <v/>
      </c>
      <c r="S1157" s="5" t="n"/>
      <c r="T1157" s="5" t="n"/>
      <c r="U1157" s="11">
        <f>IF(B1157="","",TRIM(LOWER(C1157)&amp;"|"&amp;LOWER(D1157)))</f>
        <v/>
      </c>
    </row>
    <row r="1158">
      <c r="A1158" s="11">
        <f>IF(B1158="","",TEXT(ROW()-3,"""DC-""0000"))</f>
        <v/>
      </c>
      <c r="B1158" s="5" t="n"/>
      <c r="C1158" s="5" t="n"/>
      <c r="D1158" s="5" t="n"/>
      <c r="E1158" s="5" t="n"/>
      <c r="F1158" s="5" t="n"/>
      <c r="G1158" s="5" t="n"/>
      <c r="H1158" s="8" t="n"/>
      <c r="I1158" s="8" t="n"/>
      <c r="J1158" s="8" t="n"/>
      <c r="K1158" s="11">
        <f>IF(B1158="","",MAX(0,IFERROR(I1158,0)*IFERROR(H1158,0)-IFERROR(J1158,0)))</f>
        <v/>
      </c>
      <c r="L1158" s="8" t="n"/>
      <c r="M1158" s="11">
        <f>IF(B1158="","",MAX(0,K1158-L1158))</f>
        <v/>
      </c>
      <c r="N1158" s="11">
        <f>IF(B1158="","",IF(L1158&gt;=K1158,"Paid",IF(L1158&gt;0,"Partial","Unpaid")))</f>
        <v/>
      </c>
      <c r="O1158" s="5" t="n"/>
      <c r="P1158" s="8" t="n"/>
      <c r="Q1158" s="8" t="n"/>
      <c r="R1158" s="11">
        <f>IF(B1158="","",IFERROR(K1158,0)+IFERROR(P1158,0)-IFERROR(Q1158,0))</f>
        <v/>
      </c>
      <c r="S1158" s="5" t="n"/>
      <c r="T1158" s="5" t="n"/>
      <c r="U1158" s="11">
        <f>IF(B1158="","",TRIM(LOWER(C1158)&amp;"|"&amp;LOWER(D1158)))</f>
        <v/>
      </c>
    </row>
    <row r="1159">
      <c r="A1159" s="11">
        <f>IF(B1159="","",TEXT(ROW()-3,"""DC-""0000"))</f>
        <v/>
      </c>
      <c r="B1159" s="5" t="n"/>
      <c r="C1159" s="5" t="n"/>
      <c r="D1159" s="5" t="n"/>
      <c r="E1159" s="5" t="n"/>
      <c r="F1159" s="5" t="n"/>
      <c r="G1159" s="5" t="n"/>
      <c r="H1159" s="8" t="n"/>
      <c r="I1159" s="8" t="n"/>
      <c r="J1159" s="8" t="n"/>
      <c r="K1159" s="11">
        <f>IF(B1159="","",MAX(0,IFERROR(I1159,0)*IFERROR(H1159,0)-IFERROR(J1159,0)))</f>
        <v/>
      </c>
      <c r="L1159" s="8" t="n"/>
      <c r="M1159" s="11">
        <f>IF(B1159="","",MAX(0,K1159-L1159))</f>
        <v/>
      </c>
      <c r="N1159" s="11">
        <f>IF(B1159="","",IF(L1159&gt;=K1159,"Paid",IF(L1159&gt;0,"Partial","Unpaid")))</f>
        <v/>
      </c>
      <c r="O1159" s="5" t="n"/>
      <c r="P1159" s="8" t="n"/>
      <c r="Q1159" s="8" t="n"/>
      <c r="R1159" s="11">
        <f>IF(B1159="","",IFERROR(K1159,0)+IFERROR(P1159,0)-IFERROR(Q1159,0))</f>
        <v/>
      </c>
      <c r="S1159" s="5" t="n"/>
      <c r="T1159" s="5" t="n"/>
      <c r="U1159" s="11">
        <f>IF(B1159="","",TRIM(LOWER(C1159)&amp;"|"&amp;LOWER(D1159)))</f>
        <v/>
      </c>
    </row>
    <row r="1160">
      <c r="A1160" s="11">
        <f>IF(B1160="","",TEXT(ROW()-3,"""DC-""0000"))</f>
        <v/>
      </c>
      <c r="B1160" s="5" t="n"/>
      <c r="C1160" s="5" t="n"/>
      <c r="D1160" s="5" t="n"/>
      <c r="E1160" s="5" t="n"/>
      <c r="F1160" s="5" t="n"/>
      <c r="G1160" s="5" t="n"/>
      <c r="H1160" s="8" t="n"/>
      <c r="I1160" s="8" t="n"/>
      <c r="J1160" s="8" t="n"/>
      <c r="K1160" s="11">
        <f>IF(B1160="","",MAX(0,IFERROR(I1160,0)*IFERROR(H1160,0)-IFERROR(J1160,0)))</f>
        <v/>
      </c>
      <c r="L1160" s="8" t="n"/>
      <c r="M1160" s="11">
        <f>IF(B1160="","",MAX(0,K1160-L1160))</f>
        <v/>
      </c>
      <c r="N1160" s="11">
        <f>IF(B1160="","",IF(L1160&gt;=K1160,"Paid",IF(L1160&gt;0,"Partial","Unpaid")))</f>
        <v/>
      </c>
      <c r="O1160" s="5" t="n"/>
      <c r="P1160" s="8" t="n"/>
      <c r="Q1160" s="8" t="n"/>
      <c r="R1160" s="11">
        <f>IF(B1160="","",IFERROR(K1160,0)+IFERROR(P1160,0)-IFERROR(Q1160,0))</f>
        <v/>
      </c>
      <c r="S1160" s="5" t="n"/>
      <c r="T1160" s="5" t="n"/>
      <c r="U1160" s="11">
        <f>IF(B1160="","",TRIM(LOWER(C1160)&amp;"|"&amp;LOWER(D1160)))</f>
        <v/>
      </c>
    </row>
    <row r="1161">
      <c r="A1161" s="11">
        <f>IF(B1161="","",TEXT(ROW()-3,"""DC-""0000"))</f>
        <v/>
      </c>
      <c r="B1161" s="5" t="n"/>
      <c r="C1161" s="5" t="n"/>
      <c r="D1161" s="5" t="n"/>
      <c r="E1161" s="5" t="n"/>
      <c r="F1161" s="5" t="n"/>
      <c r="G1161" s="5" t="n"/>
      <c r="H1161" s="8" t="n"/>
      <c r="I1161" s="8" t="n"/>
      <c r="J1161" s="8" t="n"/>
      <c r="K1161" s="11">
        <f>IF(B1161="","",MAX(0,IFERROR(I1161,0)*IFERROR(H1161,0)-IFERROR(J1161,0)))</f>
        <v/>
      </c>
      <c r="L1161" s="8" t="n"/>
      <c r="M1161" s="11">
        <f>IF(B1161="","",MAX(0,K1161-L1161))</f>
        <v/>
      </c>
      <c r="N1161" s="11">
        <f>IF(B1161="","",IF(L1161&gt;=K1161,"Paid",IF(L1161&gt;0,"Partial","Unpaid")))</f>
        <v/>
      </c>
      <c r="O1161" s="5" t="n"/>
      <c r="P1161" s="8" t="n"/>
      <c r="Q1161" s="8" t="n"/>
      <c r="R1161" s="11">
        <f>IF(B1161="","",IFERROR(K1161,0)+IFERROR(P1161,0)-IFERROR(Q1161,0))</f>
        <v/>
      </c>
      <c r="S1161" s="5" t="n"/>
      <c r="T1161" s="5" t="n"/>
      <c r="U1161" s="11">
        <f>IF(B1161="","",TRIM(LOWER(C1161)&amp;"|"&amp;LOWER(D1161)))</f>
        <v/>
      </c>
    </row>
    <row r="1162">
      <c r="A1162" s="11">
        <f>IF(B1162="","",TEXT(ROW()-3,"""DC-""0000"))</f>
        <v/>
      </c>
      <c r="B1162" s="5" t="n"/>
      <c r="C1162" s="5" t="n"/>
      <c r="D1162" s="5" t="n"/>
      <c r="E1162" s="5" t="n"/>
      <c r="F1162" s="5" t="n"/>
      <c r="G1162" s="5" t="n"/>
      <c r="H1162" s="8" t="n"/>
      <c r="I1162" s="8" t="n"/>
      <c r="J1162" s="8" t="n"/>
      <c r="K1162" s="11">
        <f>IF(B1162="","",MAX(0,IFERROR(I1162,0)*IFERROR(H1162,0)-IFERROR(J1162,0)))</f>
        <v/>
      </c>
      <c r="L1162" s="8" t="n"/>
      <c r="M1162" s="11">
        <f>IF(B1162="","",MAX(0,K1162-L1162))</f>
        <v/>
      </c>
      <c r="N1162" s="11">
        <f>IF(B1162="","",IF(L1162&gt;=K1162,"Paid",IF(L1162&gt;0,"Partial","Unpaid")))</f>
        <v/>
      </c>
      <c r="O1162" s="5" t="n"/>
      <c r="P1162" s="8" t="n"/>
      <c r="Q1162" s="8" t="n"/>
      <c r="R1162" s="11">
        <f>IF(B1162="","",IFERROR(K1162,0)+IFERROR(P1162,0)-IFERROR(Q1162,0))</f>
        <v/>
      </c>
      <c r="S1162" s="5" t="n"/>
      <c r="T1162" s="5" t="n"/>
      <c r="U1162" s="11">
        <f>IF(B1162="","",TRIM(LOWER(C1162)&amp;"|"&amp;LOWER(D1162)))</f>
        <v/>
      </c>
    </row>
    <row r="1163">
      <c r="A1163" s="11">
        <f>IF(B1163="","",TEXT(ROW()-3,"""DC-""0000"))</f>
        <v/>
      </c>
      <c r="B1163" s="5" t="n"/>
      <c r="C1163" s="5" t="n"/>
      <c r="D1163" s="5" t="n"/>
      <c r="E1163" s="5" t="n"/>
      <c r="F1163" s="5" t="n"/>
      <c r="G1163" s="5" t="n"/>
      <c r="H1163" s="8" t="n"/>
      <c r="I1163" s="8" t="n"/>
      <c r="J1163" s="8" t="n"/>
      <c r="K1163" s="11">
        <f>IF(B1163="","",MAX(0,IFERROR(I1163,0)*IFERROR(H1163,0)-IFERROR(J1163,0)))</f>
        <v/>
      </c>
      <c r="L1163" s="8" t="n"/>
      <c r="M1163" s="11">
        <f>IF(B1163="","",MAX(0,K1163-L1163))</f>
        <v/>
      </c>
      <c r="N1163" s="11">
        <f>IF(B1163="","",IF(L1163&gt;=K1163,"Paid",IF(L1163&gt;0,"Partial","Unpaid")))</f>
        <v/>
      </c>
      <c r="O1163" s="5" t="n"/>
      <c r="P1163" s="8" t="n"/>
      <c r="Q1163" s="8" t="n"/>
      <c r="R1163" s="11">
        <f>IF(B1163="","",IFERROR(K1163,0)+IFERROR(P1163,0)-IFERROR(Q1163,0))</f>
        <v/>
      </c>
      <c r="S1163" s="5" t="n"/>
      <c r="T1163" s="5" t="n"/>
      <c r="U1163" s="11">
        <f>IF(B1163="","",TRIM(LOWER(C1163)&amp;"|"&amp;LOWER(D1163)))</f>
        <v/>
      </c>
    </row>
    <row r="1164">
      <c r="A1164" s="11">
        <f>IF(B1164="","",TEXT(ROW()-3,"""DC-""0000"))</f>
        <v/>
      </c>
      <c r="B1164" s="5" t="n"/>
      <c r="C1164" s="5" t="n"/>
      <c r="D1164" s="5" t="n"/>
      <c r="E1164" s="5" t="n"/>
      <c r="F1164" s="5" t="n"/>
      <c r="G1164" s="5" t="n"/>
      <c r="H1164" s="8" t="n"/>
      <c r="I1164" s="8" t="n"/>
      <c r="J1164" s="8" t="n"/>
      <c r="K1164" s="11">
        <f>IF(B1164="","",MAX(0,IFERROR(I1164,0)*IFERROR(H1164,0)-IFERROR(J1164,0)))</f>
        <v/>
      </c>
      <c r="L1164" s="8" t="n"/>
      <c r="M1164" s="11">
        <f>IF(B1164="","",MAX(0,K1164-L1164))</f>
        <v/>
      </c>
      <c r="N1164" s="11">
        <f>IF(B1164="","",IF(L1164&gt;=K1164,"Paid",IF(L1164&gt;0,"Partial","Unpaid")))</f>
        <v/>
      </c>
      <c r="O1164" s="5" t="n"/>
      <c r="P1164" s="8" t="n"/>
      <c r="Q1164" s="8" t="n"/>
      <c r="R1164" s="11">
        <f>IF(B1164="","",IFERROR(K1164,0)+IFERROR(P1164,0)-IFERROR(Q1164,0))</f>
        <v/>
      </c>
      <c r="S1164" s="5" t="n"/>
      <c r="T1164" s="5" t="n"/>
      <c r="U1164" s="11">
        <f>IF(B1164="","",TRIM(LOWER(C1164)&amp;"|"&amp;LOWER(D1164)))</f>
        <v/>
      </c>
    </row>
    <row r="1165">
      <c r="A1165" s="11">
        <f>IF(B1165="","",TEXT(ROW()-3,"""DC-""0000"))</f>
        <v/>
      </c>
      <c r="B1165" s="5" t="n"/>
      <c r="C1165" s="5" t="n"/>
      <c r="D1165" s="5" t="n"/>
      <c r="E1165" s="5" t="n"/>
      <c r="F1165" s="5" t="n"/>
      <c r="G1165" s="5" t="n"/>
      <c r="H1165" s="8" t="n"/>
      <c r="I1165" s="8" t="n"/>
      <c r="J1165" s="8" t="n"/>
      <c r="K1165" s="11">
        <f>IF(B1165="","",MAX(0,IFERROR(I1165,0)*IFERROR(H1165,0)-IFERROR(J1165,0)))</f>
        <v/>
      </c>
      <c r="L1165" s="8" t="n"/>
      <c r="M1165" s="11">
        <f>IF(B1165="","",MAX(0,K1165-L1165))</f>
        <v/>
      </c>
      <c r="N1165" s="11">
        <f>IF(B1165="","",IF(L1165&gt;=K1165,"Paid",IF(L1165&gt;0,"Partial","Unpaid")))</f>
        <v/>
      </c>
      <c r="O1165" s="5" t="n"/>
      <c r="P1165" s="8" t="n"/>
      <c r="Q1165" s="8" t="n"/>
      <c r="R1165" s="11">
        <f>IF(B1165="","",IFERROR(K1165,0)+IFERROR(P1165,0)-IFERROR(Q1165,0))</f>
        <v/>
      </c>
      <c r="S1165" s="5" t="n"/>
      <c r="T1165" s="5" t="n"/>
      <c r="U1165" s="11">
        <f>IF(B1165="","",TRIM(LOWER(C1165)&amp;"|"&amp;LOWER(D1165)))</f>
        <v/>
      </c>
    </row>
    <row r="1166">
      <c r="A1166" s="11">
        <f>IF(B1166="","",TEXT(ROW()-3,"""DC-""0000"))</f>
        <v/>
      </c>
      <c r="B1166" s="5" t="n"/>
      <c r="C1166" s="5" t="n"/>
      <c r="D1166" s="5" t="n"/>
      <c r="E1166" s="5" t="n"/>
      <c r="F1166" s="5" t="n"/>
      <c r="G1166" s="5" t="n"/>
      <c r="H1166" s="8" t="n"/>
      <c r="I1166" s="8" t="n"/>
      <c r="J1166" s="8" t="n"/>
      <c r="K1166" s="11">
        <f>IF(B1166="","",MAX(0,IFERROR(I1166,0)*IFERROR(H1166,0)-IFERROR(J1166,0)))</f>
        <v/>
      </c>
      <c r="L1166" s="8" t="n"/>
      <c r="M1166" s="11">
        <f>IF(B1166="","",MAX(0,K1166-L1166))</f>
        <v/>
      </c>
      <c r="N1166" s="11">
        <f>IF(B1166="","",IF(L1166&gt;=K1166,"Paid",IF(L1166&gt;0,"Partial","Unpaid")))</f>
        <v/>
      </c>
      <c r="O1166" s="5" t="n"/>
      <c r="P1166" s="8" t="n"/>
      <c r="Q1166" s="8" t="n"/>
      <c r="R1166" s="11">
        <f>IF(B1166="","",IFERROR(K1166,0)+IFERROR(P1166,0)-IFERROR(Q1166,0))</f>
        <v/>
      </c>
      <c r="S1166" s="5" t="n"/>
      <c r="T1166" s="5" t="n"/>
      <c r="U1166" s="11">
        <f>IF(B1166="","",TRIM(LOWER(C1166)&amp;"|"&amp;LOWER(D1166)))</f>
        <v/>
      </c>
    </row>
    <row r="1167">
      <c r="A1167" s="11">
        <f>IF(B1167="","",TEXT(ROW()-3,"""DC-""0000"))</f>
        <v/>
      </c>
      <c r="B1167" s="5" t="n"/>
      <c r="C1167" s="5" t="n"/>
      <c r="D1167" s="5" t="n"/>
      <c r="E1167" s="5" t="n"/>
      <c r="F1167" s="5" t="n"/>
      <c r="G1167" s="5" t="n"/>
      <c r="H1167" s="8" t="n"/>
      <c r="I1167" s="8" t="n"/>
      <c r="J1167" s="8" t="n"/>
      <c r="K1167" s="11">
        <f>IF(B1167="","",MAX(0,IFERROR(I1167,0)*IFERROR(H1167,0)-IFERROR(J1167,0)))</f>
        <v/>
      </c>
      <c r="L1167" s="8" t="n"/>
      <c r="M1167" s="11">
        <f>IF(B1167="","",MAX(0,K1167-L1167))</f>
        <v/>
      </c>
      <c r="N1167" s="11">
        <f>IF(B1167="","",IF(L1167&gt;=K1167,"Paid",IF(L1167&gt;0,"Partial","Unpaid")))</f>
        <v/>
      </c>
      <c r="O1167" s="5" t="n"/>
      <c r="P1167" s="8" t="n"/>
      <c r="Q1167" s="8" t="n"/>
      <c r="R1167" s="11">
        <f>IF(B1167="","",IFERROR(K1167,0)+IFERROR(P1167,0)-IFERROR(Q1167,0))</f>
        <v/>
      </c>
      <c r="S1167" s="5" t="n"/>
      <c r="T1167" s="5" t="n"/>
      <c r="U1167" s="11">
        <f>IF(B1167="","",TRIM(LOWER(C1167)&amp;"|"&amp;LOWER(D1167)))</f>
        <v/>
      </c>
    </row>
    <row r="1168">
      <c r="A1168" s="11">
        <f>IF(B1168="","",TEXT(ROW()-3,"""DC-""0000"))</f>
        <v/>
      </c>
      <c r="B1168" s="5" t="n"/>
      <c r="C1168" s="5" t="n"/>
      <c r="D1168" s="5" t="n"/>
      <c r="E1168" s="5" t="n"/>
      <c r="F1168" s="5" t="n"/>
      <c r="G1168" s="5" t="n"/>
      <c r="H1168" s="8" t="n"/>
      <c r="I1168" s="8" t="n"/>
      <c r="J1168" s="8" t="n"/>
      <c r="K1168" s="11">
        <f>IF(B1168="","",MAX(0,IFERROR(I1168,0)*IFERROR(H1168,0)-IFERROR(J1168,0)))</f>
        <v/>
      </c>
      <c r="L1168" s="8" t="n"/>
      <c r="M1168" s="11">
        <f>IF(B1168="","",MAX(0,K1168-L1168))</f>
        <v/>
      </c>
      <c r="N1168" s="11">
        <f>IF(B1168="","",IF(L1168&gt;=K1168,"Paid",IF(L1168&gt;0,"Partial","Unpaid")))</f>
        <v/>
      </c>
      <c r="O1168" s="5" t="n"/>
      <c r="P1168" s="8" t="n"/>
      <c r="Q1168" s="8" t="n"/>
      <c r="R1168" s="11">
        <f>IF(B1168="","",IFERROR(K1168,0)+IFERROR(P1168,0)-IFERROR(Q1168,0))</f>
        <v/>
      </c>
      <c r="S1168" s="5" t="n"/>
      <c r="T1168" s="5" t="n"/>
      <c r="U1168" s="11">
        <f>IF(B1168="","",TRIM(LOWER(C1168)&amp;"|"&amp;LOWER(D1168)))</f>
        <v/>
      </c>
    </row>
    <row r="1169">
      <c r="A1169" s="11">
        <f>IF(B1169="","",TEXT(ROW()-3,"""DC-""0000"))</f>
        <v/>
      </c>
      <c r="B1169" s="5" t="n"/>
      <c r="C1169" s="5" t="n"/>
      <c r="D1169" s="5" t="n"/>
      <c r="E1169" s="5" t="n"/>
      <c r="F1169" s="5" t="n"/>
      <c r="G1169" s="5" t="n"/>
      <c r="H1169" s="8" t="n"/>
      <c r="I1169" s="8" t="n"/>
      <c r="J1169" s="8" t="n"/>
      <c r="K1169" s="11">
        <f>IF(B1169="","",MAX(0,IFERROR(I1169,0)*IFERROR(H1169,0)-IFERROR(J1169,0)))</f>
        <v/>
      </c>
      <c r="L1169" s="8" t="n"/>
      <c r="M1169" s="11">
        <f>IF(B1169="","",MAX(0,K1169-L1169))</f>
        <v/>
      </c>
      <c r="N1169" s="11">
        <f>IF(B1169="","",IF(L1169&gt;=K1169,"Paid",IF(L1169&gt;0,"Partial","Unpaid")))</f>
        <v/>
      </c>
      <c r="O1169" s="5" t="n"/>
      <c r="P1169" s="8" t="n"/>
      <c r="Q1169" s="8" t="n"/>
      <c r="R1169" s="11">
        <f>IF(B1169="","",IFERROR(K1169,0)+IFERROR(P1169,0)-IFERROR(Q1169,0))</f>
        <v/>
      </c>
      <c r="S1169" s="5" t="n"/>
      <c r="T1169" s="5" t="n"/>
      <c r="U1169" s="11">
        <f>IF(B1169="","",TRIM(LOWER(C1169)&amp;"|"&amp;LOWER(D1169)))</f>
        <v/>
      </c>
    </row>
    <row r="1170">
      <c r="A1170" s="11">
        <f>IF(B1170="","",TEXT(ROW()-3,"""DC-""0000"))</f>
        <v/>
      </c>
      <c r="B1170" s="5" t="n"/>
      <c r="C1170" s="5" t="n"/>
      <c r="D1170" s="5" t="n"/>
      <c r="E1170" s="5" t="n"/>
      <c r="F1170" s="5" t="n"/>
      <c r="G1170" s="5" t="n"/>
      <c r="H1170" s="8" t="n"/>
      <c r="I1170" s="8" t="n"/>
      <c r="J1170" s="8" t="n"/>
      <c r="K1170" s="11">
        <f>IF(B1170="","",MAX(0,IFERROR(I1170,0)*IFERROR(H1170,0)-IFERROR(J1170,0)))</f>
        <v/>
      </c>
      <c r="L1170" s="8" t="n"/>
      <c r="M1170" s="11">
        <f>IF(B1170="","",MAX(0,K1170-L1170))</f>
        <v/>
      </c>
      <c r="N1170" s="11">
        <f>IF(B1170="","",IF(L1170&gt;=K1170,"Paid",IF(L1170&gt;0,"Partial","Unpaid")))</f>
        <v/>
      </c>
      <c r="O1170" s="5" t="n"/>
      <c r="P1170" s="8" t="n"/>
      <c r="Q1170" s="8" t="n"/>
      <c r="R1170" s="11">
        <f>IF(B1170="","",IFERROR(K1170,0)+IFERROR(P1170,0)-IFERROR(Q1170,0))</f>
        <v/>
      </c>
      <c r="S1170" s="5" t="n"/>
      <c r="T1170" s="5" t="n"/>
      <c r="U1170" s="11">
        <f>IF(B1170="","",TRIM(LOWER(C1170)&amp;"|"&amp;LOWER(D1170)))</f>
        <v/>
      </c>
    </row>
    <row r="1171">
      <c r="A1171" s="11">
        <f>IF(B1171="","",TEXT(ROW()-3,"""DC-""0000"))</f>
        <v/>
      </c>
      <c r="B1171" s="5" t="n"/>
      <c r="C1171" s="5" t="n"/>
      <c r="D1171" s="5" t="n"/>
      <c r="E1171" s="5" t="n"/>
      <c r="F1171" s="5" t="n"/>
      <c r="G1171" s="5" t="n"/>
      <c r="H1171" s="8" t="n"/>
      <c r="I1171" s="8" t="n"/>
      <c r="J1171" s="8" t="n"/>
      <c r="K1171" s="11">
        <f>IF(B1171="","",MAX(0,IFERROR(I1171,0)*IFERROR(H1171,0)-IFERROR(J1171,0)))</f>
        <v/>
      </c>
      <c r="L1171" s="8" t="n"/>
      <c r="M1171" s="11">
        <f>IF(B1171="","",MAX(0,K1171-L1171))</f>
        <v/>
      </c>
      <c r="N1171" s="11">
        <f>IF(B1171="","",IF(L1171&gt;=K1171,"Paid",IF(L1171&gt;0,"Partial","Unpaid")))</f>
        <v/>
      </c>
      <c r="O1171" s="5" t="n"/>
      <c r="P1171" s="8" t="n"/>
      <c r="Q1171" s="8" t="n"/>
      <c r="R1171" s="11">
        <f>IF(B1171="","",IFERROR(K1171,0)+IFERROR(P1171,0)-IFERROR(Q1171,0))</f>
        <v/>
      </c>
      <c r="S1171" s="5" t="n"/>
      <c r="T1171" s="5" t="n"/>
      <c r="U1171" s="11">
        <f>IF(B1171="","",TRIM(LOWER(C1171)&amp;"|"&amp;LOWER(D1171)))</f>
        <v/>
      </c>
    </row>
    <row r="1172">
      <c r="A1172" s="11">
        <f>IF(B1172="","",TEXT(ROW()-3,"""DC-""0000"))</f>
        <v/>
      </c>
      <c r="B1172" s="5" t="n"/>
      <c r="C1172" s="5" t="n"/>
      <c r="D1172" s="5" t="n"/>
      <c r="E1172" s="5" t="n"/>
      <c r="F1172" s="5" t="n"/>
      <c r="G1172" s="5" t="n"/>
      <c r="H1172" s="8" t="n"/>
      <c r="I1172" s="8" t="n"/>
      <c r="J1172" s="8" t="n"/>
      <c r="K1172" s="11">
        <f>IF(B1172="","",MAX(0,IFERROR(I1172,0)*IFERROR(H1172,0)-IFERROR(J1172,0)))</f>
        <v/>
      </c>
      <c r="L1172" s="8" t="n"/>
      <c r="M1172" s="11">
        <f>IF(B1172="","",MAX(0,K1172-L1172))</f>
        <v/>
      </c>
      <c r="N1172" s="11">
        <f>IF(B1172="","",IF(L1172&gt;=K1172,"Paid",IF(L1172&gt;0,"Partial","Unpaid")))</f>
        <v/>
      </c>
      <c r="O1172" s="5" t="n"/>
      <c r="P1172" s="8" t="n"/>
      <c r="Q1172" s="8" t="n"/>
      <c r="R1172" s="11">
        <f>IF(B1172="","",IFERROR(K1172,0)+IFERROR(P1172,0)-IFERROR(Q1172,0))</f>
        <v/>
      </c>
      <c r="S1172" s="5" t="n"/>
      <c r="T1172" s="5" t="n"/>
      <c r="U1172" s="11">
        <f>IF(B1172="","",TRIM(LOWER(C1172)&amp;"|"&amp;LOWER(D1172)))</f>
        <v/>
      </c>
    </row>
    <row r="1173">
      <c r="A1173" s="11">
        <f>IF(B1173="","",TEXT(ROW()-3,"""DC-""0000"))</f>
        <v/>
      </c>
      <c r="B1173" s="5" t="n"/>
      <c r="C1173" s="5" t="n"/>
      <c r="D1173" s="5" t="n"/>
      <c r="E1173" s="5" t="n"/>
      <c r="F1173" s="5" t="n"/>
      <c r="G1173" s="5" t="n"/>
      <c r="H1173" s="8" t="n"/>
      <c r="I1173" s="8" t="n"/>
      <c r="J1173" s="8" t="n"/>
      <c r="K1173" s="11">
        <f>IF(B1173="","",MAX(0,IFERROR(I1173,0)*IFERROR(H1173,0)-IFERROR(J1173,0)))</f>
        <v/>
      </c>
      <c r="L1173" s="8" t="n"/>
      <c r="M1173" s="11">
        <f>IF(B1173="","",MAX(0,K1173-L1173))</f>
        <v/>
      </c>
      <c r="N1173" s="11">
        <f>IF(B1173="","",IF(L1173&gt;=K1173,"Paid",IF(L1173&gt;0,"Partial","Unpaid")))</f>
        <v/>
      </c>
      <c r="O1173" s="5" t="n"/>
      <c r="P1173" s="8" t="n"/>
      <c r="Q1173" s="8" t="n"/>
      <c r="R1173" s="11">
        <f>IF(B1173="","",IFERROR(K1173,0)+IFERROR(P1173,0)-IFERROR(Q1173,0))</f>
        <v/>
      </c>
      <c r="S1173" s="5" t="n"/>
      <c r="T1173" s="5" t="n"/>
      <c r="U1173" s="11">
        <f>IF(B1173="","",TRIM(LOWER(C1173)&amp;"|"&amp;LOWER(D1173)))</f>
        <v/>
      </c>
    </row>
    <row r="1174">
      <c r="A1174" s="11">
        <f>IF(B1174="","",TEXT(ROW()-3,"""DC-""0000"))</f>
        <v/>
      </c>
      <c r="B1174" s="5" t="n"/>
      <c r="C1174" s="5" t="n"/>
      <c r="D1174" s="5" t="n"/>
      <c r="E1174" s="5" t="n"/>
      <c r="F1174" s="5" t="n"/>
      <c r="G1174" s="5" t="n"/>
      <c r="H1174" s="8" t="n"/>
      <c r="I1174" s="8" t="n"/>
      <c r="J1174" s="8" t="n"/>
      <c r="K1174" s="11">
        <f>IF(B1174="","",MAX(0,IFERROR(I1174,0)*IFERROR(H1174,0)-IFERROR(J1174,0)))</f>
        <v/>
      </c>
      <c r="L1174" s="8" t="n"/>
      <c r="M1174" s="11">
        <f>IF(B1174="","",MAX(0,K1174-L1174))</f>
        <v/>
      </c>
      <c r="N1174" s="11">
        <f>IF(B1174="","",IF(L1174&gt;=K1174,"Paid",IF(L1174&gt;0,"Partial","Unpaid")))</f>
        <v/>
      </c>
      <c r="O1174" s="5" t="n"/>
      <c r="P1174" s="8" t="n"/>
      <c r="Q1174" s="8" t="n"/>
      <c r="R1174" s="11">
        <f>IF(B1174="","",IFERROR(K1174,0)+IFERROR(P1174,0)-IFERROR(Q1174,0))</f>
        <v/>
      </c>
      <c r="S1174" s="5" t="n"/>
      <c r="T1174" s="5" t="n"/>
      <c r="U1174" s="11">
        <f>IF(B1174="","",TRIM(LOWER(C1174)&amp;"|"&amp;LOWER(D1174)))</f>
        <v/>
      </c>
    </row>
    <row r="1175">
      <c r="A1175" s="11">
        <f>IF(B1175="","",TEXT(ROW()-3,"""DC-""0000"))</f>
        <v/>
      </c>
      <c r="B1175" s="5" t="n"/>
      <c r="C1175" s="5" t="n"/>
      <c r="D1175" s="5" t="n"/>
      <c r="E1175" s="5" t="n"/>
      <c r="F1175" s="5" t="n"/>
      <c r="G1175" s="5" t="n"/>
      <c r="H1175" s="8" t="n"/>
      <c r="I1175" s="8" t="n"/>
      <c r="J1175" s="8" t="n"/>
      <c r="K1175" s="11">
        <f>IF(B1175="","",MAX(0,IFERROR(I1175,0)*IFERROR(H1175,0)-IFERROR(J1175,0)))</f>
        <v/>
      </c>
      <c r="L1175" s="8" t="n"/>
      <c r="M1175" s="11">
        <f>IF(B1175="","",MAX(0,K1175-L1175))</f>
        <v/>
      </c>
      <c r="N1175" s="11">
        <f>IF(B1175="","",IF(L1175&gt;=K1175,"Paid",IF(L1175&gt;0,"Partial","Unpaid")))</f>
        <v/>
      </c>
      <c r="O1175" s="5" t="n"/>
      <c r="P1175" s="8" t="n"/>
      <c r="Q1175" s="8" t="n"/>
      <c r="R1175" s="11">
        <f>IF(B1175="","",IFERROR(K1175,0)+IFERROR(P1175,0)-IFERROR(Q1175,0))</f>
        <v/>
      </c>
      <c r="S1175" s="5" t="n"/>
      <c r="T1175" s="5" t="n"/>
      <c r="U1175" s="11">
        <f>IF(B1175="","",TRIM(LOWER(C1175)&amp;"|"&amp;LOWER(D1175)))</f>
        <v/>
      </c>
    </row>
    <row r="1176">
      <c r="A1176" s="11">
        <f>IF(B1176="","",TEXT(ROW()-3,"""DC-""0000"))</f>
        <v/>
      </c>
      <c r="B1176" s="5" t="n"/>
      <c r="C1176" s="5" t="n"/>
      <c r="D1176" s="5" t="n"/>
      <c r="E1176" s="5" t="n"/>
      <c r="F1176" s="5" t="n"/>
      <c r="G1176" s="5" t="n"/>
      <c r="H1176" s="8" t="n"/>
      <c r="I1176" s="8" t="n"/>
      <c r="J1176" s="8" t="n"/>
      <c r="K1176" s="11">
        <f>IF(B1176="","",MAX(0,IFERROR(I1176,0)*IFERROR(H1176,0)-IFERROR(J1176,0)))</f>
        <v/>
      </c>
      <c r="L1176" s="8" t="n"/>
      <c r="M1176" s="11">
        <f>IF(B1176="","",MAX(0,K1176-L1176))</f>
        <v/>
      </c>
      <c r="N1176" s="11">
        <f>IF(B1176="","",IF(L1176&gt;=K1176,"Paid",IF(L1176&gt;0,"Partial","Unpaid")))</f>
        <v/>
      </c>
      <c r="O1176" s="5" t="n"/>
      <c r="P1176" s="8" t="n"/>
      <c r="Q1176" s="8" t="n"/>
      <c r="R1176" s="11">
        <f>IF(B1176="","",IFERROR(K1176,0)+IFERROR(P1176,0)-IFERROR(Q1176,0))</f>
        <v/>
      </c>
      <c r="S1176" s="5" t="n"/>
      <c r="T1176" s="5" t="n"/>
      <c r="U1176" s="11">
        <f>IF(B1176="","",TRIM(LOWER(C1176)&amp;"|"&amp;LOWER(D1176)))</f>
        <v/>
      </c>
    </row>
    <row r="1177">
      <c r="A1177" s="11">
        <f>IF(B1177="","",TEXT(ROW()-3,"""DC-""0000"))</f>
        <v/>
      </c>
      <c r="B1177" s="5" t="n"/>
      <c r="C1177" s="5" t="n"/>
      <c r="D1177" s="5" t="n"/>
      <c r="E1177" s="5" t="n"/>
      <c r="F1177" s="5" t="n"/>
      <c r="G1177" s="5" t="n"/>
      <c r="H1177" s="8" t="n"/>
      <c r="I1177" s="8" t="n"/>
      <c r="J1177" s="8" t="n"/>
      <c r="K1177" s="11">
        <f>IF(B1177="","",MAX(0,IFERROR(I1177,0)*IFERROR(H1177,0)-IFERROR(J1177,0)))</f>
        <v/>
      </c>
      <c r="L1177" s="8" t="n"/>
      <c r="M1177" s="11">
        <f>IF(B1177="","",MAX(0,K1177-L1177))</f>
        <v/>
      </c>
      <c r="N1177" s="11">
        <f>IF(B1177="","",IF(L1177&gt;=K1177,"Paid",IF(L1177&gt;0,"Partial","Unpaid")))</f>
        <v/>
      </c>
      <c r="O1177" s="5" t="n"/>
      <c r="P1177" s="8" t="n"/>
      <c r="Q1177" s="8" t="n"/>
      <c r="R1177" s="11">
        <f>IF(B1177="","",IFERROR(K1177,0)+IFERROR(P1177,0)-IFERROR(Q1177,0))</f>
        <v/>
      </c>
      <c r="S1177" s="5" t="n"/>
      <c r="T1177" s="5" t="n"/>
      <c r="U1177" s="11">
        <f>IF(B1177="","",TRIM(LOWER(C1177)&amp;"|"&amp;LOWER(D1177)))</f>
        <v/>
      </c>
    </row>
    <row r="1178">
      <c r="A1178" s="11">
        <f>IF(B1178="","",TEXT(ROW()-3,"""DC-""0000"))</f>
        <v/>
      </c>
      <c r="B1178" s="5" t="n"/>
      <c r="C1178" s="5" t="n"/>
      <c r="D1178" s="5" t="n"/>
      <c r="E1178" s="5" t="n"/>
      <c r="F1178" s="5" t="n"/>
      <c r="G1178" s="5" t="n"/>
      <c r="H1178" s="8" t="n"/>
      <c r="I1178" s="8" t="n"/>
      <c r="J1178" s="8" t="n"/>
      <c r="K1178" s="11">
        <f>IF(B1178="","",MAX(0,IFERROR(I1178,0)*IFERROR(H1178,0)-IFERROR(J1178,0)))</f>
        <v/>
      </c>
      <c r="L1178" s="8" t="n"/>
      <c r="M1178" s="11">
        <f>IF(B1178="","",MAX(0,K1178-L1178))</f>
        <v/>
      </c>
      <c r="N1178" s="11">
        <f>IF(B1178="","",IF(L1178&gt;=K1178,"Paid",IF(L1178&gt;0,"Partial","Unpaid")))</f>
        <v/>
      </c>
      <c r="O1178" s="5" t="n"/>
      <c r="P1178" s="8" t="n"/>
      <c r="Q1178" s="8" t="n"/>
      <c r="R1178" s="11">
        <f>IF(B1178="","",IFERROR(K1178,0)+IFERROR(P1178,0)-IFERROR(Q1178,0))</f>
        <v/>
      </c>
      <c r="S1178" s="5" t="n"/>
      <c r="T1178" s="5" t="n"/>
      <c r="U1178" s="11">
        <f>IF(B1178="","",TRIM(LOWER(C1178)&amp;"|"&amp;LOWER(D1178)))</f>
        <v/>
      </c>
    </row>
    <row r="1179">
      <c r="A1179" s="11">
        <f>IF(B1179="","",TEXT(ROW()-3,"""DC-""0000"))</f>
        <v/>
      </c>
      <c r="B1179" s="5" t="n"/>
      <c r="C1179" s="5" t="n"/>
      <c r="D1179" s="5" t="n"/>
      <c r="E1179" s="5" t="n"/>
      <c r="F1179" s="5" t="n"/>
      <c r="G1179" s="5" t="n"/>
      <c r="H1179" s="8" t="n"/>
      <c r="I1179" s="8" t="n"/>
      <c r="J1179" s="8" t="n"/>
      <c r="K1179" s="11">
        <f>IF(B1179="","",MAX(0,IFERROR(I1179,0)*IFERROR(H1179,0)-IFERROR(J1179,0)))</f>
        <v/>
      </c>
      <c r="L1179" s="8" t="n"/>
      <c r="M1179" s="11">
        <f>IF(B1179="","",MAX(0,K1179-L1179))</f>
        <v/>
      </c>
      <c r="N1179" s="11">
        <f>IF(B1179="","",IF(L1179&gt;=K1179,"Paid",IF(L1179&gt;0,"Partial","Unpaid")))</f>
        <v/>
      </c>
      <c r="O1179" s="5" t="n"/>
      <c r="P1179" s="8" t="n"/>
      <c r="Q1179" s="8" t="n"/>
      <c r="R1179" s="11">
        <f>IF(B1179="","",IFERROR(K1179,0)+IFERROR(P1179,0)-IFERROR(Q1179,0))</f>
        <v/>
      </c>
      <c r="S1179" s="5" t="n"/>
      <c r="T1179" s="5" t="n"/>
      <c r="U1179" s="11">
        <f>IF(B1179="","",TRIM(LOWER(C1179)&amp;"|"&amp;LOWER(D1179)))</f>
        <v/>
      </c>
    </row>
    <row r="1180">
      <c r="A1180" s="11">
        <f>IF(B1180="","",TEXT(ROW()-3,"""DC-""0000"))</f>
        <v/>
      </c>
      <c r="B1180" s="5" t="n"/>
      <c r="C1180" s="5" t="n"/>
      <c r="D1180" s="5" t="n"/>
      <c r="E1180" s="5" t="n"/>
      <c r="F1180" s="5" t="n"/>
      <c r="G1180" s="5" t="n"/>
      <c r="H1180" s="8" t="n"/>
      <c r="I1180" s="8" t="n"/>
      <c r="J1180" s="8" t="n"/>
      <c r="K1180" s="11">
        <f>IF(B1180="","",MAX(0,IFERROR(I1180,0)*IFERROR(H1180,0)-IFERROR(J1180,0)))</f>
        <v/>
      </c>
      <c r="L1180" s="8" t="n"/>
      <c r="M1180" s="11">
        <f>IF(B1180="","",MAX(0,K1180-L1180))</f>
        <v/>
      </c>
      <c r="N1180" s="11">
        <f>IF(B1180="","",IF(L1180&gt;=K1180,"Paid",IF(L1180&gt;0,"Partial","Unpaid")))</f>
        <v/>
      </c>
      <c r="O1180" s="5" t="n"/>
      <c r="P1180" s="8" t="n"/>
      <c r="Q1180" s="8" t="n"/>
      <c r="R1180" s="11">
        <f>IF(B1180="","",IFERROR(K1180,0)+IFERROR(P1180,0)-IFERROR(Q1180,0))</f>
        <v/>
      </c>
      <c r="S1180" s="5" t="n"/>
      <c r="T1180" s="5" t="n"/>
      <c r="U1180" s="11">
        <f>IF(B1180="","",TRIM(LOWER(C1180)&amp;"|"&amp;LOWER(D1180)))</f>
        <v/>
      </c>
    </row>
    <row r="1181">
      <c r="A1181" s="11">
        <f>IF(B1181="","",TEXT(ROW()-3,"""DC-""0000"))</f>
        <v/>
      </c>
      <c r="B1181" s="5" t="n"/>
      <c r="C1181" s="5" t="n"/>
      <c r="D1181" s="5" t="n"/>
      <c r="E1181" s="5" t="n"/>
      <c r="F1181" s="5" t="n"/>
      <c r="G1181" s="5" t="n"/>
      <c r="H1181" s="8" t="n"/>
      <c r="I1181" s="8" t="n"/>
      <c r="J1181" s="8" t="n"/>
      <c r="K1181" s="11">
        <f>IF(B1181="","",MAX(0,IFERROR(I1181,0)*IFERROR(H1181,0)-IFERROR(J1181,0)))</f>
        <v/>
      </c>
      <c r="L1181" s="8" t="n"/>
      <c r="M1181" s="11">
        <f>IF(B1181="","",MAX(0,K1181-L1181))</f>
        <v/>
      </c>
      <c r="N1181" s="11">
        <f>IF(B1181="","",IF(L1181&gt;=K1181,"Paid",IF(L1181&gt;0,"Partial","Unpaid")))</f>
        <v/>
      </c>
      <c r="O1181" s="5" t="n"/>
      <c r="P1181" s="8" t="n"/>
      <c r="Q1181" s="8" t="n"/>
      <c r="R1181" s="11">
        <f>IF(B1181="","",IFERROR(K1181,0)+IFERROR(P1181,0)-IFERROR(Q1181,0))</f>
        <v/>
      </c>
      <c r="S1181" s="5" t="n"/>
      <c r="T1181" s="5" t="n"/>
      <c r="U1181" s="11">
        <f>IF(B1181="","",TRIM(LOWER(C1181)&amp;"|"&amp;LOWER(D1181)))</f>
        <v/>
      </c>
    </row>
    <row r="1182">
      <c r="A1182" s="11">
        <f>IF(B1182="","",TEXT(ROW()-3,"""DC-""0000"))</f>
        <v/>
      </c>
      <c r="B1182" s="5" t="n"/>
      <c r="C1182" s="5" t="n"/>
      <c r="D1182" s="5" t="n"/>
      <c r="E1182" s="5" t="n"/>
      <c r="F1182" s="5" t="n"/>
      <c r="G1182" s="5" t="n"/>
      <c r="H1182" s="8" t="n"/>
      <c r="I1182" s="8" t="n"/>
      <c r="J1182" s="8" t="n"/>
      <c r="K1182" s="11">
        <f>IF(B1182="","",MAX(0,IFERROR(I1182,0)*IFERROR(H1182,0)-IFERROR(J1182,0)))</f>
        <v/>
      </c>
      <c r="L1182" s="8" t="n"/>
      <c r="M1182" s="11">
        <f>IF(B1182="","",MAX(0,K1182-L1182))</f>
        <v/>
      </c>
      <c r="N1182" s="11">
        <f>IF(B1182="","",IF(L1182&gt;=K1182,"Paid",IF(L1182&gt;0,"Partial","Unpaid")))</f>
        <v/>
      </c>
      <c r="O1182" s="5" t="n"/>
      <c r="P1182" s="8" t="n"/>
      <c r="Q1182" s="8" t="n"/>
      <c r="R1182" s="11">
        <f>IF(B1182="","",IFERROR(K1182,0)+IFERROR(P1182,0)-IFERROR(Q1182,0))</f>
        <v/>
      </c>
      <c r="S1182" s="5" t="n"/>
      <c r="T1182" s="5" t="n"/>
      <c r="U1182" s="11">
        <f>IF(B1182="","",TRIM(LOWER(C1182)&amp;"|"&amp;LOWER(D1182)))</f>
        <v/>
      </c>
    </row>
    <row r="1183">
      <c r="A1183" s="11">
        <f>IF(B1183="","",TEXT(ROW()-3,"""DC-""0000"))</f>
        <v/>
      </c>
      <c r="B1183" s="5" t="n"/>
      <c r="C1183" s="5" t="n"/>
      <c r="D1183" s="5" t="n"/>
      <c r="E1183" s="5" t="n"/>
      <c r="F1183" s="5" t="n"/>
      <c r="G1183" s="5" t="n"/>
      <c r="H1183" s="8" t="n"/>
      <c r="I1183" s="8" t="n"/>
      <c r="J1183" s="8" t="n"/>
      <c r="K1183" s="11">
        <f>IF(B1183="","",MAX(0,IFERROR(I1183,0)*IFERROR(H1183,0)-IFERROR(J1183,0)))</f>
        <v/>
      </c>
      <c r="L1183" s="8" t="n"/>
      <c r="M1183" s="11">
        <f>IF(B1183="","",MAX(0,K1183-L1183))</f>
        <v/>
      </c>
      <c r="N1183" s="11">
        <f>IF(B1183="","",IF(L1183&gt;=K1183,"Paid",IF(L1183&gt;0,"Partial","Unpaid")))</f>
        <v/>
      </c>
      <c r="O1183" s="5" t="n"/>
      <c r="P1183" s="8" t="n"/>
      <c r="Q1183" s="8" t="n"/>
      <c r="R1183" s="11">
        <f>IF(B1183="","",IFERROR(K1183,0)+IFERROR(P1183,0)-IFERROR(Q1183,0))</f>
        <v/>
      </c>
      <c r="S1183" s="5" t="n"/>
      <c r="T1183" s="5" t="n"/>
      <c r="U1183" s="11">
        <f>IF(B1183="","",TRIM(LOWER(C1183)&amp;"|"&amp;LOWER(D1183)))</f>
        <v/>
      </c>
    </row>
    <row r="1184">
      <c r="A1184" s="11">
        <f>IF(B1184="","",TEXT(ROW()-3,"""DC-""0000"))</f>
        <v/>
      </c>
      <c r="B1184" s="5" t="n"/>
      <c r="C1184" s="5" t="n"/>
      <c r="D1184" s="5" t="n"/>
      <c r="E1184" s="5" t="n"/>
      <c r="F1184" s="5" t="n"/>
      <c r="G1184" s="5" t="n"/>
      <c r="H1184" s="8" t="n"/>
      <c r="I1184" s="8" t="n"/>
      <c r="J1184" s="8" t="n"/>
      <c r="K1184" s="11">
        <f>IF(B1184="","",MAX(0,IFERROR(I1184,0)*IFERROR(H1184,0)-IFERROR(J1184,0)))</f>
        <v/>
      </c>
      <c r="L1184" s="8" t="n"/>
      <c r="M1184" s="11">
        <f>IF(B1184="","",MAX(0,K1184-L1184))</f>
        <v/>
      </c>
      <c r="N1184" s="11">
        <f>IF(B1184="","",IF(L1184&gt;=K1184,"Paid",IF(L1184&gt;0,"Partial","Unpaid")))</f>
        <v/>
      </c>
      <c r="O1184" s="5" t="n"/>
      <c r="P1184" s="8" t="n"/>
      <c r="Q1184" s="8" t="n"/>
      <c r="R1184" s="11">
        <f>IF(B1184="","",IFERROR(K1184,0)+IFERROR(P1184,0)-IFERROR(Q1184,0))</f>
        <v/>
      </c>
      <c r="S1184" s="5" t="n"/>
      <c r="T1184" s="5" t="n"/>
      <c r="U1184" s="11">
        <f>IF(B1184="","",TRIM(LOWER(C1184)&amp;"|"&amp;LOWER(D1184)))</f>
        <v/>
      </c>
    </row>
    <row r="1185">
      <c r="A1185" s="11">
        <f>IF(B1185="","",TEXT(ROW()-3,"""DC-""0000"))</f>
        <v/>
      </c>
      <c r="B1185" s="5" t="n"/>
      <c r="C1185" s="5" t="n"/>
      <c r="D1185" s="5" t="n"/>
      <c r="E1185" s="5" t="n"/>
      <c r="F1185" s="5" t="n"/>
      <c r="G1185" s="5" t="n"/>
      <c r="H1185" s="8" t="n"/>
      <c r="I1185" s="8" t="n"/>
      <c r="J1185" s="8" t="n"/>
      <c r="K1185" s="11">
        <f>IF(B1185="","",MAX(0,IFERROR(I1185,0)*IFERROR(H1185,0)-IFERROR(J1185,0)))</f>
        <v/>
      </c>
      <c r="L1185" s="8" t="n"/>
      <c r="M1185" s="11">
        <f>IF(B1185="","",MAX(0,K1185-L1185))</f>
        <v/>
      </c>
      <c r="N1185" s="11">
        <f>IF(B1185="","",IF(L1185&gt;=K1185,"Paid",IF(L1185&gt;0,"Partial","Unpaid")))</f>
        <v/>
      </c>
      <c r="O1185" s="5" t="n"/>
      <c r="P1185" s="8" t="n"/>
      <c r="Q1185" s="8" t="n"/>
      <c r="R1185" s="11">
        <f>IF(B1185="","",IFERROR(K1185,0)+IFERROR(P1185,0)-IFERROR(Q1185,0))</f>
        <v/>
      </c>
      <c r="S1185" s="5" t="n"/>
      <c r="T1185" s="5" t="n"/>
      <c r="U1185" s="11">
        <f>IF(B1185="","",TRIM(LOWER(C1185)&amp;"|"&amp;LOWER(D1185)))</f>
        <v/>
      </c>
    </row>
    <row r="1186">
      <c r="A1186" s="11">
        <f>IF(B1186="","",TEXT(ROW()-3,"""DC-""0000"))</f>
        <v/>
      </c>
      <c r="B1186" s="5" t="n"/>
      <c r="C1186" s="5" t="n"/>
      <c r="D1186" s="5" t="n"/>
      <c r="E1186" s="5" t="n"/>
      <c r="F1186" s="5" t="n"/>
      <c r="G1186" s="5" t="n"/>
      <c r="H1186" s="8" t="n"/>
      <c r="I1186" s="8" t="n"/>
      <c r="J1186" s="8" t="n"/>
      <c r="K1186" s="11">
        <f>IF(B1186="","",MAX(0,IFERROR(I1186,0)*IFERROR(H1186,0)-IFERROR(J1186,0)))</f>
        <v/>
      </c>
      <c r="L1186" s="8" t="n"/>
      <c r="M1186" s="11">
        <f>IF(B1186="","",MAX(0,K1186-L1186))</f>
        <v/>
      </c>
      <c r="N1186" s="11">
        <f>IF(B1186="","",IF(L1186&gt;=K1186,"Paid",IF(L1186&gt;0,"Partial","Unpaid")))</f>
        <v/>
      </c>
      <c r="O1186" s="5" t="n"/>
      <c r="P1186" s="8" t="n"/>
      <c r="Q1186" s="8" t="n"/>
      <c r="R1186" s="11">
        <f>IF(B1186="","",IFERROR(K1186,0)+IFERROR(P1186,0)-IFERROR(Q1186,0))</f>
        <v/>
      </c>
      <c r="S1186" s="5" t="n"/>
      <c r="T1186" s="5" t="n"/>
      <c r="U1186" s="11">
        <f>IF(B1186="","",TRIM(LOWER(C1186)&amp;"|"&amp;LOWER(D1186)))</f>
        <v/>
      </c>
    </row>
    <row r="1187">
      <c r="A1187" s="11">
        <f>IF(B1187="","",TEXT(ROW()-3,"""DC-""0000"))</f>
        <v/>
      </c>
      <c r="B1187" s="5" t="n"/>
      <c r="C1187" s="5" t="n"/>
      <c r="D1187" s="5" t="n"/>
      <c r="E1187" s="5" t="n"/>
      <c r="F1187" s="5" t="n"/>
      <c r="G1187" s="5" t="n"/>
      <c r="H1187" s="8" t="n"/>
      <c r="I1187" s="8" t="n"/>
      <c r="J1187" s="8" t="n"/>
      <c r="K1187" s="11">
        <f>IF(B1187="","",MAX(0,IFERROR(I1187,0)*IFERROR(H1187,0)-IFERROR(J1187,0)))</f>
        <v/>
      </c>
      <c r="L1187" s="8" t="n"/>
      <c r="M1187" s="11">
        <f>IF(B1187="","",MAX(0,K1187-L1187))</f>
        <v/>
      </c>
      <c r="N1187" s="11">
        <f>IF(B1187="","",IF(L1187&gt;=K1187,"Paid",IF(L1187&gt;0,"Partial","Unpaid")))</f>
        <v/>
      </c>
      <c r="O1187" s="5" t="n"/>
      <c r="P1187" s="8" t="n"/>
      <c r="Q1187" s="8" t="n"/>
      <c r="R1187" s="11">
        <f>IF(B1187="","",IFERROR(K1187,0)+IFERROR(P1187,0)-IFERROR(Q1187,0))</f>
        <v/>
      </c>
      <c r="S1187" s="5" t="n"/>
      <c r="T1187" s="5" t="n"/>
      <c r="U1187" s="11">
        <f>IF(B1187="","",TRIM(LOWER(C1187)&amp;"|"&amp;LOWER(D1187)))</f>
        <v/>
      </c>
    </row>
    <row r="1188">
      <c r="A1188" s="11">
        <f>IF(B1188="","",TEXT(ROW()-3,"""DC-""0000"))</f>
        <v/>
      </c>
      <c r="B1188" s="5" t="n"/>
      <c r="C1188" s="5" t="n"/>
      <c r="D1188" s="5" t="n"/>
      <c r="E1188" s="5" t="n"/>
      <c r="F1188" s="5" t="n"/>
      <c r="G1188" s="5" t="n"/>
      <c r="H1188" s="8" t="n"/>
      <c r="I1188" s="8" t="n"/>
      <c r="J1188" s="8" t="n"/>
      <c r="K1188" s="11">
        <f>IF(B1188="","",MAX(0,IFERROR(I1188,0)*IFERROR(H1188,0)-IFERROR(J1188,0)))</f>
        <v/>
      </c>
      <c r="L1188" s="8" t="n"/>
      <c r="M1188" s="11">
        <f>IF(B1188="","",MAX(0,K1188-L1188))</f>
        <v/>
      </c>
      <c r="N1188" s="11">
        <f>IF(B1188="","",IF(L1188&gt;=K1188,"Paid",IF(L1188&gt;0,"Partial","Unpaid")))</f>
        <v/>
      </c>
      <c r="O1188" s="5" t="n"/>
      <c r="P1188" s="8" t="n"/>
      <c r="Q1188" s="8" t="n"/>
      <c r="R1188" s="11">
        <f>IF(B1188="","",IFERROR(K1188,0)+IFERROR(P1188,0)-IFERROR(Q1188,0))</f>
        <v/>
      </c>
      <c r="S1188" s="5" t="n"/>
      <c r="T1188" s="5" t="n"/>
      <c r="U1188" s="11">
        <f>IF(B1188="","",TRIM(LOWER(C1188)&amp;"|"&amp;LOWER(D1188)))</f>
        <v/>
      </c>
    </row>
    <row r="1189">
      <c r="A1189" s="11">
        <f>IF(B1189="","",TEXT(ROW()-3,"""DC-""0000"))</f>
        <v/>
      </c>
      <c r="B1189" s="5" t="n"/>
      <c r="C1189" s="5" t="n"/>
      <c r="D1189" s="5" t="n"/>
      <c r="E1189" s="5" t="n"/>
      <c r="F1189" s="5" t="n"/>
      <c r="G1189" s="5" t="n"/>
      <c r="H1189" s="8" t="n"/>
      <c r="I1189" s="8" t="n"/>
      <c r="J1189" s="8" t="n"/>
      <c r="K1189" s="11">
        <f>IF(B1189="","",MAX(0,IFERROR(I1189,0)*IFERROR(H1189,0)-IFERROR(J1189,0)))</f>
        <v/>
      </c>
      <c r="L1189" s="8" t="n"/>
      <c r="M1189" s="11">
        <f>IF(B1189="","",MAX(0,K1189-L1189))</f>
        <v/>
      </c>
      <c r="N1189" s="11">
        <f>IF(B1189="","",IF(L1189&gt;=K1189,"Paid",IF(L1189&gt;0,"Partial","Unpaid")))</f>
        <v/>
      </c>
      <c r="O1189" s="5" t="n"/>
      <c r="P1189" s="8" t="n"/>
      <c r="Q1189" s="8" t="n"/>
      <c r="R1189" s="11">
        <f>IF(B1189="","",IFERROR(K1189,0)+IFERROR(P1189,0)-IFERROR(Q1189,0))</f>
        <v/>
      </c>
      <c r="S1189" s="5" t="n"/>
      <c r="T1189" s="5" t="n"/>
      <c r="U1189" s="11">
        <f>IF(B1189="","",TRIM(LOWER(C1189)&amp;"|"&amp;LOWER(D1189)))</f>
        <v/>
      </c>
    </row>
    <row r="1190">
      <c r="A1190" s="11">
        <f>IF(B1190="","",TEXT(ROW()-3,"""DC-""0000"))</f>
        <v/>
      </c>
      <c r="B1190" s="5" t="n"/>
      <c r="C1190" s="5" t="n"/>
      <c r="D1190" s="5" t="n"/>
      <c r="E1190" s="5" t="n"/>
      <c r="F1190" s="5" t="n"/>
      <c r="G1190" s="5" t="n"/>
      <c r="H1190" s="8" t="n"/>
      <c r="I1190" s="8" t="n"/>
      <c r="J1190" s="8" t="n"/>
      <c r="K1190" s="11">
        <f>IF(B1190="","",MAX(0,IFERROR(I1190,0)*IFERROR(H1190,0)-IFERROR(J1190,0)))</f>
        <v/>
      </c>
      <c r="L1190" s="8" t="n"/>
      <c r="M1190" s="11">
        <f>IF(B1190="","",MAX(0,K1190-L1190))</f>
        <v/>
      </c>
      <c r="N1190" s="11">
        <f>IF(B1190="","",IF(L1190&gt;=K1190,"Paid",IF(L1190&gt;0,"Partial","Unpaid")))</f>
        <v/>
      </c>
      <c r="O1190" s="5" t="n"/>
      <c r="P1190" s="8" t="n"/>
      <c r="Q1190" s="8" t="n"/>
      <c r="R1190" s="11">
        <f>IF(B1190="","",IFERROR(K1190,0)+IFERROR(P1190,0)-IFERROR(Q1190,0))</f>
        <v/>
      </c>
      <c r="S1190" s="5" t="n"/>
      <c r="T1190" s="5" t="n"/>
      <c r="U1190" s="11">
        <f>IF(B1190="","",TRIM(LOWER(C1190)&amp;"|"&amp;LOWER(D1190)))</f>
        <v/>
      </c>
    </row>
    <row r="1191">
      <c r="A1191" s="11">
        <f>IF(B1191="","",TEXT(ROW()-3,"""DC-""0000"))</f>
        <v/>
      </c>
      <c r="B1191" s="5" t="n"/>
      <c r="C1191" s="5" t="n"/>
      <c r="D1191" s="5" t="n"/>
      <c r="E1191" s="5" t="n"/>
      <c r="F1191" s="5" t="n"/>
      <c r="G1191" s="5" t="n"/>
      <c r="H1191" s="8" t="n"/>
      <c r="I1191" s="8" t="n"/>
      <c r="J1191" s="8" t="n"/>
      <c r="K1191" s="11">
        <f>IF(B1191="","",MAX(0,IFERROR(I1191,0)*IFERROR(H1191,0)-IFERROR(J1191,0)))</f>
        <v/>
      </c>
      <c r="L1191" s="8" t="n"/>
      <c r="M1191" s="11">
        <f>IF(B1191="","",MAX(0,K1191-L1191))</f>
        <v/>
      </c>
      <c r="N1191" s="11">
        <f>IF(B1191="","",IF(L1191&gt;=K1191,"Paid",IF(L1191&gt;0,"Partial","Unpaid")))</f>
        <v/>
      </c>
      <c r="O1191" s="5" t="n"/>
      <c r="P1191" s="8" t="n"/>
      <c r="Q1191" s="8" t="n"/>
      <c r="R1191" s="11">
        <f>IF(B1191="","",IFERROR(K1191,0)+IFERROR(P1191,0)-IFERROR(Q1191,0))</f>
        <v/>
      </c>
      <c r="S1191" s="5" t="n"/>
      <c r="T1191" s="5" t="n"/>
      <c r="U1191" s="11">
        <f>IF(B1191="","",TRIM(LOWER(C1191)&amp;"|"&amp;LOWER(D1191)))</f>
        <v/>
      </c>
    </row>
    <row r="1192">
      <c r="A1192" s="11">
        <f>IF(B1192="","",TEXT(ROW()-3,"""DC-""0000"))</f>
        <v/>
      </c>
      <c r="B1192" s="5" t="n"/>
      <c r="C1192" s="5" t="n"/>
      <c r="D1192" s="5" t="n"/>
      <c r="E1192" s="5" t="n"/>
      <c r="F1192" s="5" t="n"/>
      <c r="G1192" s="5" t="n"/>
      <c r="H1192" s="8" t="n"/>
      <c r="I1192" s="8" t="n"/>
      <c r="J1192" s="8" t="n"/>
      <c r="K1192" s="11">
        <f>IF(B1192="","",MAX(0,IFERROR(I1192,0)*IFERROR(H1192,0)-IFERROR(J1192,0)))</f>
        <v/>
      </c>
      <c r="L1192" s="8" t="n"/>
      <c r="M1192" s="11">
        <f>IF(B1192="","",MAX(0,K1192-L1192))</f>
        <v/>
      </c>
      <c r="N1192" s="11">
        <f>IF(B1192="","",IF(L1192&gt;=K1192,"Paid",IF(L1192&gt;0,"Partial","Unpaid")))</f>
        <v/>
      </c>
      <c r="O1192" s="5" t="n"/>
      <c r="P1192" s="8" t="n"/>
      <c r="Q1192" s="8" t="n"/>
      <c r="R1192" s="11">
        <f>IF(B1192="","",IFERROR(K1192,0)+IFERROR(P1192,0)-IFERROR(Q1192,0))</f>
        <v/>
      </c>
      <c r="S1192" s="5" t="n"/>
      <c r="T1192" s="5" t="n"/>
      <c r="U1192" s="11">
        <f>IF(B1192="","",TRIM(LOWER(C1192)&amp;"|"&amp;LOWER(D1192)))</f>
        <v/>
      </c>
    </row>
    <row r="1193">
      <c r="A1193" s="11">
        <f>IF(B1193="","",TEXT(ROW()-3,"""DC-""0000"))</f>
        <v/>
      </c>
      <c r="B1193" s="5" t="n"/>
      <c r="C1193" s="5" t="n"/>
      <c r="D1193" s="5" t="n"/>
      <c r="E1193" s="5" t="n"/>
      <c r="F1193" s="5" t="n"/>
      <c r="G1193" s="5" t="n"/>
      <c r="H1193" s="8" t="n"/>
      <c r="I1193" s="8" t="n"/>
      <c r="J1193" s="8" t="n"/>
      <c r="K1193" s="11">
        <f>IF(B1193="","",MAX(0,IFERROR(I1193,0)*IFERROR(H1193,0)-IFERROR(J1193,0)))</f>
        <v/>
      </c>
      <c r="L1193" s="8" t="n"/>
      <c r="M1193" s="11">
        <f>IF(B1193="","",MAX(0,K1193-L1193))</f>
        <v/>
      </c>
      <c r="N1193" s="11">
        <f>IF(B1193="","",IF(L1193&gt;=K1193,"Paid",IF(L1193&gt;0,"Partial","Unpaid")))</f>
        <v/>
      </c>
      <c r="O1193" s="5" t="n"/>
      <c r="P1193" s="8" t="n"/>
      <c r="Q1193" s="8" t="n"/>
      <c r="R1193" s="11">
        <f>IF(B1193="","",IFERROR(K1193,0)+IFERROR(P1193,0)-IFERROR(Q1193,0))</f>
        <v/>
      </c>
      <c r="S1193" s="5" t="n"/>
      <c r="T1193" s="5" t="n"/>
      <c r="U1193" s="11">
        <f>IF(B1193="","",TRIM(LOWER(C1193)&amp;"|"&amp;LOWER(D1193)))</f>
        <v/>
      </c>
    </row>
    <row r="1194">
      <c r="A1194" s="11">
        <f>IF(B1194="","",TEXT(ROW()-3,"""DC-""0000"))</f>
        <v/>
      </c>
      <c r="B1194" s="5" t="n"/>
      <c r="C1194" s="5" t="n"/>
      <c r="D1194" s="5" t="n"/>
      <c r="E1194" s="5" t="n"/>
      <c r="F1194" s="5" t="n"/>
      <c r="G1194" s="5" t="n"/>
      <c r="H1194" s="8" t="n"/>
      <c r="I1194" s="8" t="n"/>
      <c r="J1194" s="8" t="n"/>
      <c r="K1194" s="11">
        <f>IF(B1194="","",MAX(0,IFERROR(I1194,0)*IFERROR(H1194,0)-IFERROR(J1194,0)))</f>
        <v/>
      </c>
      <c r="L1194" s="8" t="n"/>
      <c r="M1194" s="11">
        <f>IF(B1194="","",MAX(0,K1194-L1194))</f>
        <v/>
      </c>
      <c r="N1194" s="11">
        <f>IF(B1194="","",IF(L1194&gt;=K1194,"Paid",IF(L1194&gt;0,"Partial","Unpaid")))</f>
        <v/>
      </c>
      <c r="O1194" s="5" t="n"/>
      <c r="P1194" s="8" t="n"/>
      <c r="Q1194" s="8" t="n"/>
      <c r="R1194" s="11">
        <f>IF(B1194="","",IFERROR(K1194,0)+IFERROR(P1194,0)-IFERROR(Q1194,0))</f>
        <v/>
      </c>
      <c r="S1194" s="5" t="n"/>
      <c r="T1194" s="5" t="n"/>
      <c r="U1194" s="11">
        <f>IF(B1194="","",TRIM(LOWER(C1194)&amp;"|"&amp;LOWER(D1194)))</f>
        <v/>
      </c>
    </row>
    <row r="1195">
      <c r="A1195" s="11">
        <f>IF(B1195="","",TEXT(ROW()-3,"""DC-""0000"))</f>
        <v/>
      </c>
      <c r="B1195" s="5" t="n"/>
      <c r="C1195" s="5" t="n"/>
      <c r="D1195" s="5" t="n"/>
      <c r="E1195" s="5" t="n"/>
      <c r="F1195" s="5" t="n"/>
      <c r="G1195" s="5" t="n"/>
      <c r="H1195" s="8" t="n"/>
      <c r="I1195" s="8" t="n"/>
      <c r="J1195" s="8" t="n"/>
      <c r="K1195" s="11">
        <f>IF(B1195="","",MAX(0,IFERROR(I1195,0)*IFERROR(H1195,0)-IFERROR(J1195,0)))</f>
        <v/>
      </c>
      <c r="L1195" s="8" t="n"/>
      <c r="M1195" s="11">
        <f>IF(B1195="","",MAX(0,K1195-L1195))</f>
        <v/>
      </c>
      <c r="N1195" s="11">
        <f>IF(B1195="","",IF(L1195&gt;=K1195,"Paid",IF(L1195&gt;0,"Partial","Unpaid")))</f>
        <v/>
      </c>
      <c r="O1195" s="5" t="n"/>
      <c r="P1195" s="8" t="n"/>
      <c r="Q1195" s="8" t="n"/>
      <c r="R1195" s="11">
        <f>IF(B1195="","",IFERROR(K1195,0)+IFERROR(P1195,0)-IFERROR(Q1195,0))</f>
        <v/>
      </c>
      <c r="S1195" s="5" t="n"/>
      <c r="T1195" s="5" t="n"/>
      <c r="U1195" s="11">
        <f>IF(B1195="","",TRIM(LOWER(C1195)&amp;"|"&amp;LOWER(D1195)))</f>
        <v/>
      </c>
    </row>
    <row r="1196">
      <c r="A1196" s="11">
        <f>IF(B1196="","",TEXT(ROW()-3,"""DC-""0000"))</f>
        <v/>
      </c>
      <c r="B1196" s="5" t="n"/>
      <c r="C1196" s="5" t="n"/>
      <c r="D1196" s="5" t="n"/>
      <c r="E1196" s="5" t="n"/>
      <c r="F1196" s="5" t="n"/>
      <c r="G1196" s="5" t="n"/>
      <c r="H1196" s="8" t="n"/>
      <c r="I1196" s="8" t="n"/>
      <c r="J1196" s="8" t="n"/>
      <c r="K1196" s="11">
        <f>IF(B1196="","",MAX(0,IFERROR(I1196,0)*IFERROR(H1196,0)-IFERROR(J1196,0)))</f>
        <v/>
      </c>
      <c r="L1196" s="8" t="n"/>
      <c r="M1196" s="11">
        <f>IF(B1196="","",MAX(0,K1196-L1196))</f>
        <v/>
      </c>
      <c r="N1196" s="11">
        <f>IF(B1196="","",IF(L1196&gt;=K1196,"Paid",IF(L1196&gt;0,"Partial","Unpaid")))</f>
        <v/>
      </c>
      <c r="O1196" s="5" t="n"/>
      <c r="P1196" s="8" t="n"/>
      <c r="Q1196" s="8" t="n"/>
      <c r="R1196" s="11">
        <f>IF(B1196="","",IFERROR(K1196,0)+IFERROR(P1196,0)-IFERROR(Q1196,0))</f>
        <v/>
      </c>
      <c r="S1196" s="5" t="n"/>
      <c r="T1196" s="5" t="n"/>
      <c r="U1196" s="11">
        <f>IF(B1196="","",TRIM(LOWER(C1196)&amp;"|"&amp;LOWER(D1196)))</f>
        <v/>
      </c>
    </row>
    <row r="1197">
      <c r="A1197" s="11">
        <f>IF(B1197="","",TEXT(ROW()-3,"""DC-""0000"))</f>
        <v/>
      </c>
      <c r="B1197" s="5" t="n"/>
      <c r="C1197" s="5" t="n"/>
      <c r="D1197" s="5" t="n"/>
      <c r="E1197" s="5" t="n"/>
      <c r="F1197" s="5" t="n"/>
      <c r="G1197" s="5" t="n"/>
      <c r="H1197" s="8" t="n"/>
      <c r="I1197" s="8" t="n"/>
      <c r="J1197" s="8" t="n"/>
      <c r="K1197" s="11">
        <f>IF(B1197="","",MAX(0,IFERROR(I1197,0)*IFERROR(H1197,0)-IFERROR(J1197,0)))</f>
        <v/>
      </c>
      <c r="L1197" s="8" t="n"/>
      <c r="M1197" s="11">
        <f>IF(B1197="","",MAX(0,K1197-L1197))</f>
        <v/>
      </c>
      <c r="N1197" s="11">
        <f>IF(B1197="","",IF(L1197&gt;=K1197,"Paid",IF(L1197&gt;0,"Partial","Unpaid")))</f>
        <v/>
      </c>
      <c r="O1197" s="5" t="n"/>
      <c r="P1197" s="8" t="n"/>
      <c r="Q1197" s="8" t="n"/>
      <c r="R1197" s="11">
        <f>IF(B1197="","",IFERROR(K1197,0)+IFERROR(P1197,0)-IFERROR(Q1197,0))</f>
        <v/>
      </c>
      <c r="S1197" s="5" t="n"/>
      <c r="T1197" s="5" t="n"/>
      <c r="U1197" s="11">
        <f>IF(B1197="","",TRIM(LOWER(C1197)&amp;"|"&amp;LOWER(D1197)))</f>
        <v/>
      </c>
    </row>
    <row r="1198">
      <c r="A1198" s="11">
        <f>IF(B1198="","",TEXT(ROW()-3,"""DC-""0000"))</f>
        <v/>
      </c>
      <c r="B1198" s="5" t="n"/>
      <c r="C1198" s="5" t="n"/>
      <c r="D1198" s="5" t="n"/>
      <c r="E1198" s="5" t="n"/>
      <c r="F1198" s="5" t="n"/>
      <c r="G1198" s="5" t="n"/>
      <c r="H1198" s="8" t="n"/>
      <c r="I1198" s="8" t="n"/>
      <c r="J1198" s="8" t="n"/>
      <c r="K1198" s="11">
        <f>IF(B1198="","",MAX(0,IFERROR(I1198,0)*IFERROR(H1198,0)-IFERROR(J1198,0)))</f>
        <v/>
      </c>
      <c r="L1198" s="8" t="n"/>
      <c r="M1198" s="11">
        <f>IF(B1198="","",MAX(0,K1198-L1198))</f>
        <v/>
      </c>
      <c r="N1198" s="11">
        <f>IF(B1198="","",IF(L1198&gt;=K1198,"Paid",IF(L1198&gt;0,"Partial","Unpaid")))</f>
        <v/>
      </c>
      <c r="O1198" s="5" t="n"/>
      <c r="P1198" s="8" t="n"/>
      <c r="Q1198" s="8" t="n"/>
      <c r="R1198" s="11">
        <f>IF(B1198="","",IFERROR(K1198,0)+IFERROR(P1198,0)-IFERROR(Q1198,0))</f>
        <v/>
      </c>
      <c r="S1198" s="5" t="n"/>
      <c r="T1198" s="5" t="n"/>
      <c r="U1198" s="11">
        <f>IF(B1198="","",TRIM(LOWER(C1198)&amp;"|"&amp;LOWER(D1198)))</f>
        <v/>
      </c>
    </row>
    <row r="1199">
      <c r="A1199" s="11">
        <f>IF(B1199="","",TEXT(ROW()-3,"""DC-""0000"))</f>
        <v/>
      </c>
      <c r="B1199" s="5" t="n"/>
      <c r="C1199" s="5" t="n"/>
      <c r="D1199" s="5" t="n"/>
      <c r="E1199" s="5" t="n"/>
      <c r="F1199" s="5" t="n"/>
      <c r="G1199" s="5" t="n"/>
      <c r="H1199" s="8" t="n"/>
      <c r="I1199" s="8" t="n"/>
      <c r="J1199" s="8" t="n"/>
      <c r="K1199" s="11">
        <f>IF(B1199="","",MAX(0,IFERROR(I1199,0)*IFERROR(H1199,0)-IFERROR(J1199,0)))</f>
        <v/>
      </c>
      <c r="L1199" s="8" t="n"/>
      <c r="M1199" s="11">
        <f>IF(B1199="","",MAX(0,K1199-L1199))</f>
        <v/>
      </c>
      <c r="N1199" s="11">
        <f>IF(B1199="","",IF(L1199&gt;=K1199,"Paid",IF(L1199&gt;0,"Partial","Unpaid")))</f>
        <v/>
      </c>
      <c r="O1199" s="5" t="n"/>
      <c r="P1199" s="8" t="n"/>
      <c r="Q1199" s="8" t="n"/>
      <c r="R1199" s="11">
        <f>IF(B1199="","",IFERROR(K1199,0)+IFERROR(P1199,0)-IFERROR(Q1199,0))</f>
        <v/>
      </c>
      <c r="S1199" s="5" t="n"/>
      <c r="T1199" s="5" t="n"/>
      <c r="U1199" s="11">
        <f>IF(B1199="","",TRIM(LOWER(C1199)&amp;"|"&amp;LOWER(D1199)))</f>
        <v/>
      </c>
    </row>
    <row r="1200">
      <c r="A1200" s="11">
        <f>IF(B1200="","",TEXT(ROW()-3,"""DC-""0000"))</f>
        <v/>
      </c>
      <c r="B1200" s="5" t="n"/>
      <c r="C1200" s="5" t="n"/>
      <c r="D1200" s="5" t="n"/>
      <c r="E1200" s="5" t="n"/>
      <c r="F1200" s="5" t="n"/>
      <c r="G1200" s="5" t="n"/>
      <c r="H1200" s="8" t="n"/>
      <c r="I1200" s="8" t="n"/>
      <c r="J1200" s="8" t="n"/>
      <c r="K1200" s="11">
        <f>IF(B1200="","",MAX(0,IFERROR(I1200,0)*IFERROR(H1200,0)-IFERROR(J1200,0)))</f>
        <v/>
      </c>
      <c r="L1200" s="8" t="n"/>
      <c r="M1200" s="11">
        <f>IF(B1200="","",MAX(0,K1200-L1200))</f>
        <v/>
      </c>
      <c r="N1200" s="11">
        <f>IF(B1200="","",IF(L1200&gt;=K1200,"Paid",IF(L1200&gt;0,"Partial","Unpaid")))</f>
        <v/>
      </c>
      <c r="O1200" s="5" t="n"/>
      <c r="P1200" s="8" t="n"/>
      <c r="Q1200" s="8" t="n"/>
      <c r="R1200" s="11">
        <f>IF(B1200="","",IFERROR(K1200,0)+IFERROR(P1200,0)-IFERROR(Q1200,0))</f>
        <v/>
      </c>
      <c r="S1200" s="5" t="n"/>
      <c r="T1200" s="5" t="n"/>
      <c r="U1200" s="11">
        <f>IF(B1200="","",TRIM(LOWER(C1200)&amp;"|"&amp;LOWER(D1200)))</f>
        <v/>
      </c>
    </row>
    <row r="1201">
      <c r="A1201" s="11">
        <f>IF(B1201="","",TEXT(ROW()-3,"""DC-""0000"))</f>
        <v/>
      </c>
      <c r="B1201" s="5" t="n"/>
      <c r="C1201" s="5" t="n"/>
      <c r="D1201" s="5" t="n"/>
      <c r="E1201" s="5" t="n"/>
      <c r="F1201" s="5" t="n"/>
      <c r="G1201" s="5" t="n"/>
      <c r="H1201" s="8" t="n"/>
      <c r="I1201" s="8" t="n"/>
      <c r="J1201" s="8" t="n"/>
      <c r="K1201" s="11">
        <f>IF(B1201="","",MAX(0,IFERROR(I1201,0)*IFERROR(H1201,0)-IFERROR(J1201,0)))</f>
        <v/>
      </c>
      <c r="L1201" s="8" t="n"/>
      <c r="M1201" s="11">
        <f>IF(B1201="","",MAX(0,K1201-L1201))</f>
        <v/>
      </c>
      <c r="N1201" s="11">
        <f>IF(B1201="","",IF(L1201&gt;=K1201,"Paid",IF(L1201&gt;0,"Partial","Unpaid")))</f>
        <v/>
      </c>
      <c r="O1201" s="5" t="n"/>
      <c r="P1201" s="8" t="n"/>
      <c r="Q1201" s="8" t="n"/>
      <c r="R1201" s="11">
        <f>IF(B1201="","",IFERROR(K1201,0)+IFERROR(P1201,0)-IFERROR(Q1201,0))</f>
        <v/>
      </c>
      <c r="S1201" s="5" t="n"/>
      <c r="T1201" s="5" t="n"/>
      <c r="U1201" s="11">
        <f>IF(B1201="","",TRIM(LOWER(C1201)&amp;"|"&amp;LOWER(D1201)))</f>
        <v/>
      </c>
    </row>
    <row r="1202">
      <c r="A1202" s="11">
        <f>IF(B1202="","",TEXT(ROW()-3,"""DC-""0000"))</f>
        <v/>
      </c>
      <c r="B1202" s="5" t="n"/>
      <c r="C1202" s="5" t="n"/>
      <c r="D1202" s="5" t="n"/>
      <c r="E1202" s="5" t="n"/>
      <c r="F1202" s="5" t="n"/>
      <c r="G1202" s="5" t="n"/>
      <c r="H1202" s="8" t="n"/>
      <c r="I1202" s="8" t="n"/>
      <c r="J1202" s="8" t="n"/>
      <c r="K1202" s="11">
        <f>IF(B1202="","",MAX(0,IFERROR(I1202,0)*IFERROR(H1202,0)-IFERROR(J1202,0)))</f>
        <v/>
      </c>
      <c r="L1202" s="8" t="n"/>
      <c r="M1202" s="11">
        <f>IF(B1202="","",MAX(0,K1202-L1202))</f>
        <v/>
      </c>
      <c r="N1202" s="11">
        <f>IF(B1202="","",IF(L1202&gt;=K1202,"Paid",IF(L1202&gt;0,"Partial","Unpaid")))</f>
        <v/>
      </c>
      <c r="O1202" s="5" t="n"/>
      <c r="P1202" s="8" t="n"/>
      <c r="Q1202" s="8" t="n"/>
      <c r="R1202" s="11">
        <f>IF(B1202="","",IFERROR(K1202,0)+IFERROR(P1202,0)-IFERROR(Q1202,0))</f>
        <v/>
      </c>
      <c r="S1202" s="5" t="n"/>
      <c r="T1202" s="5" t="n"/>
      <c r="U1202" s="11">
        <f>IF(B1202="","",TRIM(LOWER(C1202)&amp;"|"&amp;LOWER(D1202)))</f>
        <v/>
      </c>
    </row>
    <row r="1203">
      <c r="A1203" s="11">
        <f>IF(B1203="","",TEXT(ROW()-3,"""DC-""0000"))</f>
        <v/>
      </c>
      <c r="B1203" s="5" t="n"/>
      <c r="C1203" s="5" t="n"/>
      <c r="D1203" s="5" t="n"/>
      <c r="E1203" s="5" t="n"/>
      <c r="F1203" s="5" t="n"/>
      <c r="G1203" s="5" t="n"/>
      <c r="H1203" s="8" t="n"/>
      <c r="I1203" s="8" t="n"/>
      <c r="J1203" s="8" t="n"/>
      <c r="K1203" s="11">
        <f>IF(B1203="","",MAX(0,IFERROR(I1203,0)*IFERROR(H1203,0)-IFERROR(J1203,0)))</f>
        <v/>
      </c>
      <c r="L1203" s="8" t="n"/>
      <c r="M1203" s="11">
        <f>IF(B1203="","",MAX(0,K1203-L1203))</f>
        <v/>
      </c>
      <c r="N1203" s="11">
        <f>IF(B1203="","",IF(L1203&gt;=K1203,"Paid",IF(L1203&gt;0,"Partial","Unpaid")))</f>
        <v/>
      </c>
      <c r="O1203" s="5" t="n"/>
      <c r="P1203" s="8" t="n"/>
      <c r="Q1203" s="8" t="n"/>
      <c r="R1203" s="11">
        <f>IF(B1203="","",IFERROR(K1203,0)+IFERROR(P1203,0)-IFERROR(Q1203,0))</f>
        <v/>
      </c>
      <c r="S1203" s="5" t="n"/>
      <c r="T1203" s="5" t="n"/>
      <c r="U1203" s="11">
        <f>IF(B1203="","",TRIM(LOWER(C1203)&amp;"|"&amp;LOWER(D1203)))</f>
        <v/>
      </c>
    </row>
    <row r="1204">
      <c r="A1204" s="11">
        <f>IF(B1204="","",TEXT(ROW()-3,"""DC-""0000"))</f>
        <v/>
      </c>
      <c r="B1204" s="5" t="n"/>
      <c r="C1204" s="5" t="n"/>
      <c r="D1204" s="5" t="n"/>
      <c r="E1204" s="5" t="n"/>
      <c r="F1204" s="5" t="n"/>
      <c r="G1204" s="5" t="n"/>
      <c r="H1204" s="8" t="n"/>
      <c r="I1204" s="8" t="n"/>
      <c r="J1204" s="8" t="n"/>
      <c r="K1204" s="11">
        <f>IF(B1204="","",MAX(0,IFERROR(I1204,0)*IFERROR(H1204,0)-IFERROR(J1204,0)))</f>
        <v/>
      </c>
      <c r="L1204" s="8" t="n"/>
      <c r="M1204" s="11">
        <f>IF(B1204="","",MAX(0,K1204-L1204))</f>
        <v/>
      </c>
      <c r="N1204" s="11">
        <f>IF(B1204="","",IF(L1204&gt;=K1204,"Paid",IF(L1204&gt;0,"Partial","Unpaid")))</f>
        <v/>
      </c>
      <c r="O1204" s="5" t="n"/>
      <c r="P1204" s="8" t="n"/>
      <c r="Q1204" s="8" t="n"/>
      <c r="R1204" s="11">
        <f>IF(B1204="","",IFERROR(K1204,0)+IFERROR(P1204,0)-IFERROR(Q1204,0))</f>
        <v/>
      </c>
      <c r="S1204" s="5" t="n"/>
      <c r="T1204" s="5" t="n"/>
      <c r="U1204" s="11">
        <f>IF(B1204="","",TRIM(LOWER(C1204)&amp;"|"&amp;LOWER(D1204)))</f>
        <v/>
      </c>
    </row>
    <row r="1205">
      <c r="A1205" s="11">
        <f>IF(B1205="","",TEXT(ROW()-3,"""DC-""0000"))</f>
        <v/>
      </c>
      <c r="B1205" s="5" t="n"/>
      <c r="C1205" s="5" t="n"/>
      <c r="D1205" s="5" t="n"/>
      <c r="E1205" s="5" t="n"/>
      <c r="F1205" s="5" t="n"/>
      <c r="G1205" s="5" t="n"/>
      <c r="H1205" s="8" t="n"/>
      <c r="I1205" s="8" t="n"/>
      <c r="J1205" s="8" t="n"/>
      <c r="K1205" s="11">
        <f>IF(B1205="","",MAX(0,IFERROR(I1205,0)*IFERROR(H1205,0)-IFERROR(J1205,0)))</f>
        <v/>
      </c>
      <c r="L1205" s="8" t="n"/>
      <c r="M1205" s="11">
        <f>IF(B1205="","",MAX(0,K1205-L1205))</f>
        <v/>
      </c>
      <c r="N1205" s="11">
        <f>IF(B1205="","",IF(L1205&gt;=K1205,"Paid",IF(L1205&gt;0,"Partial","Unpaid")))</f>
        <v/>
      </c>
      <c r="O1205" s="5" t="n"/>
      <c r="P1205" s="8" t="n"/>
      <c r="Q1205" s="8" t="n"/>
      <c r="R1205" s="11">
        <f>IF(B1205="","",IFERROR(K1205,0)+IFERROR(P1205,0)-IFERROR(Q1205,0))</f>
        <v/>
      </c>
      <c r="S1205" s="5" t="n"/>
      <c r="T1205" s="5" t="n"/>
      <c r="U1205" s="11">
        <f>IF(B1205="","",TRIM(LOWER(C1205)&amp;"|"&amp;LOWER(D1205)))</f>
        <v/>
      </c>
    </row>
    <row r="1206">
      <c r="A1206" s="11">
        <f>IF(B1206="","",TEXT(ROW()-3,"""DC-""0000"))</f>
        <v/>
      </c>
      <c r="B1206" s="5" t="n"/>
      <c r="C1206" s="5" t="n"/>
      <c r="D1206" s="5" t="n"/>
      <c r="E1206" s="5" t="n"/>
      <c r="F1206" s="5" t="n"/>
      <c r="G1206" s="5" t="n"/>
      <c r="H1206" s="8" t="n"/>
      <c r="I1206" s="8" t="n"/>
      <c r="J1206" s="8" t="n"/>
      <c r="K1206" s="11">
        <f>IF(B1206="","",MAX(0,IFERROR(I1206,0)*IFERROR(H1206,0)-IFERROR(J1206,0)))</f>
        <v/>
      </c>
      <c r="L1206" s="8" t="n"/>
      <c r="M1206" s="11">
        <f>IF(B1206="","",MAX(0,K1206-L1206))</f>
        <v/>
      </c>
      <c r="N1206" s="11">
        <f>IF(B1206="","",IF(L1206&gt;=K1206,"Paid",IF(L1206&gt;0,"Partial","Unpaid")))</f>
        <v/>
      </c>
      <c r="O1206" s="5" t="n"/>
      <c r="P1206" s="8" t="n"/>
      <c r="Q1206" s="8" t="n"/>
      <c r="R1206" s="11">
        <f>IF(B1206="","",IFERROR(K1206,0)+IFERROR(P1206,0)-IFERROR(Q1206,0))</f>
        <v/>
      </c>
      <c r="S1206" s="5" t="n"/>
      <c r="T1206" s="5" t="n"/>
      <c r="U1206" s="11">
        <f>IF(B1206="","",TRIM(LOWER(C1206)&amp;"|"&amp;LOWER(D1206)))</f>
        <v/>
      </c>
    </row>
    <row r="1207">
      <c r="A1207" s="11">
        <f>IF(B1207="","",TEXT(ROW()-3,"""DC-""0000"))</f>
        <v/>
      </c>
      <c r="B1207" s="5" t="n"/>
      <c r="C1207" s="5" t="n"/>
      <c r="D1207" s="5" t="n"/>
      <c r="E1207" s="5" t="n"/>
      <c r="F1207" s="5" t="n"/>
      <c r="G1207" s="5" t="n"/>
      <c r="H1207" s="8" t="n"/>
      <c r="I1207" s="8" t="n"/>
      <c r="J1207" s="8" t="n"/>
      <c r="K1207" s="11">
        <f>IF(B1207="","",MAX(0,IFERROR(I1207,0)*IFERROR(H1207,0)-IFERROR(J1207,0)))</f>
        <v/>
      </c>
      <c r="L1207" s="8" t="n"/>
      <c r="M1207" s="11">
        <f>IF(B1207="","",MAX(0,K1207-L1207))</f>
        <v/>
      </c>
      <c r="N1207" s="11">
        <f>IF(B1207="","",IF(L1207&gt;=K1207,"Paid",IF(L1207&gt;0,"Partial","Unpaid")))</f>
        <v/>
      </c>
      <c r="O1207" s="5" t="n"/>
      <c r="P1207" s="8" t="n"/>
      <c r="Q1207" s="8" t="n"/>
      <c r="R1207" s="11">
        <f>IF(B1207="","",IFERROR(K1207,0)+IFERROR(P1207,0)-IFERROR(Q1207,0))</f>
        <v/>
      </c>
      <c r="S1207" s="5" t="n"/>
      <c r="T1207" s="5" t="n"/>
      <c r="U1207" s="11">
        <f>IF(B1207="","",TRIM(LOWER(C1207)&amp;"|"&amp;LOWER(D1207)))</f>
        <v/>
      </c>
    </row>
    <row r="1208">
      <c r="A1208" s="11">
        <f>IF(B1208="","",TEXT(ROW()-3,"""DC-""0000"))</f>
        <v/>
      </c>
      <c r="B1208" s="5" t="n"/>
      <c r="C1208" s="5" t="n"/>
      <c r="D1208" s="5" t="n"/>
      <c r="E1208" s="5" t="n"/>
      <c r="F1208" s="5" t="n"/>
      <c r="G1208" s="5" t="n"/>
      <c r="H1208" s="8" t="n"/>
      <c r="I1208" s="8" t="n"/>
      <c r="J1208" s="8" t="n"/>
      <c r="K1208" s="11">
        <f>IF(B1208="","",MAX(0,IFERROR(I1208,0)*IFERROR(H1208,0)-IFERROR(J1208,0)))</f>
        <v/>
      </c>
      <c r="L1208" s="8" t="n"/>
      <c r="M1208" s="11">
        <f>IF(B1208="","",MAX(0,K1208-L1208))</f>
        <v/>
      </c>
      <c r="N1208" s="11">
        <f>IF(B1208="","",IF(L1208&gt;=K1208,"Paid",IF(L1208&gt;0,"Partial","Unpaid")))</f>
        <v/>
      </c>
      <c r="O1208" s="5" t="n"/>
      <c r="P1208" s="8" t="n"/>
      <c r="Q1208" s="8" t="n"/>
      <c r="R1208" s="11">
        <f>IF(B1208="","",IFERROR(K1208,0)+IFERROR(P1208,0)-IFERROR(Q1208,0))</f>
        <v/>
      </c>
      <c r="S1208" s="5" t="n"/>
      <c r="T1208" s="5" t="n"/>
      <c r="U1208" s="11">
        <f>IF(B1208="","",TRIM(LOWER(C1208)&amp;"|"&amp;LOWER(D1208)))</f>
        <v/>
      </c>
    </row>
    <row r="1209">
      <c r="A1209" s="11">
        <f>IF(B1209="","",TEXT(ROW()-3,"""DC-""0000"))</f>
        <v/>
      </c>
      <c r="B1209" s="5" t="n"/>
      <c r="C1209" s="5" t="n"/>
      <c r="D1209" s="5" t="n"/>
      <c r="E1209" s="5" t="n"/>
      <c r="F1209" s="5" t="n"/>
      <c r="G1209" s="5" t="n"/>
      <c r="H1209" s="8" t="n"/>
      <c r="I1209" s="8" t="n"/>
      <c r="J1209" s="8" t="n"/>
      <c r="K1209" s="11">
        <f>IF(B1209="","",MAX(0,IFERROR(I1209,0)*IFERROR(H1209,0)-IFERROR(J1209,0)))</f>
        <v/>
      </c>
      <c r="L1209" s="8" t="n"/>
      <c r="M1209" s="11">
        <f>IF(B1209="","",MAX(0,K1209-L1209))</f>
        <v/>
      </c>
      <c r="N1209" s="11">
        <f>IF(B1209="","",IF(L1209&gt;=K1209,"Paid",IF(L1209&gt;0,"Partial","Unpaid")))</f>
        <v/>
      </c>
      <c r="O1209" s="5" t="n"/>
      <c r="P1209" s="8" t="n"/>
      <c r="Q1209" s="8" t="n"/>
      <c r="R1209" s="11">
        <f>IF(B1209="","",IFERROR(K1209,0)+IFERROR(P1209,0)-IFERROR(Q1209,0))</f>
        <v/>
      </c>
      <c r="S1209" s="5" t="n"/>
      <c r="T1209" s="5" t="n"/>
      <c r="U1209" s="11">
        <f>IF(B1209="","",TRIM(LOWER(C1209)&amp;"|"&amp;LOWER(D1209)))</f>
        <v/>
      </c>
    </row>
    <row r="1210">
      <c r="A1210" s="11">
        <f>IF(B1210="","",TEXT(ROW()-3,"""DC-""0000"))</f>
        <v/>
      </c>
      <c r="B1210" s="5" t="n"/>
      <c r="C1210" s="5" t="n"/>
      <c r="D1210" s="5" t="n"/>
      <c r="E1210" s="5" t="n"/>
      <c r="F1210" s="5" t="n"/>
      <c r="G1210" s="5" t="n"/>
      <c r="H1210" s="8" t="n"/>
      <c r="I1210" s="8" t="n"/>
      <c r="J1210" s="8" t="n"/>
      <c r="K1210" s="11">
        <f>IF(B1210="","",MAX(0,IFERROR(I1210,0)*IFERROR(H1210,0)-IFERROR(J1210,0)))</f>
        <v/>
      </c>
      <c r="L1210" s="8" t="n"/>
      <c r="M1210" s="11">
        <f>IF(B1210="","",MAX(0,K1210-L1210))</f>
        <v/>
      </c>
      <c r="N1210" s="11">
        <f>IF(B1210="","",IF(L1210&gt;=K1210,"Paid",IF(L1210&gt;0,"Partial","Unpaid")))</f>
        <v/>
      </c>
      <c r="O1210" s="5" t="n"/>
      <c r="P1210" s="8" t="n"/>
      <c r="Q1210" s="8" t="n"/>
      <c r="R1210" s="11">
        <f>IF(B1210="","",IFERROR(K1210,0)+IFERROR(P1210,0)-IFERROR(Q1210,0))</f>
        <v/>
      </c>
      <c r="S1210" s="5" t="n"/>
      <c r="T1210" s="5" t="n"/>
      <c r="U1210" s="11">
        <f>IF(B1210="","",TRIM(LOWER(C1210)&amp;"|"&amp;LOWER(D1210)))</f>
        <v/>
      </c>
    </row>
    <row r="1211">
      <c r="A1211" s="11">
        <f>IF(B1211="","",TEXT(ROW()-3,"""DC-""0000"))</f>
        <v/>
      </c>
      <c r="B1211" s="5" t="n"/>
      <c r="C1211" s="5" t="n"/>
      <c r="D1211" s="5" t="n"/>
      <c r="E1211" s="5" t="n"/>
      <c r="F1211" s="5" t="n"/>
      <c r="G1211" s="5" t="n"/>
      <c r="H1211" s="8" t="n"/>
      <c r="I1211" s="8" t="n"/>
      <c r="J1211" s="8" t="n"/>
      <c r="K1211" s="11">
        <f>IF(B1211="","",MAX(0,IFERROR(I1211,0)*IFERROR(H1211,0)-IFERROR(J1211,0)))</f>
        <v/>
      </c>
      <c r="L1211" s="8" t="n"/>
      <c r="M1211" s="11">
        <f>IF(B1211="","",MAX(0,K1211-L1211))</f>
        <v/>
      </c>
      <c r="N1211" s="11">
        <f>IF(B1211="","",IF(L1211&gt;=K1211,"Paid",IF(L1211&gt;0,"Partial","Unpaid")))</f>
        <v/>
      </c>
      <c r="O1211" s="5" t="n"/>
      <c r="P1211" s="8" t="n"/>
      <c r="Q1211" s="8" t="n"/>
      <c r="R1211" s="11">
        <f>IF(B1211="","",IFERROR(K1211,0)+IFERROR(P1211,0)-IFERROR(Q1211,0))</f>
        <v/>
      </c>
      <c r="S1211" s="5" t="n"/>
      <c r="T1211" s="5" t="n"/>
      <c r="U1211" s="11">
        <f>IF(B1211="","",TRIM(LOWER(C1211)&amp;"|"&amp;LOWER(D1211)))</f>
        <v/>
      </c>
    </row>
    <row r="1212">
      <c r="A1212" s="11">
        <f>IF(B1212="","",TEXT(ROW()-3,"""DC-""0000"))</f>
        <v/>
      </c>
      <c r="B1212" s="5" t="n"/>
      <c r="C1212" s="5" t="n"/>
      <c r="D1212" s="5" t="n"/>
      <c r="E1212" s="5" t="n"/>
      <c r="F1212" s="5" t="n"/>
      <c r="G1212" s="5" t="n"/>
      <c r="H1212" s="8" t="n"/>
      <c r="I1212" s="8" t="n"/>
      <c r="J1212" s="8" t="n"/>
      <c r="K1212" s="11">
        <f>IF(B1212="","",MAX(0,IFERROR(I1212,0)*IFERROR(H1212,0)-IFERROR(J1212,0)))</f>
        <v/>
      </c>
      <c r="L1212" s="8" t="n"/>
      <c r="M1212" s="11">
        <f>IF(B1212="","",MAX(0,K1212-L1212))</f>
        <v/>
      </c>
      <c r="N1212" s="11">
        <f>IF(B1212="","",IF(L1212&gt;=K1212,"Paid",IF(L1212&gt;0,"Partial","Unpaid")))</f>
        <v/>
      </c>
      <c r="O1212" s="5" t="n"/>
      <c r="P1212" s="8" t="n"/>
      <c r="Q1212" s="8" t="n"/>
      <c r="R1212" s="11">
        <f>IF(B1212="","",IFERROR(K1212,0)+IFERROR(P1212,0)-IFERROR(Q1212,0))</f>
        <v/>
      </c>
      <c r="S1212" s="5" t="n"/>
      <c r="T1212" s="5" t="n"/>
      <c r="U1212" s="11">
        <f>IF(B1212="","",TRIM(LOWER(C1212)&amp;"|"&amp;LOWER(D1212)))</f>
        <v/>
      </c>
    </row>
    <row r="1213">
      <c r="A1213" s="11">
        <f>IF(B1213="","",TEXT(ROW()-3,"""DC-""0000"))</f>
        <v/>
      </c>
      <c r="B1213" s="5" t="n"/>
      <c r="C1213" s="5" t="n"/>
      <c r="D1213" s="5" t="n"/>
      <c r="E1213" s="5" t="n"/>
      <c r="F1213" s="5" t="n"/>
      <c r="G1213" s="5" t="n"/>
      <c r="H1213" s="8" t="n"/>
      <c r="I1213" s="8" t="n"/>
      <c r="J1213" s="8" t="n"/>
      <c r="K1213" s="11">
        <f>IF(B1213="","",MAX(0,IFERROR(I1213,0)*IFERROR(H1213,0)-IFERROR(J1213,0)))</f>
        <v/>
      </c>
      <c r="L1213" s="8" t="n"/>
      <c r="M1213" s="11">
        <f>IF(B1213="","",MAX(0,K1213-L1213))</f>
        <v/>
      </c>
      <c r="N1213" s="11">
        <f>IF(B1213="","",IF(L1213&gt;=K1213,"Paid",IF(L1213&gt;0,"Partial","Unpaid")))</f>
        <v/>
      </c>
      <c r="O1213" s="5" t="n"/>
      <c r="P1213" s="8" t="n"/>
      <c r="Q1213" s="8" t="n"/>
      <c r="R1213" s="11">
        <f>IF(B1213="","",IFERROR(K1213,0)+IFERROR(P1213,0)-IFERROR(Q1213,0))</f>
        <v/>
      </c>
      <c r="S1213" s="5" t="n"/>
      <c r="T1213" s="5" t="n"/>
      <c r="U1213" s="11">
        <f>IF(B1213="","",TRIM(LOWER(C1213)&amp;"|"&amp;LOWER(D1213)))</f>
        <v/>
      </c>
    </row>
    <row r="1214">
      <c r="A1214" s="11">
        <f>IF(B1214="","",TEXT(ROW()-3,"""DC-""0000"))</f>
        <v/>
      </c>
      <c r="B1214" s="5" t="n"/>
      <c r="C1214" s="5" t="n"/>
      <c r="D1214" s="5" t="n"/>
      <c r="E1214" s="5" t="n"/>
      <c r="F1214" s="5" t="n"/>
      <c r="G1214" s="5" t="n"/>
      <c r="H1214" s="8" t="n"/>
      <c r="I1214" s="8" t="n"/>
      <c r="J1214" s="8" t="n"/>
      <c r="K1214" s="11">
        <f>IF(B1214="","",MAX(0,IFERROR(I1214,0)*IFERROR(H1214,0)-IFERROR(J1214,0)))</f>
        <v/>
      </c>
      <c r="L1214" s="8" t="n"/>
      <c r="M1214" s="11">
        <f>IF(B1214="","",MAX(0,K1214-L1214))</f>
        <v/>
      </c>
      <c r="N1214" s="11">
        <f>IF(B1214="","",IF(L1214&gt;=K1214,"Paid",IF(L1214&gt;0,"Partial","Unpaid")))</f>
        <v/>
      </c>
      <c r="O1214" s="5" t="n"/>
      <c r="P1214" s="8" t="n"/>
      <c r="Q1214" s="8" t="n"/>
      <c r="R1214" s="11">
        <f>IF(B1214="","",IFERROR(K1214,0)+IFERROR(P1214,0)-IFERROR(Q1214,0))</f>
        <v/>
      </c>
      <c r="S1214" s="5" t="n"/>
      <c r="T1214" s="5" t="n"/>
      <c r="U1214" s="11">
        <f>IF(B1214="","",TRIM(LOWER(C1214)&amp;"|"&amp;LOWER(D1214)))</f>
        <v/>
      </c>
    </row>
    <row r="1215">
      <c r="A1215" s="11">
        <f>IF(B1215="","",TEXT(ROW()-3,"""DC-""0000"))</f>
        <v/>
      </c>
      <c r="B1215" s="5" t="n"/>
      <c r="C1215" s="5" t="n"/>
      <c r="D1215" s="5" t="n"/>
      <c r="E1215" s="5" t="n"/>
      <c r="F1215" s="5" t="n"/>
      <c r="G1215" s="5" t="n"/>
      <c r="H1215" s="8" t="n"/>
      <c r="I1215" s="8" t="n"/>
      <c r="J1215" s="8" t="n"/>
      <c r="K1215" s="11">
        <f>IF(B1215="","",MAX(0,IFERROR(I1215,0)*IFERROR(H1215,0)-IFERROR(J1215,0)))</f>
        <v/>
      </c>
      <c r="L1215" s="8" t="n"/>
      <c r="M1215" s="11">
        <f>IF(B1215="","",MAX(0,K1215-L1215))</f>
        <v/>
      </c>
      <c r="N1215" s="11">
        <f>IF(B1215="","",IF(L1215&gt;=K1215,"Paid",IF(L1215&gt;0,"Partial","Unpaid")))</f>
        <v/>
      </c>
      <c r="O1215" s="5" t="n"/>
      <c r="P1215" s="8" t="n"/>
      <c r="Q1215" s="8" t="n"/>
      <c r="R1215" s="11">
        <f>IF(B1215="","",IFERROR(K1215,0)+IFERROR(P1215,0)-IFERROR(Q1215,0))</f>
        <v/>
      </c>
      <c r="S1215" s="5" t="n"/>
      <c r="T1215" s="5" t="n"/>
      <c r="U1215" s="11">
        <f>IF(B1215="","",TRIM(LOWER(C1215)&amp;"|"&amp;LOWER(D1215)))</f>
        <v/>
      </c>
    </row>
    <row r="1216">
      <c r="A1216" s="11">
        <f>IF(B1216="","",TEXT(ROW()-3,"""DC-""0000"))</f>
        <v/>
      </c>
      <c r="B1216" s="5" t="n"/>
      <c r="C1216" s="5" t="n"/>
      <c r="D1216" s="5" t="n"/>
      <c r="E1216" s="5" t="n"/>
      <c r="F1216" s="5" t="n"/>
      <c r="G1216" s="5" t="n"/>
      <c r="H1216" s="8" t="n"/>
      <c r="I1216" s="8" t="n"/>
      <c r="J1216" s="8" t="n"/>
      <c r="K1216" s="11">
        <f>IF(B1216="","",MAX(0,IFERROR(I1216,0)*IFERROR(H1216,0)-IFERROR(J1216,0)))</f>
        <v/>
      </c>
      <c r="L1216" s="8" t="n"/>
      <c r="M1216" s="11">
        <f>IF(B1216="","",MAX(0,K1216-L1216))</f>
        <v/>
      </c>
      <c r="N1216" s="11">
        <f>IF(B1216="","",IF(L1216&gt;=K1216,"Paid",IF(L1216&gt;0,"Partial","Unpaid")))</f>
        <v/>
      </c>
      <c r="O1216" s="5" t="n"/>
      <c r="P1216" s="8" t="n"/>
      <c r="Q1216" s="8" t="n"/>
      <c r="R1216" s="11">
        <f>IF(B1216="","",IFERROR(K1216,0)+IFERROR(P1216,0)-IFERROR(Q1216,0))</f>
        <v/>
      </c>
      <c r="S1216" s="5" t="n"/>
      <c r="T1216" s="5" t="n"/>
      <c r="U1216" s="11">
        <f>IF(B1216="","",TRIM(LOWER(C1216)&amp;"|"&amp;LOWER(D1216)))</f>
        <v/>
      </c>
    </row>
    <row r="1217">
      <c r="A1217" s="11">
        <f>IF(B1217="","",TEXT(ROW()-3,"""DC-""0000"))</f>
        <v/>
      </c>
      <c r="B1217" s="5" t="n"/>
      <c r="C1217" s="5" t="n"/>
      <c r="D1217" s="5" t="n"/>
      <c r="E1217" s="5" t="n"/>
      <c r="F1217" s="5" t="n"/>
      <c r="G1217" s="5" t="n"/>
      <c r="H1217" s="8" t="n"/>
      <c r="I1217" s="8" t="n"/>
      <c r="J1217" s="8" t="n"/>
      <c r="K1217" s="11">
        <f>IF(B1217="","",MAX(0,IFERROR(I1217,0)*IFERROR(H1217,0)-IFERROR(J1217,0)))</f>
        <v/>
      </c>
      <c r="L1217" s="8" t="n"/>
      <c r="M1217" s="11">
        <f>IF(B1217="","",MAX(0,K1217-L1217))</f>
        <v/>
      </c>
      <c r="N1217" s="11">
        <f>IF(B1217="","",IF(L1217&gt;=K1217,"Paid",IF(L1217&gt;0,"Partial","Unpaid")))</f>
        <v/>
      </c>
      <c r="O1217" s="5" t="n"/>
      <c r="P1217" s="8" t="n"/>
      <c r="Q1217" s="8" t="n"/>
      <c r="R1217" s="11">
        <f>IF(B1217="","",IFERROR(K1217,0)+IFERROR(P1217,0)-IFERROR(Q1217,0))</f>
        <v/>
      </c>
      <c r="S1217" s="5" t="n"/>
      <c r="T1217" s="5" t="n"/>
      <c r="U1217" s="11">
        <f>IF(B1217="","",TRIM(LOWER(C1217)&amp;"|"&amp;LOWER(D1217)))</f>
        <v/>
      </c>
    </row>
    <row r="1218">
      <c r="A1218" s="11">
        <f>IF(B1218="","",TEXT(ROW()-3,"""DC-""0000"))</f>
        <v/>
      </c>
      <c r="B1218" s="5" t="n"/>
      <c r="C1218" s="5" t="n"/>
      <c r="D1218" s="5" t="n"/>
      <c r="E1218" s="5" t="n"/>
      <c r="F1218" s="5" t="n"/>
      <c r="G1218" s="5" t="n"/>
      <c r="H1218" s="8" t="n"/>
      <c r="I1218" s="8" t="n"/>
      <c r="J1218" s="8" t="n"/>
      <c r="K1218" s="11">
        <f>IF(B1218="","",MAX(0,IFERROR(I1218,0)*IFERROR(H1218,0)-IFERROR(J1218,0)))</f>
        <v/>
      </c>
      <c r="L1218" s="8" t="n"/>
      <c r="M1218" s="11">
        <f>IF(B1218="","",MAX(0,K1218-L1218))</f>
        <v/>
      </c>
      <c r="N1218" s="11">
        <f>IF(B1218="","",IF(L1218&gt;=K1218,"Paid",IF(L1218&gt;0,"Partial","Unpaid")))</f>
        <v/>
      </c>
      <c r="O1218" s="5" t="n"/>
      <c r="P1218" s="8" t="n"/>
      <c r="Q1218" s="8" t="n"/>
      <c r="R1218" s="11">
        <f>IF(B1218="","",IFERROR(K1218,0)+IFERROR(P1218,0)-IFERROR(Q1218,0))</f>
        <v/>
      </c>
      <c r="S1218" s="5" t="n"/>
      <c r="T1218" s="5" t="n"/>
      <c r="U1218" s="11">
        <f>IF(B1218="","",TRIM(LOWER(C1218)&amp;"|"&amp;LOWER(D1218)))</f>
        <v/>
      </c>
    </row>
    <row r="1219">
      <c r="A1219" s="11">
        <f>IF(B1219="","",TEXT(ROW()-3,"""DC-""0000"))</f>
        <v/>
      </c>
      <c r="B1219" s="5" t="n"/>
      <c r="C1219" s="5" t="n"/>
      <c r="D1219" s="5" t="n"/>
      <c r="E1219" s="5" t="n"/>
      <c r="F1219" s="5" t="n"/>
      <c r="G1219" s="5" t="n"/>
      <c r="H1219" s="8" t="n"/>
      <c r="I1219" s="8" t="n"/>
      <c r="J1219" s="8" t="n"/>
      <c r="K1219" s="11">
        <f>IF(B1219="","",MAX(0,IFERROR(I1219,0)*IFERROR(H1219,0)-IFERROR(J1219,0)))</f>
        <v/>
      </c>
      <c r="L1219" s="8" t="n"/>
      <c r="M1219" s="11">
        <f>IF(B1219="","",MAX(0,K1219-L1219))</f>
        <v/>
      </c>
      <c r="N1219" s="11">
        <f>IF(B1219="","",IF(L1219&gt;=K1219,"Paid",IF(L1219&gt;0,"Partial","Unpaid")))</f>
        <v/>
      </c>
      <c r="O1219" s="5" t="n"/>
      <c r="P1219" s="8" t="n"/>
      <c r="Q1219" s="8" t="n"/>
      <c r="R1219" s="11">
        <f>IF(B1219="","",IFERROR(K1219,0)+IFERROR(P1219,0)-IFERROR(Q1219,0))</f>
        <v/>
      </c>
      <c r="S1219" s="5" t="n"/>
      <c r="T1219" s="5" t="n"/>
      <c r="U1219" s="11">
        <f>IF(B1219="","",TRIM(LOWER(C1219)&amp;"|"&amp;LOWER(D1219)))</f>
        <v/>
      </c>
    </row>
    <row r="1220">
      <c r="A1220" s="11">
        <f>IF(B1220="","",TEXT(ROW()-3,"""DC-""0000"))</f>
        <v/>
      </c>
      <c r="B1220" s="5" t="n"/>
      <c r="C1220" s="5" t="n"/>
      <c r="D1220" s="5" t="n"/>
      <c r="E1220" s="5" t="n"/>
      <c r="F1220" s="5" t="n"/>
      <c r="G1220" s="5" t="n"/>
      <c r="H1220" s="8" t="n"/>
      <c r="I1220" s="8" t="n"/>
      <c r="J1220" s="8" t="n"/>
      <c r="K1220" s="11">
        <f>IF(B1220="","",MAX(0,IFERROR(I1220,0)*IFERROR(H1220,0)-IFERROR(J1220,0)))</f>
        <v/>
      </c>
      <c r="L1220" s="8" t="n"/>
      <c r="M1220" s="11">
        <f>IF(B1220="","",MAX(0,K1220-L1220))</f>
        <v/>
      </c>
      <c r="N1220" s="11">
        <f>IF(B1220="","",IF(L1220&gt;=K1220,"Paid",IF(L1220&gt;0,"Partial","Unpaid")))</f>
        <v/>
      </c>
      <c r="O1220" s="5" t="n"/>
      <c r="P1220" s="8" t="n"/>
      <c r="Q1220" s="8" t="n"/>
      <c r="R1220" s="11">
        <f>IF(B1220="","",IFERROR(K1220,0)+IFERROR(P1220,0)-IFERROR(Q1220,0))</f>
        <v/>
      </c>
      <c r="S1220" s="5" t="n"/>
      <c r="T1220" s="5" t="n"/>
      <c r="U1220" s="11">
        <f>IF(B1220="","",TRIM(LOWER(C1220)&amp;"|"&amp;LOWER(D1220)))</f>
        <v/>
      </c>
    </row>
    <row r="1221">
      <c r="A1221" s="11">
        <f>IF(B1221="","",TEXT(ROW()-3,"""DC-""0000"))</f>
        <v/>
      </c>
      <c r="B1221" s="5" t="n"/>
      <c r="C1221" s="5" t="n"/>
      <c r="D1221" s="5" t="n"/>
      <c r="E1221" s="5" t="n"/>
      <c r="F1221" s="5" t="n"/>
      <c r="G1221" s="5" t="n"/>
      <c r="H1221" s="8" t="n"/>
      <c r="I1221" s="8" t="n"/>
      <c r="J1221" s="8" t="n"/>
      <c r="K1221" s="11">
        <f>IF(B1221="","",MAX(0,IFERROR(I1221,0)*IFERROR(H1221,0)-IFERROR(J1221,0)))</f>
        <v/>
      </c>
      <c r="L1221" s="8" t="n"/>
      <c r="M1221" s="11">
        <f>IF(B1221="","",MAX(0,K1221-L1221))</f>
        <v/>
      </c>
      <c r="N1221" s="11">
        <f>IF(B1221="","",IF(L1221&gt;=K1221,"Paid",IF(L1221&gt;0,"Partial","Unpaid")))</f>
        <v/>
      </c>
      <c r="O1221" s="5" t="n"/>
      <c r="P1221" s="8" t="n"/>
      <c r="Q1221" s="8" t="n"/>
      <c r="R1221" s="11">
        <f>IF(B1221="","",IFERROR(K1221,0)+IFERROR(P1221,0)-IFERROR(Q1221,0))</f>
        <v/>
      </c>
      <c r="S1221" s="5" t="n"/>
      <c r="T1221" s="5" t="n"/>
      <c r="U1221" s="11">
        <f>IF(B1221="","",TRIM(LOWER(C1221)&amp;"|"&amp;LOWER(D1221)))</f>
        <v/>
      </c>
    </row>
    <row r="1222">
      <c r="A1222" s="11">
        <f>IF(B1222="","",TEXT(ROW()-3,"""DC-""0000"))</f>
        <v/>
      </c>
      <c r="B1222" s="5" t="n"/>
      <c r="C1222" s="5" t="n"/>
      <c r="D1222" s="5" t="n"/>
      <c r="E1222" s="5" t="n"/>
      <c r="F1222" s="5" t="n"/>
      <c r="G1222" s="5" t="n"/>
      <c r="H1222" s="8" t="n"/>
      <c r="I1222" s="8" t="n"/>
      <c r="J1222" s="8" t="n"/>
      <c r="K1222" s="11">
        <f>IF(B1222="","",MAX(0,IFERROR(I1222,0)*IFERROR(H1222,0)-IFERROR(J1222,0)))</f>
        <v/>
      </c>
      <c r="L1222" s="8" t="n"/>
      <c r="M1222" s="11">
        <f>IF(B1222="","",MAX(0,K1222-L1222))</f>
        <v/>
      </c>
      <c r="N1222" s="11">
        <f>IF(B1222="","",IF(L1222&gt;=K1222,"Paid",IF(L1222&gt;0,"Partial","Unpaid")))</f>
        <v/>
      </c>
      <c r="O1222" s="5" t="n"/>
      <c r="P1222" s="8" t="n"/>
      <c r="Q1222" s="8" t="n"/>
      <c r="R1222" s="11">
        <f>IF(B1222="","",IFERROR(K1222,0)+IFERROR(P1222,0)-IFERROR(Q1222,0))</f>
        <v/>
      </c>
      <c r="S1222" s="5" t="n"/>
      <c r="T1222" s="5" t="n"/>
      <c r="U1222" s="11">
        <f>IF(B1222="","",TRIM(LOWER(C1222)&amp;"|"&amp;LOWER(D1222)))</f>
        <v/>
      </c>
    </row>
    <row r="1223">
      <c r="A1223" s="11">
        <f>IF(B1223="","",TEXT(ROW()-3,"""DC-""0000"))</f>
        <v/>
      </c>
      <c r="B1223" s="5" t="n"/>
      <c r="C1223" s="5" t="n"/>
      <c r="D1223" s="5" t="n"/>
      <c r="E1223" s="5" t="n"/>
      <c r="F1223" s="5" t="n"/>
      <c r="G1223" s="5" t="n"/>
      <c r="H1223" s="8" t="n"/>
      <c r="I1223" s="8" t="n"/>
      <c r="J1223" s="8" t="n"/>
      <c r="K1223" s="11">
        <f>IF(B1223="","",MAX(0,IFERROR(I1223,0)*IFERROR(H1223,0)-IFERROR(J1223,0)))</f>
        <v/>
      </c>
      <c r="L1223" s="8" t="n"/>
      <c r="M1223" s="11">
        <f>IF(B1223="","",MAX(0,K1223-L1223))</f>
        <v/>
      </c>
      <c r="N1223" s="11">
        <f>IF(B1223="","",IF(L1223&gt;=K1223,"Paid",IF(L1223&gt;0,"Partial","Unpaid")))</f>
        <v/>
      </c>
      <c r="O1223" s="5" t="n"/>
      <c r="P1223" s="8" t="n"/>
      <c r="Q1223" s="8" t="n"/>
      <c r="R1223" s="11">
        <f>IF(B1223="","",IFERROR(K1223,0)+IFERROR(P1223,0)-IFERROR(Q1223,0))</f>
        <v/>
      </c>
      <c r="S1223" s="5" t="n"/>
      <c r="T1223" s="5" t="n"/>
      <c r="U1223" s="11">
        <f>IF(B1223="","",TRIM(LOWER(C1223)&amp;"|"&amp;LOWER(D1223)))</f>
        <v/>
      </c>
    </row>
    <row r="1224">
      <c r="A1224" s="11">
        <f>IF(B1224="","",TEXT(ROW()-3,"""DC-""0000"))</f>
        <v/>
      </c>
      <c r="B1224" s="5" t="n"/>
      <c r="C1224" s="5" t="n"/>
      <c r="D1224" s="5" t="n"/>
      <c r="E1224" s="5" t="n"/>
      <c r="F1224" s="5" t="n"/>
      <c r="G1224" s="5" t="n"/>
      <c r="H1224" s="8" t="n"/>
      <c r="I1224" s="8" t="n"/>
      <c r="J1224" s="8" t="n"/>
      <c r="K1224" s="11">
        <f>IF(B1224="","",MAX(0,IFERROR(I1224,0)*IFERROR(H1224,0)-IFERROR(J1224,0)))</f>
        <v/>
      </c>
      <c r="L1224" s="8" t="n"/>
      <c r="M1224" s="11">
        <f>IF(B1224="","",MAX(0,K1224-L1224))</f>
        <v/>
      </c>
      <c r="N1224" s="11">
        <f>IF(B1224="","",IF(L1224&gt;=K1224,"Paid",IF(L1224&gt;0,"Partial","Unpaid")))</f>
        <v/>
      </c>
      <c r="O1224" s="5" t="n"/>
      <c r="P1224" s="8" t="n"/>
      <c r="Q1224" s="8" t="n"/>
      <c r="R1224" s="11">
        <f>IF(B1224="","",IFERROR(K1224,0)+IFERROR(P1224,0)-IFERROR(Q1224,0))</f>
        <v/>
      </c>
      <c r="S1224" s="5" t="n"/>
      <c r="T1224" s="5" t="n"/>
      <c r="U1224" s="11">
        <f>IF(B1224="","",TRIM(LOWER(C1224)&amp;"|"&amp;LOWER(D1224)))</f>
        <v/>
      </c>
    </row>
    <row r="1225">
      <c r="A1225" s="11">
        <f>IF(B1225="","",TEXT(ROW()-3,"""DC-""0000"))</f>
        <v/>
      </c>
      <c r="B1225" s="5" t="n"/>
      <c r="C1225" s="5" t="n"/>
      <c r="D1225" s="5" t="n"/>
      <c r="E1225" s="5" t="n"/>
      <c r="F1225" s="5" t="n"/>
      <c r="G1225" s="5" t="n"/>
      <c r="H1225" s="8" t="n"/>
      <c r="I1225" s="8" t="n"/>
      <c r="J1225" s="8" t="n"/>
      <c r="K1225" s="11">
        <f>IF(B1225="","",MAX(0,IFERROR(I1225,0)*IFERROR(H1225,0)-IFERROR(J1225,0)))</f>
        <v/>
      </c>
      <c r="L1225" s="8" t="n"/>
      <c r="M1225" s="11">
        <f>IF(B1225="","",MAX(0,K1225-L1225))</f>
        <v/>
      </c>
      <c r="N1225" s="11">
        <f>IF(B1225="","",IF(L1225&gt;=K1225,"Paid",IF(L1225&gt;0,"Partial","Unpaid")))</f>
        <v/>
      </c>
      <c r="O1225" s="5" t="n"/>
      <c r="P1225" s="8" t="n"/>
      <c r="Q1225" s="8" t="n"/>
      <c r="R1225" s="11">
        <f>IF(B1225="","",IFERROR(K1225,0)+IFERROR(P1225,0)-IFERROR(Q1225,0))</f>
        <v/>
      </c>
      <c r="S1225" s="5" t="n"/>
      <c r="T1225" s="5" t="n"/>
      <c r="U1225" s="11">
        <f>IF(B1225="","",TRIM(LOWER(C1225)&amp;"|"&amp;LOWER(D1225)))</f>
        <v/>
      </c>
    </row>
    <row r="1226">
      <c r="A1226" s="11">
        <f>IF(B1226="","",TEXT(ROW()-3,"""DC-""0000"))</f>
        <v/>
      </c>
      <c r="B1226" s="5" t="n"/>
      <c r="C1226" s="5" t="n"/>
      <c r="D1226" s="5" t="n"/>
      <c r="E1226" s="5" t="n"/>
      <c r="F1226" s="5" t="n"/>
      <c r="G1226" s="5" t="n"/>
      <c r="H1226" s="8" t="n"/>
      <c r="I1226" s="8" t="n"/>
      <c r="J1226" s="8" t="n"/>
      <c r="K1226" s="11">
        <f>IF(B1226="","",MAX(0,IFERROR(I1226,0)*IFERROR(H1226,0)-IFERROR(J1226,0)))</f>
        <v/>
      </c>
      <c r="L1226" s="8" t="n"/>
      <c r="M1226" s="11">
        <f>IF(B1226="","",MAX(0,K1226-L1226))</f>
        <v/>
      </c>
      <c r="N1226" s="11">
        <f>IF(B1226="","",IF(L1226&gt;=K1226,"Paid",IF(L1226&gt;0,"Partial","Unpaid")))</f>
        <v/>
      </c>
      <c r="O1226" s="5" t="n"/>
      <c r="P1226" s="8" t="n"/>
      <c r="Q1226" s="8" t="n"/>
      <c r="R1226" s="11">
        <f>IF(B1226="","",IFERROR(K1226,0)+IFERROR(P1226,0)-IFERROR(Q1226,0))</f>
        <v/>
      </c>
      <c r="S1226" s="5" t="n"/>
      <c r="T1226" s="5" t="n"/>
      <c r="U1226" s="11">
        <f>IF(B1226="","",TRIM(LOWER(C1226)&amp;"|"&amp;LOWER(D1226)))</f>
        <v/>
      </c>
    </row>
    <row r="1227">
      <c r="A1227" s="11">
        <f>IF(B1227="","",TEXT(ROW()-3,"""DC-""0000"))</f>
        <v/>
      </c>
      <c r="B1227" s="5" t="n"/>
      <c r="C1227" s="5" t="n"/>
      <c r="D1227" s="5" t="n"/>
      <c r="E1227" s="5" t="n"/>
      <c r="F1227" s="5" t="n"/>
      <c r="G1227" s="5" t="n"/>
      <c r="H1227" s="8" t="n"/>
      <c r="I1227" s="8" t="n"/>
      <c r="J1227" s="8" t="n"/>
      <c r="K1227" s="11">
        <f>IF(B1227="","",MAX(0,IFERROR(I1227,0)*IFERROR(H1227,0)-IFERROR(J1227,0)))</f>
        <v/>
      </c>
      <c r="L1227" s="8" t="n"/>
      <c r="M1227" s="11">
        <f>IF(B1227="","",MAX(0,K1227-L1227))</f>
        <v/>
      </c>
      <c r="N1227" s="11">
        <f>IF(B1227="","",IF(L1227&gt;=K1227,"Paid",IF(L1227&gt;0,"Partial","Unpaid")))</f>
        <v/>
      </c>
      <c r="O1227" s="5" t="n"/>
      <c r="P1227" s="8" t="n"/>
      <c r="Q1227" s="8" t="n"/>
      <c r="R1227" s="11">
        <f>IF(B1227="","",IFERROR(K1227,0)+IFERROR(P1227,0)-IFERROR(Q1227,0))</f>
        <v/>
      </c>
      <c r="S1227" s="5" t="n"/>
      <c r="T1227" s="5" t="n"/>
      <c r="U1227" s="11">
        <f>IF(B1227="","",TRIM(LOWER(C1227)&amp;"|"&amp;LOWER(D1227)))</f>
        <v/>
      </c>
    </row>
    <row r="1228">
      <c r="A1228" s="11">
        <f>IF(B1228="","",TEXT(ROW()-3,"""DC-""0000"))</f>
        <v/>
      </c>
      <c r="B1228" s="5" t="n"/>
      <c r="C1228" s="5" t="n"/>
      <c r="D1228" s="5" t="n"/>
      <c r="E1228" s="5" t="n"/>
      <c r="F1228" s="5" t="n"/>
      <c r="G1228" s="5" t="n"/>
      <c r="H1228" s="8" t="n"/>
      <c r="I1228" s="8" t="n"/>
      <c r="J1228" s="8" t="n"/>
      <c r="K1228" s="11">
        <f>IF(B1228="","",MAX(0,IFERROR(I1228,0)*IFERROR(H1228,0)-IFERROR(J1228,0)))</f>
        <v/>
      </c>
      <c r="L1228" s="8" t="n"/>
      <c r="M1228" s="11">
        <f>IF(B1228="","",MAX(0,K1228-L1228))</f>
        <v/>
      </c>
      <c r="N1228" s="11">
        <f>IF(B1228="","",IF(L1228&gt;=K1228,"Paid",IF(L1228&gt;0,"Partial","Unpaid")))</f>
        <v/>
      </c>
      <c r="O1228" s="5" t="n"/>
      <c r="P1228" s="8" t="n"/>
      <c r="Q1228" s="8" t="n"/>
      <c r="R1228" s="11">
        <f>IF(B1228="","",IFERROR(K1228,0)+IFERROR(P1228,0)-IFERROR(Q1228,0))</f>
        <v/>
      </c>
      <c r="S1228" s="5" t="n"/>
      <c r="T1228" s="5" t="n"/>
      <c r="U1228" s="11">
        <f>IF(B1228="","",TRIM(LOWER(C1228)&amp;"|"&amp;LOWER(D1228)))</f>
        <v/>
      </c>
    </row>
    <row r="1229">
      <c r="A1229" s="11">
        <f>IF(B1229="","",TEXT(ROW()-3,"""DC-""0000"))</f>
        <v/>
      </c>
      <c r="B1229" s="5" t="n"/>
      <c r="C1229" s="5" t="n"/>
      <c r="D1229" s="5" t="n"/>
      <c r="E1229" s="5" t="n"/>
      <c r="F1229" s="5" t="n"/>
      <c r="G1229" s="5" t="n"/>
      <c r="H1229" s="8" t="n"/>
      <c r="I1229" s="8" t="n"/>
      <c r="J1229" s="8" t="n"/>
      <c r="K1229" s="11">
        <f>IF(B1229="","",MAX(0,IFERROR(I1229,0)*IFERROR(H1229,0)-IFERROR(J1229,0)))</f>
        <v/>
      </c>
      <c r="L1229" s="8" t="n"/>
      <c r="M1229" s="11">
        <f>IF(B1229="","",MAX(0,K1229-L1229))</f>
        <v/>
      </c>
      <c r="N1229" s="11">
        <f>IF(B1229="","",IF(L1229&gt;=K1229,"Paid",IF(L1229&gt;0,"Partial","Unpaid")))</f>
        <v/>
      </c>
      <c r="O1229" s="5" t="n"/>
      <c r="P1229" s="8" t="n"/>
      <c r="Q1229" s="8" t="n"/>
      <c r="R1229" s="11">
        <f>IF(B1229="","",IFERROR(K1229,0)+IFERROR(P1229,0)-IFERROR(Q1229,0))</f>
        <v/>
      </c>
      <c r="S1229" s="5" t="n"/>
      <c r="T1229" s="5" t="n"/>
      <c r="U1229" s="11">
        <f>IF(B1229="","",TRIM(LOWER(C1229)&amp;"|"&amp;LOWER(D1229)))</f>
        <v/>
      </c>
    </row>
    <row r="1230">
      <c r="A1230" s="11">
        <f>IF(B1230="","",TEXT(ROW()-3,"""DC-""0000"))</f>
        <v/>
      </c>
      <c r="B1230" s="5" t="n"/>
      <c r="C1230" s="5" t="n"/>
      <c r="D1230" s="5" t="n"/>
      <c r="E1230" s="5" t="n"/>
      <c r="F1230" s="5" t="n"/>
      <c r="G1230" s="5" t="n"/>
      <c r="H1230" s="8" t="n"/>
      <c r="I1230" s="8" t="n"/>
      <c r="J1230" s="8" t="n"/>
      <c r="K1230" s="11">
        <f>IF(B1230="","",MAX(0,IFERROR(I1230,0)*IFERROR(H1230,0)-IFERROR(J1230,0)))</f>
        <v/>
      </c>
      <c r="L1230" s="8" t="n"/>
      <c r="M1230" s="11">
        <f>IF(B1230="","",MAX(0,K1230-L1230))</f>
        <v/>
      </c>
      <c r="N1230" s="11">
        <f>IF(B1230="","",IF(L1230&gt;=K1230,"Paid",IF(L1230&gt;0,"Partial","Unpaid")))</f>
        <v/>
      </c>
      <c r="O1230" s="5" t="n"/>
      <c r="P1230" s="8" t="n"/>
      <c r="Q1230" s="8" t="n"/>
      <c r="R1230" s="11">
        <f>IF(B1230="","",IFERROR(K1230,0)+IFERROR(P1230,0)-IFERROR(Q1230,0))</f>
        <v/>
      </c>
      <c r="S1230" s="5" t="n"/>
      <c r="T1230" s="5" t="n"/>
      <c r="U1230" s="11">
        <f>IF(B1230="","",TRIM(LOWER(C1230)&amp;"|"&amp;LOWER(D1230)))</f>
        <v/>
      </c>
    </row>
    <row r="1231">
      <c r="A1231" s="11">
        <f>IF(B1231="","",TEXT(ROW()-3,"""DC-""0000"))</f>
        <v/>
      </c>
      <c r="B1231" s="5" t="n"/>
      <c r="C1231" s="5" t="n"/>
      <c r="D1231" s="5" t="n"/>
      <c r="E1231" s="5" t="n"/>
      <c r="F1231" s="5" t="n"/>
      <c r="G1231" s="5" t="n"/>
      <c r="H1231" s="8" t="n"/>
      <c r="I1231" s="8" t="n"/>
      <c r="J1231" s="8" t="n"/>
      <c r="K1231" s="11">
        <f>IF(B1231="","",MAX(0,IFERROR(I1231,0)*IFERROR(H1231,0)-IFERROR(J1231,0)))</f>
        <v/>
      </c>
      <c r="L1231" s="8" t="n"/>
      <c r="M1231" s="11">
        <f>IF(B1231="","",MAX(0,K1231-L1231))</f>
        <v/>
      </c>
      <c r="N1231" s="11">
        <f>IF(B1231="","",IF(L1231&gt;=K1231,"Paid",IF(L1231&gt;0,"Partial","Unpaid")))</f>
        <v/>
      </c>
      <c r="O1231" s="5" t="n"/>
      <c r="P1231" s="8" t="n"/>
      <c r="Q1231" s="8" t="n"/>
      <c r="R1231" s="11">
        <f>IF(B1231="","",IFERROR(K1231,0)+IFERROR(P1231,0)-IFERROR(Q1231,0))</f>
        <v/>
      </c>
      <c r="S1231" s="5" t="n"/>
      <c r="T1231" s="5" t="n"/>
      <c r="U1231" s="11">
        <f>IF(B1231="","",TRIM(LOWER(C1231)&amp;"|"&amp;LOWER(D1231)))</f>
        <v/>
      </c>
    </row>
    <row r="1232">
      <c r="A1232" s="11">
        <f>IF(B1232="","",TEXT(ROW()-3,"""DC-""0000"))</f>
        <v/>
      </c>
      <c r="B1232" s="5" t="n"/>
      <c r="C1232" s="5" t="n"/>
      <c r="D1232" s="5" t="n"/>
      <c r="E1232" s="5" t="n"/>
      <c r="F1232" s="5" t="n"/>
      <c r="G1232" s="5" t="n"/>
      <c r="H1232" s="8" t="n"/>
      <c r="I1232" s="8" t="n"/>
      <c r="J1232" s="8" t="n"/>
      <c r="K1232" s="11">
        <f>IF(B1232="","",MAX(0,IFERROR(I1232,0)*IFERROR(H1232,0)-IFERROR(J1232,0)))</f>
        <v/>
      </c>
      <c r="L1232" s="8" t="n"/>
      <c r="M1232" s="11">
        <f>IF(B1232="","",MAX(0,K1232-L1232))</f>
        <v/>
      </c>
      <c r="N1232" s="11">
        <f>IF(B1232="","",IF(L1232&gt;=K1232,"Paid",IF(L1232&gt;0,"Partial","Unpaid")))</f>
        <v/>
      </c>
      <c r="O1232" s="5" t="n"/>
      <c r="P1232" s="8" t="n"/>
      <c r="Q1232" s="8" t="n"/>
      <c r="R1232" s="11">
        <f>IF(B1232="","",IFERROR(K1232,0)+IFERROR(P1232,0)-IFERROR(Q1232,0))</f>
        <v/>
      </c>
      <c r="S1232" s="5" t="n"/>
      <c r="T1232" s="5" t="n"/>
      <c r="U1232" s="11">
        <f>IF(B1232="","",TRIM(LOWER(C1232)&amp;"|"&amp;LOWER(D1232)))</f>
        <v/>
      </c>
    </row>
    <row r="1233">
      <c r="A1233" s="11">
        <f>IF(B1233="","",TEXT(ROW()-3,"""DC-""0000"))</f>
        <v/>
      </c>
      <c r="B1233" s="5" t="n"/>
      <c r="C1233" s="5" t="n"/>
      <c r="D1233" s="5" t="n"/>
      <c r="E1233" s="5" t="n"/>
      <c r="F1233" s="5" t="n"/>
      <c r="G1233" s="5" t="n"/>
      <c r="H1233" s="8" t="n"/>
      <c r="I1233" s="8" t="n"/>
      <c r="J1233" s="8" t="n"/>
      <c r="K1233" s="11">
        <f>IF(B1233="","",MAX(0,IFERROR(I1233,0)*IFERROR(H1233,0)-IFERROR(J1233,0)))</f>
        <v/>
      </c>
      <c r="L1233" s="8" t="n"/>
      <c r="M1233" s="11">
        <f>IF(B1233="","",MAX(0,K1233-L1233))</f>
        <v/>
      </c>
      <c r="N1233" s="11">
        <f>IF(B1233="","",IF(L1233&gt;=K1233,"Paid",IF(L1233&gt;0,"Partial","Unpaid")))</f>
        <v/>
      </c>
      <c r="O1233" s="5" t="n"/>
      <c r="P1233" s="8" t="n"/>
      <c r="Q1233" s="8" t="n"/>
      <c r="R1233" s="11">
        <f>IF(B1233="","",IFERROR(K1233,0)+IFERROR(P1233,0)-IFERROR(Q1233,0))</f>
        <v/>
      </c>
      <c r="S1233" s="5" t="n"/>
      <c r="T1233" s="5" t="n"/>
      <c r="U1233" s="11">
        <f>IF(B1233="","",TRIM(LOWER(C1233)&amp;"|"&amp;LOWER(D1233)))</f>
        <v/>
      </c>
    </row>
    <row r="1234">
      <c r="A1234" s="11">
        <f>IF(B1234="","",TEXT(ROW()-3,"""DC-""0000"))</f>
        <v/>
      </c>
      <c r="B1234" s="5" t="n"/>
      <c r="C1234" s="5" t="n"/>
      <c r="D1234" s="5" t="n"/>
      <c r="E1234" s="5" t="n"/>
      <c r="F1234" s="5" t="n"/>
      <c r="G1234" s="5" t="n"/>
      <c r="H1234" s="8" t="n"/>
      <c r="I1234" s="8" t="n"/>
      <c r="J1234" s="8" t="n"/>
      <c r="K1234" s="11">
        <f>IF(B1234="","",MAX(0,IFERROR(I1234,0)*IFERROR(H1234,0)-IFERROR(J1234,0)))</f>
        <v/>
      </c>
      <c r="L1234" s="8" t="n"/>
      <c r="M1234" s="11">
        <f>IF(B1234="","",MAX(0,K1234-L1234))</f>
        <v/>
      </c>
      <c r="N1234" s="11">
        <f>IF(B1234="","",IF(L1234&gt;=K1234,"Paid",IF(L1234&gt;0,"Partial","Unpaid")))</f>
        <v/>
      </c>
      <c r="O1234" s="5" t="n"/>
      <c r="P1234" s="8" t="n"/>
      <c r="Q1234" s="8" t="n"/>
      <c r="R1234" s="11">
        <f>IF(B1234="","",IFERROR(K1234,0)+IFERROR(P1234,0)-IFERROR(Q1234,0))</f>
        <v/>
      </c>
      <c r="S1234" s="5" t="n"/>
      <c r="T1234" s="5" t="n"/>
      <c r="U1234" s="11">
        <f>IF(B1234="","",TRIM(LOWER(C1234)&amp;"|"&amp;LOWER(D1234)))</f>
        <v/>
      </c>
    </row>
    <row r="1235">
      <c r="A1235" s="11">
        <f>IF(B1235="","",TEXT(ROW()-3,"""DC-""0000"))</f>
        <v/>
      </c>
      <c r="B1235" s="5" t="n"/>
      <c r="C1235" s="5" t="n"/>
      <c r="D1235" s="5" t="n"/>
      <c r="E1235" s="5" t="n"/>
      <c r="F1235" s="5" t="n"/>
      <c r="G1235" s="5" t="n"/>
      <c r="H1235" s="8" t="n"/>
      <c r="I1235" s="8" t="n"/>
      <c r="J1235" s="8" t="n"/>
      <c r="K1235" s="11">
        <f>IF(B1235="","",MAX(0,IFERROR(I1235,0)*IFERROR(H1235,0)-IFERROR(J1235,0)))</f>
        <v/>
      </c>
      <c r="L1235" s="8" t="n"/>
      <c r="M1235" s="11">
        <f>IF(B1235="","",MAX(0,K1235-L1235))</f>
        <v/>
      </c>
      <c r="N1235" s="11">
        <f>IF(B1235="","",IF(L1235&gt;=K1235,"Paid",IF(L1235&gt;0,"Partial","Unpaid")))</f>
        <v/>
      </c>
      <c r="O1235" s="5" t="n"/>
      <c r="P1235" s="8" t="n"/>
      <c r="Q1235" s="8" t="n"/>
      <c r="R1235" s="11">
        <f>IF(B1235="","",IFERROR(K1235,0)+IFERROR(P1235,0)-IFERROR(Q1235,0))</f>
        <v/>
      </c>
      <c r="S1235" s="5" t="n"/>
      <c r="T1235" s="5" t="n"/>
      <c r="U1235" s="11">
        <f>IF(B1235="","",TRIM(LOWER(C1235)&amp;"|"&amp;LOWER(D1235)))</f>
        <v/>
      </c>
    </row>
    <row r="1236">
      <c r="A1236" s="11">
        <f>IF(B1236="","",TEXT(ROW()-3,"""DC-""0000"))</f>
        <v/>
      </c>
      <c r="B1236" s="5" t="n"/>
      <c r="C1236" s="5" t="n"/>
      <c r="D1236" s="5" t="n"/>
      <c r="E1236" s="5" t="n"/>
      <c r="F1236" s="5" t="n"/>
      <c r="G1236" s="5" t="n"/>
      <c r="H1236" s="8" t="n"/>
      <c r="I1236" s="8" t="n"/>
      <c r="J1236" s="8" t="n"/>
      <c r="K1236" s="11">
        <f>IF(B1236="","",MAX(0,IFERROR(I1236,0)*IFERROR(H1236,0)-IFERROR(J1236,0)))</f>
        <v/>
      </c>
      <c r="L1236" s="8" t="n"/>
      <c r="M1236" s="11">
        <f>IF(B1236="","",MAX(0,K1236-L1236))</f>
        <v/>
      </c>
      <c r="N1236" s="11">
        <f>IF(B1236="","",IF(L1236&gt;=K1236,"Paid",IF(L1236&gt;0,"Partial","Unpaid")))</f>
        <v/>
      </c>
      <c r="O1236" s="5" t="n"/>
      <c r="P1236" s="8" t="n"/>
      <c r="Q1236" s="8" t="n"/>
      <c r="R1236" s="11">
        <f>IF(B1236="","",IFERROR(K1236,0)+IFERROR(P1236,0)-IFERROR(Q1236,0))</f>
        <v/>
      </c>
      <c r="S1236" s="5" t="n"/>
      <c r="T1236" s="5" t="n"/>
      <c r="U1236" s="11">
        <f>IF(B1236="","",TRIM(LOWER(C1236)&amp;"|"&amp;LOWER(D1236)))</f>
        <v/>
      </c>
    </row>
    <row r="1237">
      <c r="A1237" s="11">
        <f>IF(B1237="","",TEXT(ROW()-3,"""DC-""0000"))</f>
        <v/>
      </c>
      <c r="B1237" s="5" t="n"/>
      <c r="C1237" s="5" t="n"/>
      <c r="D1237" s="5" t="n"/>
      <c r="E1237" s="5" t="n"/>
      <c r="F1237" s="5" t="n"/>
      <c r="G1237" s="5" t="n"/>
      <c r="H1237" s="8" t="n"/>
      <c r="I1237" s="8" t="n"/>
      <c r="J1237" s="8" t="n"/>
      <c r="K1237" s="11">
        <f>IF(B1237="","",MAX(0,IFERROR(I1237,0)*IFERROR(H1237,0)-IFERROR(J1237,0)))</f>
        <v/>
      </c>
      <c r="L1237" s="8" t="n"/>
      <c r="M1237" s="11">
        <f>IF(B1237="","",MAX(0,K1237-L1237))</f>
        <v/>
      </c>
      <c r="N1237" s="11">
        <f>IF(B1237="","",IF(L1237&gt;=K1237,"Paid",IF(L1237&gt;0,"Partial","Unpaid")))</f>
        <v/>
      </c>
      <c r="O1237" s="5" t="n"/>
      <c r="P1237" s="8" t="n"/>
      <c r="Q1237" s="8" t="n"/>
      <c r="R1237" s="11">
        <f>IF(B1237="","",IFERROR(K1237,0)+IFERROR(P1237,0)-IFERROR(Q1237,0))</f>
        <v/>
      </c>
      <c r="S1237" s="5" t="n"/>
      <c r="T1237" s="5" t="n"/>
      <c r="U1237" s="11">
        <f>IF(B1237="","",TRIM(LOWER(C1237)&amp;"|"&amp;LOWER(D1237)))</f>
        <v/>
      </c>
    </row>
    <row r="1238">
      <c r="A1238" s="11">
        <f>IF(B1238="","",TEXT(ROW()-3,"""DC-""0000"))</f>
        <v/>
      </c>
      <c r="B1238" s="5" t="n"/>
      <c r="C1238" s="5" t="n"/>
      <c r="D1238" s="5" t="n"/>
      <c r="E1238" s="5" t="n"/>
      <c r="F1238" s="5" t="n"/>
      <c r="G1238" s="5" t="n"/>
      <c r="H1238" s="8" t="n"/>
      <c r="I1238" s="8" t="n"/>
      <c r="J1238" s="8" t="n"/>
      <c r="K1238" s="11">
        <f>IF(B1238="","",MAX(0,IFERROR(I1238,0)*IFERROR(H1238,0)-IFERROR(J1238,0)))</f>
        <v/>
      </c>
      <c r="L1238" s="8" t="n"/>
      <c r="M1238" s="11">
        <f>IF(B1238="","",MAX(0,K1238-L1238))</f>
        <v/>
      </c>
      <c r="N1238" s="11">
        <f>IF(B1238="","",IF(L1238&gt;=K1238,"Paid",IF(L1238&gt;0,"Partial","Unpaid")))</f>
        <v/>
      </c>
      <c r="O1238" s="5" t="n"/>
      <c r="P1238" s="8" t="n"/>
      <c r="Q1238" s="8" t="n"/>
      <c r="R1238" s="11">
        <f>IF(B1238="","",IFERROR(K1238,0)+IFERROR(P1238,0)-IFERROR(Q1238,0))</f>
        <v/>
      </c>
      <c r="S1238" s="5" t="n"/>
      <c r="T1238" s="5" t="n"/>
      <c r="U1238" s="11">
        <f>IF(B1238="","",TRIM(LOWER(C1238)&amp;"|"&amp;LOWER(D1238)))</f>
        <v/>
      </c>
    </row>
    <row r="1239">
      <c r="A1239" s="11">
        <f>IF(B1239="","",TEXT(ROW()-3,"""DC-""0000"))</f>
        <v/>
      </c>
      <c r="B1239" s="5" t="n"/>
      <c r="C1239" s="5" t="n"/>
      <c r="D1239" s="5" t="n"/>
      <c r="E1239" s="5" t="n"/>
      <c r="F1239" s="5" t="n"/>
      <c r="G1239" s="5" t="n"/>
      <c r="H1239" s="8" t="n"/>
      <c r="I1239" s="8" t="n"/>
      <c r="J1239" s="8" t="n"/>
      <c r="K1239" s="11">
        <f>IF(B1239="","",MAX(0,IFERROR(I1239,0)*IFERROR(H1239,0)-IFERROR(J1239,0)))</f>
        <v/>
      </c>
      <c r="L1239" s="8" t="n"/>
      <c r="M1239" s="11">
        <f>IF(B1239="","",MAX(0,K1239-L1239))</f>
        <v/>
      </c>
      <c r="N1239" s="11">
        <f>IF(B1239="","",IF(L1239&gt;=K1239,"Paid",IF(L1239&gt;0,"Partial","Unpaid")))</f>
        <v/>
      </c>
      <c r="O1239" s="5" t="n"/>
      <c r="P1239" s="8" t="n"/>
      <c r="Q1239" s="8" t="n"/>
      <c r="R1239" s="11">
        <f>IF(B1239="","",IFERROR(K1239,0)+IFERROR(P1239,0)-IFERROR(Q1239,0))</f>
        <v/>
      </c>
      <c r="S1239" s="5" t="n"/>
      <c r="T1239" s="5" t="n"/>
      <c r="U1239" s="11">
        <f>IF(B1239="","",TRIM(LOWER(C1239)&amp;"|"&amp;LOWER(D1239)))</f>
        <v/>
      </c>
    </row>
    <row r="1240">
      <c r="A1240" s="11">
        <f>IF(B1240="","",TEXT(ROW()-3,"""DC-""0000"))</f>
        <v/>
      </c>
      <c r="B1240" s="5" t="n"/>
      <c r="C1240" s="5" t="n"/>
      <c r="D1240" s="5" t="n"/>
      <c r="E1240" s="5" t="n"/>
      <c r="F1240" s="5" t="n"/>
      <c r="G1240" s="5" t="n"/>
      <c r="H1240" s="8" t="n"/>
      <c r="I1240" s="8" t="n"/>
      <c r="J1240" s="8" t="n"/>
      <c r="K1240" s="11">
        <f>IF(B1240="","",MAX(0,IFERROR(I1240,0)*IFERROR(H1240,0)-IFERROR(J1240,0)))</f>
        <v/>
      </c>
      <c r="L1240" s="8" t="n"/>
      <c r="M1240" s="11">
        <f>IF(B1240="","",MAX(0,K1240-L1240))</f>
        <v/>
      </c>
      <c r="N1240" s="11">
        <f>IF(B1240="","",IF(L1240&gt;=K1240,"Paid",IF(L1240&gt;0,"Partial","Unpaid")))</f>
        <v/>
      </c>
      <c r="O1240" s="5" t="n"/>
      <c r="P1240" s="8" t="n"/>
      <c r="Q1240" s="8" t="n"/>
      <c r="R1240" s="11">
        <f>IF(B1240="","",IFERROR(K1240,0)+IFERROR(P1240,0)-IFERROR(Q1240,0))</f>
        <v/>
      </c>
      <c r="S1240" s="5" t="n"/>
      <c r="T1240" s="5" t="n"/>
      <c r="U1240" s="11">
        <f>IF(B1240="","",TRIM(LOWER(C1240)&amp;"|"&amp;LOWER(D1240)))</f>
        <v/>
      </c>
    </row>
    <row r="1241">
      <c r="A1241" s="11">
        <f>IF(B1241="","",TEXT(ROW()-3,"""DC-""0000"))</f>
        <v/>
      </c>
      <c r="B1241" s="5" t="n"/>
      <c r="C1241" s="5" t="n"/>
      <c r="D1241" s="5" t="n"/>
      <c r="E1241" s="5" t="n"/>
      <c r="F1241" s="5" t="n"/>
      <c r="G1241" s="5" t="n"/>
      <c r="H1241" s="8" t="n"/>
      <c r="I1241" s="8" t="n"/>
      <c r="J1241" s="8" t="n"/>
      <c r="K1241" s="11">
        <f>IF(B1241="","",MAX(0,IFERROR(I1241,0)*IFERROR(H1241,0)-IFERROR(J1241,0)))</f>
        <v/>
      </c>
      <c r="L1241" s="8" t="n"/>
      <c r="M1241" s="11">
        <f>IF(B1241="","",MAX(0,K1241-L1241))</f>
        <v/>
      </c>
      <c r="N1241" s="11">
        <f>IF(B1241="","",IF(L1241&gt;=K1241,"Paid",IF(L1241&gt;0,"Partial","Unpaid")))</f>
        <v/>
      </c>
      <c r="O1241" s="5" t="n"/>
      <c r="P1241" s="8" t="n"/>
      <c r="Q1241" s="8" t="n"/>
      <c r="R1241" s="11">
        <f>IF(B1241="","",IFERROR(K1241,0)+IFERROR(P1241,0)-IFERROR(Q1241,0))</f>
        <v/>
      </c>
      <c r="S1241" s="5" t="n"/>
      <c r="T1241" s="5" t="n"/>
      <c r="U1241" s="11">
        <f>IF(B1241="","",TRIM(LOWER(C1241)&amp;"|"&amp;LOWER(D1241)))</f>
        <v/>
      </c>
    </row>
    <row r="1242">
      <c r="A1242" s="11">
        <f>IF(B1242="","",TEXT(ROW()-3,"""DC-""0000"))</f>
        <v/>
      </c>
      <c r="B1242" s="5" t="n"/>
      <c r="C1242" s="5" t="n"/>
      <c r="D1242" s="5" t="n"/>
      <c r="E1242" s="5" t="n"/>
      <c r="F1242" s="5" t="n"/>
      <c r="G1242" s="5" t="n"/>
      <c r="H1242" s="8" t="n"/>
      <c r="I1242" s="8" t="n"/>
      <c r="J1242" s="8" t="n"/>
      <c r="K1242" s="11">
        <f>IF(B1242="","",MAX(0,IFERROR(I1242,0)*IFERROR(H1242,0)-IFERROR(J1242,0)))</f>
        <v/>
      </c>
      <c r="L1242" s="8" t="n"/>
      <c r="M1242" s="11">
        <f>IF(B1242="","",MAX(0,K1242-L1242))</f>
        <v/>
      </c>
      <c r="N1242" s="11">
        <f>IF(B1242="","",IF(L1242&gt;=K1242,"Paid",IF(L1242&gt;0,"Partial","Unpaid")))</f>
        <v/>
      </c>
      <c r="O1242" s="5" t="n"/>
      <c r="P1242" s="8" t="n"/>
      <c r="Q1242" s="8" t="n"/>
      <c r="R1242" s="11">
        <f>IF(B1242="","",IFERROR(K1242,0)+IFERROR(P1242,0)-IFERROR(Q1242,0))</f>
        <v/>
      </c>
      <c r="S1242" s="5" t="n"/>
      <c r="T1242" s="5" t="n"/>
      <c r="U1242" s="11">
        <f>IF(B1242="","",TRIM(LOWER(C1242)&amp;"|"&amp;LOWER(D1242)))</f>
        <v/>
      </c>
    </row>
    <row r="1243">
      <c r="A1243" s="11">
        <f>IF(B1243="","",TEXT(ROW()-3,"""DC-""0000"))</f>
        <v/>
      </c>
      <c r="B1243" s="5" t="n"/>
      <c r="C1243" s="5" t="n"/>
      <c r="D1243" s="5" t="n"/>
      <c r="E1243" s="5" t="n"/>
      <c r="F1243" s="5" t="n"/>
      <c r="G1243" s="5" t="n"/>
      <c r="H1243" s="8" t="n"/>
      <c r="I1243" s="8" t="n"/>
      <c r="J1243" s="8" t="n"/>
      <c r="K1243" s="11">
        <f>IF(B1243="","",MAX(0,IFERROR(I1243,0)*IFERROR(H1243,0)-IFERROR(J1243,0)))</f>
        <v/>
      </c>
      <c r="L1243" s="8" t="n"/>
      <c r="M1243" s="11">
        <f>IF(B1243="","",MAX(0,K1243-L1243))</f>
        <v/>
      </c>
      <c r="N1243" s="11">
        <f>IF(B1243="","",IF(L1243&gt;=K1243,"Paid",IF(L1243&gt;0,"Partial","Unpaid")))</f>
        <v/>
      </c>
      <c r="O1243" s="5" t="n"/>
      <c r="P1243" s="8" t="n"/>
      <c r="Q1243" s="8" t="n"/>
      <c r="R1243" s="11">
        <f>IF(B1243="","",IFERROR(K1243,0)+IFERROR(P1243,0)-IFERROR(Q1243,0))</f>
        <v/>
      </c>
      <c r="S1243" s="5" t="n"/>
      <c r="T1243" s="5" t="n"/>
      <c r="U1243" s="11">
        <f>IF(B1243="","",TRIM(LOWER(C1243)&amp;"|"&amp;LOWER(D1243)))</f>
        <v/>
      </c>
    </row>
    <row r="1244">
      <c r="A1244" s="11">
        <f>IF(B1244="","",TEXT(ROW()-3,"""DC-""0000"))</f>
        <v/>
      </c>
      <c r="B1244" s="5" t="n"/>
      <c r="C1244" s="5" t="n"/>
      <c r="D1244" s="5" t="n"/>
      <c r="E1244" s="5" t="n"/>
      <c r="F1244" s="5" t="n"/>
      <c r="G1244" s="5" t="n"/>
      <c r="H1244" s="8" t="n"/>
      <c r="I1244" s="8" t="n"/>
      <c r="J1244" s="8" t="n"/>
      <c r="K1244" s="11">
        <f>IF(B1244="","",MAX(0,IFERROR(I1244,0)*IFERROR(H1244,0)-IFERROR(J1244,0)))</f>
        <v/>
      </c>
      <c r="L1244" s="8" t="n"/>
      <c r="M1244" s="11">
        <f>IF(B1244="","",MAX(0,K1244-L1244))</f>
        <v/>
      </c>
      <c r="N1244" s="11">
        <f>IF(B1244="","",IF(L1244&gt;=K1244,"Paid",IF(L1244&gt;0,"Partial","Unpaid")))</f>
        <v/>
      </c>
      <c r="O1244" s="5" t="n"/>
      <c r="P1244" s="8" t="n"/>
      <c r="Q1244" s="8" t="n"/>
      <c r="R1244" s="11">
        <f>IF(B1244="","",IFERROR(K1244,0)+IFERROR(P1244,0)-IFERROR(Q1244,0))</f>
        <v/>
      </c>
      <c r="S1244" s="5" t="n"/>
      <c r="T1244" s="5" t="n"/>
      <c r="U1244" s="11">
        <f>IF(B1244="","",TRIM(LOWER(C1244)&amp;"|"&amp;LOWER(D1244)))</f>
        <v/>
      </c>
    </row>
    <row r="1245">
      <c r="A1245" s="11">
        <f>IF(B1245="","",TEXT(ROW()-3,"""DC-""0000"))</f>
        <v/>
      </c>
      <c r="B1245" s="5" t="n"/>
      <c r="C1245" s="5" t="n"/>
      <c r="D1245" s="5" t="n"/>
      <c r="E1245" s="5" t="n"/>
      <c r="F1245" s="5" t="n"/>
      <c r="G1245" s="5" t="n"/>
      <c r="H1245" s="8" t="n"/>
      <c r="I1245" s="8" t="n"/>
      <c r="J1245" s="8" t="n"/>
      <c r="K1245" s="11">
        <f>IF(B1245="","",MAX(0,IFERROR(I1245,0)*IFERROR(H1245,0)-IFERROR(J1245,0)))</f>
        <v/>
      </c>
      <c r="L1245" s="8" t="n"/>
      <c r="M1245" s="11">
        <f>IF(B1245="","",MAX(0,K1245-L1245))</f>
        <v/>
      </c>
      <c r="N1245" s="11">
        <f>IF(B1245="","",IF(L1245&gt;=K1245,"Paid",IF(L1245&gt;0,"Partial","Unpaid")))</f>
        <v/>
      </c>
      <c r="O1245" s="5" t="n"/>
      <c r="P1245" s="8" t="n"/>
      <c r="Q1245" s="8" t="n"/>
      <c r="R1245" s="11">
        <f>IF(B1245="","",IFERROR(K1245,0)+IFERROR(P1245,0)-IFERROR(Q1245,0))</f>
        <v/>
      </c>
      <c r="S1245" s="5" t="n"/>
      <c r="T1245" s="5" t="n"/>
      <c r="U1245" s="11">
        <f>IF(B1245="","",TRIM(LOWER(C1245)&amp;"|"&amp;LOWER(D1245)))</f>
        <v/>
      </c>
    </row>
    <row r="1246">
      <c r="A1246" s="11">
        <f>IF(B1246="","",TEXT(ROW()-3,"""DC-""0000"))</f>
        <v/>
      </c>
      <c r="B1246" s="5" t="n"/>
      <c r="C1246" s="5" t="n"/>
      <c r="D1246" s="5" t="n"/>
      <c r="E1246" s="5" t="n"/>
      <c r="F1246" s="5" t="n"/>
      <c r="G1246" s="5" t="n"/>
      <c r="H1246" s="8" t="n"/>
      <c r="I1246" s="8" t="n"/>
      <c r="J1246" s="8" t="n"/>
      <c r="K1246" s="11">
        <f>IF(B1246="","",MAX(0,IFERROR(I1246,0)*IFERROR(H1246,0)-IFERROR(J1246,0)))</f>
        <v/>
      </c>
      <c r="L1246" s="8" t="n"/>
      <c r="M1246" s="11">
        <f>IF(B1246="","",MAX(0,K1246-L1246))</f>
        <v/>
      </c>
      <c r="N1246" s="11">
        <f>IF(B1246="","",IF(L1246&gt;=K1246,"Paid",IF(L1246&gt;0,"Partial","Unpaid")))</f>
        <v/>
      </c>
      <c r="O1246" s="5" t="n"/>
      <c r="P1246" s="8" t="n"/>
      <c r="Q1246" s="8" t="n"/>
      <c r="R1246" s="11">
        <f>IF(B1246="","",IFERROR(K1246,0)+IFERROR(P1246,0)-IFERROR(Q1246,0))</f>
        <v/>
      </c>
      <c r="S1246" s="5" t="n"/>
      <c r="T1246" s="5" t="n"/>
      <c r="U1246" s="11">
        <f>IF(B1246="","",TRIM(LOWER(C1246)&amp;"|"&amp;LOWER(D1246)))</f>
        <v/>
      </c>
    </row>
    <row r="1247">
      <c r="A1247" s="11">
        <f>IF(B1247="","",TEXT(ROW()-3,"""DC-""0000"))</f>
        <v/>
      </c>
      <c r="B1247" s="5" t="n"/>
      <c r="C1247" s="5" t="n"/>
      <c r="D1247" s="5" t="n"/>
      <c r="E1247" s="5" t="n"/>
      <c r="F1247" s="5" t="n"/>
      <c r="G1247" s="5" t="n"/>
      <c r="H1247" s="8" t="n"/>
      <c r="I1247" s="8" t="n"/>
      <c r="J1247" s="8" t="n"/>
      <c r="K1247" s="11">
        <f>IF(B1247="","",MAX(0,IFERROR(I1247,0)*IFERROR(H1247,0)-IFERROR(J1247,0)))</f>
        <v/>
      </c>
      <c r="L1247" s="8" t="n"/>
      <c r="M1247" s="11">
        <f>IF(B1247="","",MAX(0,K1247-L1247))</f>
        <v/>
      </c>
      <c r="N1247" s="11">
        <f>IF(B1247="","",IF(L1247&gt;=K1247,"Paid",IF(L1247&gt;0,"Partial","Unpaid")))</f>
        <v/>
      </c>
      <c r="O1247" s="5" t="n"/>
      <c r="P1247" s="8" t="n"/>
      <c r="Q1247" s="8" t="n"/>
      <c r="R1247" s="11">
        <f>IF(B1247="","",IFERROR(K1247,0)+IFERROR(P1247,0)-IFERROR(Q1247,0))</f>
        <v/>
      </c>
      <c r="S1247" s="5" t="n"/>
      <c r="T1247" s="5" t="n"/>
      <c r="U1247" s="11">
        <f>IF(B1247="","",TRIM(LOWER(C1247)&amp;"|"&amp;LOWER(D1247)))</f>
        <v/>
      </c>
    </row>
    <row r="1248">
      <c r="A1248" s="11">
        <f>IF(B1248="","",TEXT(ROW()-3,"""DC-""0000"))</f>
        <v/>
      </c>
      <c r="B1248" s="5" t="n"/>
      <c r="C1248" s="5" t="n"/>
      <c r="D1248" s="5" t="n"/>
      <c r="E1248" s="5" t="n"/>
      <c r="F1248" s="5" t="n"/>
      <c r="G1248" s="5" t="n"/>
      <c r="H1248" s="8" t="n"/>
      <c r="I1248" s="8" t="n"/>
      <c r="J1248" s="8" t="n"/>
      <c r="K1248" s="11">
        <f>IF(B1248="","",MAX(0,IFERROR(I1248,0)*IFERROR(H1248,0)-IFERROR(J1248,0)))</f>
        <v/>
      </c>
      <c r="L1248" s="8" t="n"/>
      <c r="M1248" s="11">
        <f>IF(B1248="","",MAX(0,K1248-L1248))</f>
        <v/>
      </c>
      <c r="N1248" s="11">
        <f>IF(B1248="","",IF(L1248&gt;=K1248,"Paid",IF(L1248&gt;0,"Partial","Unpaid")))</f>
        <v/>
      </c>
      <c r="O1248" s="5" t="n"/>
      <c r="P1248" s="8" t="n"/>
      <c r="Q1248" s="8" t="n"/>
      <c r="R1248" s="11">
        <f>IF(B1248="","",IFERROR(K1248,0)+IFERROR(P1248,0)-IFERROR(Q1248,0))</f>
        <v/>
      </c>
      <c r="S1248" s="5" t="n"/>
      <c r="T1248" s="5" t="n"/>
      <c r="U1248" s="11">
        <f>IF(B1248="","",TRIM(LOWER(C1248)&amp;"|"&amp;LOWER(D1248)))</f>
        <v/>
      </c>
    </row>
    <row r="1249">
      <c r="A1249" s="11">
        <f>IF(B1249="","",TEXT(ROW()-3,"""DC-""0000"))</f>
        <v/>
      </c>
      <c r="B1249" s="5" t="n"/>
      <c r="C1249" s="5" t="n"/>
      <c r="D1249" s="5" t="n"/>
      <c r="E1249" s="5" t="n"/>
      <c r="F1249" s="5" t="n"/>
      <c r="G1249" s="5" t="n"/>
      <c r="H1249" s="8" t="n"/>
      <c r="I1249" s="8" t="n"/>
      <c r="J1249" s="8" t="n"/>
      <c r="K1249" s="11">
        <f>IF(B1249="","",MAX(0,IFERROR(I1249,0)*IFERROR(H1249,0)-IFERROR(J1249,0)))</f>
        <v/>
      </c>
      <c r="L1249" s="8" t="n"/>
      <c r="M1249" s="11">
        <f>IF(B1249="","",MAX(0,K1249-L1249))</f>
        <v/>
      </c>
      <c r="N1249" s="11">
        <f>IF(B1249="","",IF(L1249&gt;=K1249,"Paid",IF(L1249&gt;0,"Partial","Unpaid")))</f>
        <v/>
      </c>
      <c r="O1249" s="5" t="n"/>
      <c r="P1249" s="8" t="n"/>
      <c r="Q1249" s="8" t="n"/>
      <c r="R1249" s="11">
        <f>IF(B1249="","",IFERROR(K1249,0)+IFERROR(P1249,0)-IFERROR(Q1249,0))</f>
        <v/>
      </c>
      <c r="S1249" s="5" t="n"/>
      <c r="T1249" s="5" t="n"/>
      <c r="U1249" s="11">
        <f>IF(B1249="","",TRIM(LOWER(C1249)&amp;"|"&amp;LOWER(D1249)))</f>
        <v/>
      </c>
    </row>
    <row r="1250">
      <c r="A1250" s="11">
        <f>IF(B1250="","",TEXT(ROW()-3,"""DC-""0000"))</f>
        <v/>
      </c>
      <c r="B1250" s="5" t="n"/>
      <c r="C1250" s="5" t="n"/>
      <c r="D1250" s="5" t="n"/>
      <c r="E1250" s="5" t="n"/>
      <c r="F1250" s="5" t="n"/>
      <c r="G1250" s="5" t="n"/>
      <c r="H1250" s="8" t="n"/>
      <c r="I1250" s="8" t="n"/>
      <c r="J1250" s="8" t="n"/>
      <c r="K1250" s="11">
        <f>IF(B1250="","",MAX(0,IFERROR(I1250,0)*IFERROR(H1250,0)-IFERROR(J1250,0)))</f>
        <v/>
      </c>
      <c r="L1250" s="8" t="n"/>
      <c r="M1250" s="11">
        <f>IF(B1250="","",MAX(0,K1250-L1250))</f>
        <v/>
      </c>
      <c r="N1250" s="11">
        <f>IF(B1250="","",IF(L1250&gt;=K1250,"Paid",IF(L1250&gt;0,"Partial","Unpaid")))</f>
        <v/>
      </c>
      <c r="O1250" s="5" t="n"/>
      <c r="P1250" s="8" t="n"/>
      <c r="Q1250" s="8" t="n"/>
      <c r="R1250" s="11">
        <f>IF(B1250="","",IFERROR(K1250,0)+IFERROR(P1250,0)-IFERROR(Q1250,0))</f>
        <v/>
      </c>
      <c r="S1250" s="5" t="n"/>
      <c r="T1250" s="5" t="n"/>
      <c r="U1250" s="11">
        <f>IF(B1250="","",TRIM(LOWER(C1250)&amp;"|"&amp;LOWER(D1250)))</f>
        <v/>
      </c>
    </row>
    <row r="1251">
      <c r="A1251" s="11">
        <f>IF(B1251="","",TEXT(ROW()-3,"""DC-""0000"))</f>
        <v/>
      </c>
      <c r="B1251" s="5" t="n"/>
      <c r="C1251" s="5" t="n"/>
      <c r="D1251" s="5" t="n"/>
      <c r="E1251" s="5" t="n"/>
      <c r="F1251" s="5" t="n"/>
      <c r="G1251" s="5" t="n"/>
      <c r="H1251" s="8" t="n"/>
      <c r="I1251" s="8" t="n"/>
      <c r="J1251" s="8" t="n"/>
      <c r="K1251" s="11">
        <f>IF(B1251="","",MAX(0,IFERROR(I1251,0)*IFERROR(H1251,0)-IFERROR(J1251,0)))</f>
        <v/>
      </c>
      <c r="L1251" s="8" t="n"/>
      <c r="M1251" s="11">
        <f>IF(B1251="","",MAX(0,K1251-L1251))</f>
        <v/>
      </c>
      <c r="N1251" s="11">
        <f>IF(B1251="","",IF(L1251&gt;=K1251,"Paid",IF(L1251&gt;0,"Partial","Unpaid")))</f>
        <v/>
      </c>
      <c r="O1251" s="5" t="n"/>
      <c r="P1251" s="8" t="n"/>
      <c r="Q1251" s="8" t="n"/>
      <c r="R1251" s="11">
        <f>IF(B1251="","",IFERROR(K1251,0)+IFERROR(P1251,0)-IFERROR(Q1251,0))</f>
        <v/>
      </c>
      <c r="S1251" s="5" t="n"/>
      <c r="T1251" s="5" t="n"/>
      <c r="U1251" s="11">
        <f>IF(B1251="","",TRIM(LOWER(C1251)&amp;"|"&amp;LOWER(D1251)))</f>
        <v/>
      </c>
    </row>
    <row r="1252">
      <c r="A1252" s="11">
        <f>IF(B1252="","",TEXT(ROW()-3,"""DC-""0000"))</f>
        <v/>
      </c>
      <c r="B1252" s="5" t="n"/>
      <c r="C1252" s="5" t="n"/>
      <c r="D1252" s="5" t="n"/>
      <c r="E1252" s="5" t="n"/>
      <c r="F1252" s="5" t="n"/>
      <c r="G1252" s="5" t="n"/>
      <c r="H1252" s="8" t="n"/>
      <c r="I1252" s="8" t="n"/>
      <c r="J1252" s="8" t="n"/>
      <c r="K1252" s="11">
        <f>IF(B1252="","",MAX(0,IFERROR(I1252,0)*IFERROR(H1252,0)-IFERROR(J1252,0)))</f>
        <v/>
      </c>
      <c r="L1252" s="8" t="n"/>
      <c r="M1252" s="11">
        <f>IF(B1252="","",MAX(0,K1252-L1252))</f>
        <v/>
      </c>
      <c r="N1252" s="11">
        <f>IF(B1252="","",IF(L1252&gt;=K1252,"Paid",IF(L1252&gt;0,"Partial","Unpaid")))</f>
        <v/>
      </c>
      <c r="O1252" s="5" t="n"/>
      <c r="P1252" s="8" t="n"/>
      <c r="Q1252" s="8" t="n"/>
      <c r="R1252" s="11">
        <f>IF(B1252="","",IFERROR(K1252,0)+IFERROR(P1252,0)-IFERROR(Q1252,0))</f>
        <v/>
      </c>
      <c r="S1252" s="5" t="n"/>
      <c r="T1252" s="5" t="n"/>
      <c r="U1252" s="11">
        <f>IF(B1252="","",TRIM(LOWER(C1252)&amp;"|"&amp;LOWER(D1252)))</f>
        <v/>
      </c>
    </row>
    <row r="1253">
      <c r="A1253" s="11">
        <f>IF(B1253="","",TEXT(ROW()-3,"""DC-""0000"))</f>
        <v/>
      </c>
      <c r="B1253" s="5" t="n"/>
      <c r="C1253" s="5" t="n"/>
      <c r="D1253" s="5" t="n"/>
      <c r="E1253" s="5" t="n"/>
      <c r="F1253" s="5" t="n"/>
      <c r="G1253" s="5" t="n"/>
      <c r="H1253" s="8" t="n"/>
      <c r="I1253" s="8" t="n"/>
      <c r="J1253" s="8" t="n"/>
      <c r="K1253" s="11">
        <f>IF(B1253="","",MAX(0,IFERROR(I1253,0)*IFERROR(H1253,0)-IFERROR(J1253,0)))</f>
        <v/>
      </c>
      <c r="L1253" s="8" t="n"/>
      <c r="M1253" s="11">
        <f>IF(B1253="","",MAX(0,K1253-L1253))</f>
        <v/>
      </c>
      <c r="N1253" s="11">
        <f>IF(B1253="","",IF(L1253&gt;=K1253,"Paid",IF(L1253&gt;0,"Partial","Unpaid")))</f>
        <v/>
      </c>
      <c r="O1253" s="5" t="n"/>
      <c r="P1253" s="8" t="n"/>
      <c r="Q1253" s="8" t="n"/>
      <c r="R1253" s="11">
        <f>IF(B1253="","",IFERROR(K1253,0)+IFERROR(P1253,0)-IFERROR(Q1253,0))</f>
        <v/>
      </c>
      <c r="S1253" s="5" t="n"/>
      <c r="T1253" s="5" t="n"/>
      <c r="U1253" s="11">
        <f>IF(B1253="","",TRIM(LOWER(C1253)&amp;"|"&amp;LOWER(D1253)))</f>
        <v/>
      </c>
    </row>
    <row r="1254">
      <c r="A1254" s="11">
        <f>IF(B1254="","",TEXT(ROW()-3,"""DC-""0000"))</f>
        <v/>
      </c>
      <c r="B1254" s="5" t="n"/>
      <c r="C1254" s="5" t="n"/>
      <c r="D1254" s="5" t="n"/>
      <c r="E1254" s="5" t="n"/>
      <c r="F1254" s="5" t="n"/>
      <c r="G1254" s="5" t="n"/>
      <c r="H1254" s="8" t="n"/>
      <c r="I1254" s="8" t="n"/>
      <c r="J1254" s="8" t="n"/>
      <c r="K1254" s="11">
        <f>IF(B1254="","",MAX(0,IFERROR(I1254,0)*IFERROR(H1254,0)-IFERROR(J1254,0)))</f>
        <v/>
      </c>
      <c r="L1254" s="8" t="n"/>
      <c r="M1254" s="11">
        <f>IF(B1254="","",MAX(0,K1254-L1254))</f>
        <v/>
      </c>
      <c r="N1254" s="11">
        <f>IF(B1254="","",IF(L1254&gt;=K1254,"Paid",IF(L1254&gt;0,"Partial","Unpaid")))</f>
        <v/>
      </c>
      <c r="O1254" s="5" t="n"/>
      <c r="P1254" s="8" t="n"/>
      <c r="Q1254" s="8" t="n"/>
      <c r="R1254" s="11">
        <f>IF(B1254="","",IFERROR(K1254,0)+IFERROR(P1254,0)-IFERROR(Q1254,0))</f>
        <v/>
      </c>
      <c r="S1254" s="5" t="n"/>
      <c r="T1254" s="5" t="n"/>
      <c r="U1254" s="11">
        <f>IF(B1254="","",TRIM(LOWER(C1254)&amp;"|"&amp;LOWER(D1254)))</f>
        <v/>
      </c>
    </row>
    <row r="1255">
      <c r="A1255" s="11">
        <f>IF(B1255="","",TEXT(ROW()-3,"""DC-""0000"))</f>
        <v/>
      </c>
      <c r="B1255" s="5" t="n"/>
      <c r="C1255" s="5" t="n"/>
      <c r="D1255" s="5" t="n"/>
      <c r="E1255" s="5" t="n"/>
      <c r="F1255" s="5" t="n"/>
      <c r="G1255" s="5" t="n"/>
      <c r="H1255" s="8" t="n"/>
      <c r="I1255" s="8" t="n"/>
      <c r="J1255" s="8" t="n"/>
      <c r="K1255" s="11">
        <f>IF(B1255="","",MAX(0,IFERROR(I1255,0)*IFERROR(H1255,0)-IFERROR(J1255,0)))</f>
        <v/>
      </c>
      <c r="L1255" s="8" t="n"/>
      <c r="M1255" s="11">
        <f>IF(B1255="","",MAX(0,K1255-L1255))</f>
        <v/>
      </c>
      <c r="N1255" s="11">
        <f>IF(B1255="","",IF(L1255&gt;=K1255,"Paid",IF(L1255&gt;0,"Partial","Unpaid")))</f>
        <v/>
      </c>
      <c r="O1255" s="5" t="n"/>
      <c r="P1255" s="8" t="n"/>
      <c r="Q1255" s="8" t="n"/>
      <c r="R1255" s="11">
        <f>IF(B1255="","",IFERROR(K1255,0)+IFERROR(P1255,0)-IFERROR(Q1255,0))</f>
        <v/>
      </c>
      <c r="S1255" s="5" t="n"/>
      <c r="T1255" s="5" t="n"/>
      <c r="U1255" s="11">
        <f>IF(B1255="","",TRIM(LOWER(C1255)&amp;"|"&amp;LOWER(D1255)))</f>
        <v/>
      </c>
    </row>
    <row r="1256">
      <c r="A1256" s="11">
        <f>IF(B1256="","",TEXT(ROW()-3,"""DC-""0000"))</f>
        <v/>
      </c>
      <c r="B1256" s="5" t="n"/>
      <c r="C1256" s="5" t="n"/>
      <c r="D1256" s="5" t="n"/>
      <c r="E1256" s="5" t="n"/>
      <c r="F1256" s="5" t="n"/>
      <c r="G1256" s="5" t="n"/>
      <c r="H1256" s="8" t="n"/>
      <c r="I1256" s="8" t="n"/>
      <c r="J1256" s="8" t="n"/>
      <c r="K1256" s="11">
        <f>IF(B1256="","",MAX(0,IFERROR(I1256,0)*IFERROR(H1256,0)-IFERROR(J1256,0)))</f>
        <v/>
      </c>
      <c r="L1256" s="8" t="n"/>
      <c r="M1256" s="11">
        <f>IF(B1256="","",MAX(0,K1256-L1256))</f>
        <v/>
      </c>
      <c r="N1256" s="11">
        <f>IF(B1256="","",IF(L1256&gt;=K1256,"Paid",IF(L1256&gt;0,"Partial","Unpaid")))</f>
        <v/>
      </c>
      <c r="O1256" s="5" t="n"/>
      <c r="P1256" s="8" t="n"/>
      <c r="Q1256" s="8" t="n"/>
      <c r="R1256" s="11">
        <f>IF(B1256="","",IFERROR(K1256,0)+IFERROR(P1256,0)-IFERROR(Q1256,0))</f>
        <v/>
      </c>
      <c r="S1256" s="5" t="n"/>
      <c r="T1256" s="5" t="n"/>
      <c r="U1256" s="11">
        <f>IF(B1256="","",TRIM(LOWER(C1256)&amp;"|"&amp;LOWER(D1256)))</f>
        <v/>
      </c>
    </row>
    <row r="1257">
      <c r="A1257" s="11">
        <f>IF(B1257="","",TEXT(ROW()-3,"""DC-""0000"))</f>
        <v/>
      </c>
      <c r="B1257" s="5" t="n"/>
      <c r="C1257" s="5" t="n"/>
      <c r="D1257" s="5" t="n"/>
      <c r="E1257" s="5" t="n"/>
      <c r="F1257" s="5" t="n"/>
      <c r="G1257" s="5" t="n"/>
      <c r="H1257" s="8" t="n"/>
      <c r="I1257" s="8" t="n"/>
      <c r="J1257" s="8" t="n"/>
      <c r="K1257" s="11">
        <f>IF(B1257="","",MAX(0,IFERROR(I1257,0)*IFERROR(H1257,0)-IFERROR(J1257,0)))</f>
        <v/>
      </c>
      <c r="L1257" s="8" t="n"/>
      <c r="M1257" s="11">
        <f>IF(B1257="","",MAX(0,K1257-L1257))</f>
        <v/>
      </c>
      <c r="N1257" s="11">
        <f>IF(B1257="","",IF(L1257&gt;=K1257,"Paid",IF(L1257&gt;0,"Partial","Unpaid")))</f>
        <v/>
      </c>
      <c r="O1257" s="5" t="n"/>
      <c r="P1257" s="8" t="n"/>
      <c r="Q1257" s="8" t="n"/>
      <c r="R1257" s="11">
        <f>IF(B1257="","",IFERROR(K1257,0)+IFERROR(P1257,0)-IFERROR(Q1257,0))</f>
        <v/>
      </c>
      <c r="S1257" s="5" t="n"/>
      <c r="T1257" s="5" t="n"/>
      <c r="U1257" s="11">
        <f>IF(B1257="","",TRIM(LOWER(C1257)&amp;"|"&amp;LOWER(D1257)))</f>
        <v/>
      </c>
    </row>
    <row r="1258">
      <c r="A1258" s="11">
        <f>IF(B1258="","",TEXT(ROW()-3,"""DC-""0000"))</f>
        <v/>
      </c>
      <c r="B1258" s="5" t="n"/>
      <c r="C1258" s="5" t="n"/>
      <c r="D1258" s="5" t="n"/>
      <c r="E1258" s="5" t="n"/>
      <c r="F1258" s="5" t="n"/>
      <c r="G1258" s="5" t="n"/>
      <c r="H1258" s="8" t="n"/>
      <c r="I1258" s="8" t="n"/>
      <c r="J1258" s="8" t="n"/>
      <c r="K1258" s="11">
        <f>IF(B1258="","",MAX(0,IFERROR(I1258,0)*IFERROR(H1258,0)-IFERROR(J1258,0)))</f>
        <v/>
      </c>
      <c r="L1258" s="8" t="n"/>
      <c r="M1258" s="11">
        <f>IF(B1258="","",MAX(0,K1258-L1258))</f>
        <v/>
      </c>
      <c r="N1258" s="11">
        <f>IF(B1258="","",IF(L1258&gt;=K1258,"Paid",IF(L1258&gt;0,"Partial","Unpaid")))</f>
        <v/>
      </c>
      <c r="O1258" s="5" t="n"/>
      <c r="P1258" s="8" t="n"/>
      <c r="Q1258" s="8" t="n"/>
      <c r="R1258" s="11">
        <f>IF(B1258="","",IFERROR(K1258,0)+IFERROR(P1258,0)-IFERROR(Q1258,0))</f>
        <v/>
      </c>
      <c r="S1258" s="5" t="n"/>
      <c r="T1258" s="5" t="n"/>
      <c r="U1258" s="11">
        <f>IF(B1258="","",TRIM(LOWER(C1258)&amp;"|"&amp;LOWER(D1258)))</f>
        <v/>
      </c>
    </row>
    <row r="1259">
      <c r="A1259" s="11">
        <f>IF(B1259="","",TEXT(ROW()-3,"""DC-""0000"))</f>
        <v/>
      </c>
      <c r="B1259" s="5" t="n"/>
      <c r="C1259" s="5" t="n"/>
      <c r="D1259" s="5" t="n"/>
      <c r="E1259" s="5" t="n"/>
      <c r="F1259" s="5" t="n"/>
      <c r="G1259" s="5" t="n"/>
      <c r="H1259" s="8" t="n"/>
      <c r="I1259" s="8" t="n"/>
      <c r="J1259" s="8" t="n"/>
      <c r="K1259" s="11">
        <f>IF(B1259="","",MAX(0,IFERROR(I1259,0)*IFERROR(H1259,0)-IFERROR(J1259,0)))</f>
        <v/>
      </c>
      <c r="L1259" s="8" t="n"/>
      <c r="M1259" s="11">
        <f>IF(B1259="","",MAX(0,K1259-L1259))</f>
        <v/>
      </c>
      <c r="N1259" s="11">
        <f>IF(B1259="","",IF(L1259&gt;=K1259,"Paid",IF(L1259&gt;0,"Partial","Unpaid")))</f>
        <v/>
      </c>
      <c r="O1259" s="5" t="n"/>
      <c r="P1259" s="8" t="n"/>
      <c r="Q1259" s="8" t="n"/>
      <c r="R1259" s="11">
        <f>IF(B1259="","",IFERROR(K1259,0)+IFERROR(P1259,0)-IFERROR(Q1259,0))</f>
        <v/>
      </c>
      <c r="S1259" s="5" t="n"/>
      <c r="T1259" s="5" t="n"/>
      <c r="U1259" s="11">
        <f>IF(B1259="","",TRIM(LOWER(C1259)&amp;"|"&amp;LOWER(D1259)))</f>
        <v/>
      </c>
    </row>
    <row r="1260">
      <c r="A1260" s="11">
        <f>IF(B1260="","",TEXT(ROW()-3,"""DC-""0000"))</f>
        <v/>
      </c>
      <c r="B1260" s="5" t="n"/>
      <c r="C1260" s="5" t="n"/>
      <c r="D1260" s="5" t="n"/>
      <c r="E1260" s="5" t="n"/>
      <c r="F1260" s="5" t="n"/>
      <c r="G1260" s="5" t="n"/>
      <c r="H1260" s="8" t="n"/>
      <c r="I1260" s="8" t="n"/>
      <c r="J1260" s="8" t="n"/>
      <c r="K1260" s="11">
        <f>IF(B1260="","",MAX(0,IFERROR(I1260,0)*IFERROR(H1260,0)-IFERROR(J1260,0)))</f>
        <v/>
      </c>
      <c r="L1260" s="8" t="n"/>
      <c r="M1260" s="11">
        <f>IF(B1260="","",MAX(0,K1260-L1260))</f>
        <v/>
      </c>
      <c r="N1260" s="11">
        <f>IF(B1260="","",IF(L1260&gt;=K1260,"Paid",IF(L1260&gt;0,"Partial","Unpaid")))</f>
        <v/>
      </c>
      <c r="O1260" s="5" t="n"/>
      <c r="P1260" s="8" t="n"/>
      <c r="Q1260" s="8" t="n"/>
      <c r="R1260" s="11">
        <f>IF(B1260="","",IFERROR(K1260,0)+IFERROR(P1260,0)-IFERROR(Q1260,0))</f>
        <v/>
      </c>
      <c r="S1260" s="5" t="n"/>
      <c r="T1260" s="5" t="n"/>
      <c r="U1260" s="11">
        <f>IF(B1260="","",TRIM(LOWER(C1260)&amp;"|"&amp;LOWER(D1260)))</f>
        <v/>
      </c>
    </row>
    <row r="1261">
      <c r="A1261" s="11">
        <f>IF(B1261="","",TEXT(ROW()-3,"""DC-""0000"))</f>
        <v/>
      </c>
      <c r="B1261" s="5" t="n"/>
      <c r="C1261" s="5" t="n"/>
      <c r="D1261" s="5" t="n"/>
      <c r="E1261" s="5" t="n"/>
      <c r="F1261" s="5" t="n"/>
      <c r="G1261" s="5" t="n"/>
      <c r="H1261" s="8" t="n"/>
      <c r="I1261" s="8" t="n"/>
      <c r="J1261" s="8" t="n"/>
      <c r="K1261" s="11">
        <f>IF(B1261="","",MAX(0,IFERROR(I1261,0)*IFERROR(H1261,0)-IFERROR(J1261,0)))</f>
        <v/>
      </c>
      <c r="L1261" s="8" t="n"/>
      <c r="M1261" s="11">
        <f>IF(B1261="","",MAX(0,K1261-L1261))</f>
        <v/>
      </c>
      <c r="N1261" s="11">
        <f>IF(B1261="","",IF(L1261&gt;=K1261,"Paid",IF(L1261&gt;0,"Partial","Unpaid")))</f>
        <v/>
      </c>
      <c r="O1261" s="5" t="n"/>
      <c r="P1261" s="8" t="n"/>
      <c r="Q1261" s="8" t="n"/>
      <c r="R1261" s="11">
        <f>IF(B1261="","",IFERROR(K1261,0)+IFERROR(P1261,0)-IFERROR(Q1261,0))</f>
        <v/>
      </c>
      <c r="S1261" s="5" t="n"/>
      <c r="T1261" s="5" t="n"/>
      <c r="U1261" s="11">
        <f>IF(B1261="","",TRIM(LOWER(C1261)&amp;"|"&amp;LOWER(D1261)))</f>
        <v/>
      </c>
    </row>
    <row r="1262">
      <c r="A1262" s="11">
        <f>IF(B1262="","",TEXT(ROW()-3,"""DC-""0000"))</f>
        <v/>
      </c>
      <c r="B1262" s="5" t="n"/>
      <c r="C1262" s="5" t="n"/>
      <c r="D1262" s="5" t="n"/>
      <c r="E1262" s="5" t="n"/>
      <c r="F1262" s="5" t="n"/>
      <c r="G1262" s="5" t="n"/>
      <c r="H1262" s="8" t="n"/>
      <c r="I1262" s="8" t="n"/>
      <c r="J1262" s="8" t="n"/>
      <c r="K1262" s="11">
        <f>IF(B1262="","",MAX(0,IFERROR(I1262,0)*IFERROR(H1262,0)-IFERROR(J1262,0)))</f>
        <v/>
      </c>
      <c r="L1262" s="8" t="n"/>
      <c r="M1262" s="11">
        <f>IF(B1262="","",MAX(0,K1262-L1262))</f>
        <v/>
      </c>
      <c r="N1262" s="11">
        <f>IF(B1262="","",IF(L1262&gt;=K1262,"Paid",IF(L1262&gt;0,"Partial","Unpaid")))</f>
        <v/>
      </c>
      <c r="O1262" s="5" t="n"/>
      <c r="P1262" s="8" t="n"/>
      <c r="Q1262" s="8" t="n"/>
      <c r="R1262" s="11">
        <f>IF(B1262="","",IFERROR(K1262,0)+IFERROR(P1262,0)-IFERROR(Q1262,0))</f>
        <v/>
      </c>
      <c r="S1262" s="5" t="n"/>
      <c r="T1262" s="5" t="n"/>
      <c r="U1262" s="11">
        <f>IF(B1262="","",TRIM(LOWER(C1262)&amp;"|"&amp;LOWER(D1262)))</f>
        <v/>
      </c>
    </row>
    <row r="1263">
      <c r="A1263" s="11">
        <f>IF(B1263="","",TEXT(ROW()-3,"""DC-""0000"))</f>
        <v/>
      </c>
      <c r="B1263" s="5" t="n"/>
      <c r="C1263" s="5" t="n"/>
      <c r="D1263" s="5" t="n"/>
      <c r="E1263" s="5" t="n"/>
      <c r="F1263" s="5" t="n"/>
      <c r="G1263" s="5" t="n"/>
      <c r="H1263" s="8" t="n"/>
      <c r="I1263" s="8" t="n"/>
      <c r="J1263" s="8" t="n"/>
      <c r="K1263" s="11">
        <f>IF(B1263="","",MAX(0,IFERROR(I1263,0)*IFERROR(H1263,0)-IFERROR(J1263,0)))</f>
        <v/>
      </c>
      <c r="L1263" s="8" t="n"/>
      <c r="M1263" s="11">
        <f>IF(B1263="","",MAX(0,K1263-L1263))</f>
        <v/>
      </c>
      <c r="N1263" s="11">
        <f>IF(B1263="","",IF(L1263&gt;=K1263,"Paid",IF(L1263&gt;0,"Partial","Unpaid")))</f>
        <v/>
      </c>
      <c r="O1263" s="5" t="n"/>
      <c r="P1263" s="8" t="n"/>
      <c r="Q1263" s="8" t="n"/>
      <c r="R1263" s="11">
        <f>IF(B1263="","",IFERROR(K1263,0)+IFERROR(P1263,0)-IFERROR(Q1263,0))</f>
        <v/>
      </c>
      <c r="S1263" s="5" t="n"/>
      <c r="T1263" s="5" t="n"/>
      <c r="U1263" s="11">
        <f>IF(B1263="","",TRIM(LOWER(C1263)&amp;"|"&amp;LOWER(D1263)))</f>
        <v/>
      </c>
    </row>
    <row r="1264">
      <c r="A1264" s="11">
        <f>IF(B1264="","",TEXT(ROW()-3,"""DC-""0000"))</f>
        <v/>
      </c>
      <c r="B1264" s="5" t="n"/>
      <c r="C1264" s="5" t="n"/>
      <c r="D1264" s="5" t="n"/>
      <c r="E1264" s="5" t="n"/>
      <c r="F1264" s="5" t="n"/>
      <c r="G1264" s="5" t="n"/>
      <c r="H1264" s="8" t="n"/>
      <c r="I1264" s="8" t="n"/>
      <c r="J1264" s="8" t="n"/>
      <c r="K1264" s="11">
        <f>IF(B1264="","",MAX(0,IFERROR(I1264,0)*IFERROR(H1264,0)-IFERROR(J1264,0)))</f>
        <v/>
      </c>
      <c r="L1264" s="8" t="n"/>
      <c r="M1264" s="11">
        <f>IF(B1264="","",MAX(0,K1264-L1264))</f>
        <v/>
      </c>
      <c r="N1264" s="11">
        <f>IF(B1264="","",IF(L1264&gt;=K1264,"Paid",IF(L1264&gt;0,"Partial","Unpaid")))</f>
        <v/>
      </c>
      <c r="O1264" s="5" t="n"/>
      <c r="P1264" s="8" t="n"/>
      <c r="Q1264" s="8" t="n"/>
      <c r="R1264" s="11">
        <f>IF(B1264="","",IFERROR(K1264,0)+IFERROR(P1264,0)-IFERROR(Q1264,0))</f>
        <v/>
      </c>
      <c r="S1264" s="5" t="n"/>
      <c r="T1264" s="5" t="n"/>
      <c r="U1264" s="11">
        <f>IF(B1264="","",TRIM(LOWER(C1264)&amp;"|"&amp;LOWER(D1264)))</f>
        <v/>
      </c>
    </row>
    <row r="1265">
      <c r="A1265" s="11">
        <f>IF(B1265="","",TEXT(ROW()-3,"""DC-""0000"))</f>
        <v/>
      </c>
      <c r="B1265" s="5" t="n"/>
      <c r="C1265" s="5" t="n"/>
      <c r="D1265" s="5" t="n"/>
      <c r="E1265" s="5" t="n"/>
      <c r="F1265" s="5" t="n"/>
      <c r="G1265" s="5" t="n"/>
      <c r="H1265" s="8" t="n"/>
      <c r="I1265" s="8" t="n"/>
      <c r="J1265" s="8" t="n"/>
      <c r="K1265" s="11">
        <f>IF(B1265="","",MAX(0,IFERROR(I1265,0)*IFERROR(H1265,0)-IFERROR(J1265,0)))</f>
        <v/>
      </c>
      <c r="L1265" s="8" t="n"/>
      <c r="M1265" s="11">
        <f>IF(B1265="","",MAX(0,K1265-L1265))</f>
        <v/>
      </c>
      <c r="N1265" s="11">
        <f>IF(B1265="","",IF(L1265&gt;=K1265,"Paid",IF(L1265&gt;0,"Partial","Unpaid")))</f>
        <v/>
      </c>
      <c r="O1265" s="5" t="n"/>
      <c r="P1265" s="8" t="n"/>
      <c r="Q1265" s="8" t="n"/>
      <c r="R1265" s="11">
        <f>IF(B1265="","",IFERROR(K1265,0)+IFERROR(P1265,0)-IFERROR(Q1265,0))</f>
        <v/>
      </c>
      <c r="S1265" s="5" t="n"/>
      <c r="T1265" s="5" t="n"/>
      <c r="U1265" s="11">
        <f>IF(B1265="","",TRIM(LOWER(C1265)&amp;"|"&amp;LOWER(D1265)))</f>
        <v/>
      </c>
    </row>
    <row r="1266">
      <c r="A1266" s="11">
        <f>IF(B1266="","",TEXT(ROW()-3,"""DC-""0000"))</f>
        <v/>
      </c>
      <c r="B1266" s="5" t="n"/>
      <c r="C1266" s="5" t="n"/>
      <c r="D1266" s="5" t="n"/>
      <c r="E1266" s="5" t="n"/>
      <c r="F1266" s="5" t="n"/>
      <c r="G1266" s="5" t="n"/>
      <c r="H1266" s="8" t="n"/>
      <c r="I1266" s="8" t="n"/>
      <c r="J1266" s="8" t="n"/>
      <c r="K1266" s="11">
        <f>IF(B1266="","",MAX(0,IFERROR(I1266,0)*IFERROR(H1266,0)-IFERROR(J1266,0)))</f>
        <v/>
      </c>
      <c r="L1266" s="8" t="n"/>
      <c r="M1266" s="11">
        <f>IF(B1266="","",MAX(0,K1266-L1266))</f>
        <v/>
      </c>
      <c r="N1266" s="11">
        <f>IF(B1266="","",IF(L1266&gt;=K1266,"Paid",IF(L1266&gt;0,"Partial","Unpaid")))</f>
        <v/>
      </c>
      <c r="O1266" s="5" t="n"/>
      <c r="P1266" s="8" t="n"/>
      <c r="Q1266" s="8" t="n"/>
      <c r="R1266" s="11">
        <f>IF(B1266="","",IFERROR(K1266,0)+IFERROR(P1266,0)-IFERROR(Q1266,0))</f>
        <v/>
      </c>
      <c r="S1266" s="5" t="n"/>
      <c r="T1266" s="5" t="n"/>
      <c r="U1266" s="11">
        <f>IF(B1266="","",TRIM(LOWER(C1266)&amp;"|"&amp;LOWER(D1266)))</f>
        <v/>
      </c>
    </row>
    <row r="1267">
      <c r="A1267" s="11">
        <f>IF(B1267="","",TEXT(ROW()-3,"""DC-""0000"))</f>
        <v/>
      </c>
      <c r="B1267" s="5" t="n"/>
      <c r="C1267" s="5" t="n"/>
      <c r="D1267" s="5" t="n"/>
      <c r="E1267" s="5" t="n"/>
      <c r="F1267" s="5" t="n"/>
      <c r="G1267" s="5" t="n"/>
      <c r="H1267" s="8" t="n"/>
      <c r="I1267" s="8" t="n"/>
      <c r="J1267" s="8" t="n"/>
      <c r="K1267" s="11">
        <f>IF(B1267="","",MAX(0,IFERROR(I1267,0)*IFERROR(H1267,0)-IFERROR(J1267,0)))</f>
        <v/>
      </c>
      <c r="L1267" s="8" t="n"/>
      <c r="M1267" s="11">
        <f>IF(B1267="","",MAX(0,K1267-L1267))</f>
        <v/>
      </c>
      <c r="N1267" s="11">
        <f>IF(B1267="","",IF(L1267&gt;=K1267,"Paid",IF(L1267&gt;0,"Partial","Unpaid")))</f>
        <v/>
      </c>
      <c r="O1267" s="5" t="n"/>
      <c r="P1267" s="8" t="n"/>
      <c r="Q1267" s="8" t="n"/>
      <c r="R1267" s="11">
        <f>IF(B1267="","",IFERROR(K1267,0)+IFERROR(P1267,0)-IFERROR(Q1267,0))</f>
        <v/>
      </c>
      <c r="S1267" s="5" t="n"/>
      <c r="T1267" s="5" t="n"/>
      <c r="U1267" s="11">
        <f>IF(B1267="","",TRIM(LOWER(C1267)&amp;"|"&amp;LOWER(D1267)))</f>
        <v/>
      </c>
    </row>
    <row r="1268">
      <c r="A1268" s="11">
        <f>IF(B1268="","",TEXT(ROW()-3,"""DC-""0000"))</f>
        <v/>
      </c>
      <c r="B1268" s="5" t="n"/>
      <c r="C1268" s="5" t="n"/>
      <c r="D1268" s="5" t="n"/>
      <c r="E1268" s="5" t="n"/>
      <c r="F1268" s="5" t="n"/>
      <c r="G1268" s="5" t="n"/>
      <c r="H1268" s="8" t="n"/>
      <c r="I1268" s="8" t="n"/>
      <c r="J1268" s="8" t="n"/>
      <c r="K1268" s="11">
        <f>IF(B1268="","",MAX(0,IFERROR(I1268,0)*IFERROR(H1268,0)-IFERROR(J1268,0)))</f>
        <v/>
      </c>
      <c r="L1268" s="8" t="n"/>
      <c r="M1268" s="11">
        <f>IF(B1268="","",MAX(0,K1268-L1268))</f>
        <v/>
      </c>
      <c r="N1268" s="11">
        <f>IF(B1268="","",IF(L1268&gt;=K1268,"Paid",IF(L1268&gt;0,"Partial","Unpaid")))</f>
        <v/>
      </c>
      <c r="O1268" s="5" t="n"/>
      <c r="P1268" s="8" t="n"/>
      <c r="Q1268" s="8" t="n"/>
      <c r="R1268" s="11">
        <f>IF(B1268="","",IFERROR(K1268,0)+IFERROR(P1268,0)-IFERROR(Q1268,0))</f>
        <v/>
      </c>
      <c r="S1268" s="5" t="n"/>
      <c r="T1268" s="5" t="n"/>
      <c r="U1268" s="11">
        <f>IF(B1268="","",TRIM(LOWER(C1268)&amp;"|"&amp;LOWER(D1268)))</f>
        <v/>
      </c>
    </row>
    <row r="1269">
      <c r="A1269" s="11">
        <f>IF(B1269="","",TEXT(ROW()-3,"""DC-""0000"))</f>
        <v/>
      </c>
      <c r="B1269" s="5" t="n"/>
      <c r="C1269" s="5" t="n"/>
      <c r="D1269" s="5" t="n"/>
      <c r="E1269" s="5" t="n"/>
      <c r="F1269" s="5" t="n"/>
      <c r="G1269" s="5" t="n"/>
      <c r="H1269" s="8" t="n"/>
      <c r="I1269" s="8" t="n"/>
      <c r="J1269" s="8" t="n"/>
      <c r="K1269" s="11">
        <f>IF(B1269="","",MAX(0,IFERROR(I1269,0)*IFERROR(H1269,0)-IFERROR(J1269,0)))</f>
        <v/>
      </c>
      <c r="L1269" s="8" t="n"/>
      <c r="M1269" s="11">
        <f>IF(B1269="","",MAX(0,K1269-L1269))</f>
        <v/>
      </c>
      <c r="N1269" s="11">
        <f>IF(B1269="","",IF(L1269&gt;=K1269,"Paid",IF(L1269&gt;0,"Partial","Unpaid")))</f>
        <v/>
      </c>
      <c r="O1269" s="5" t="n"/>
      <c r="P1269" s="8" t="n"/>
      <c r="Q1269" s="8" t="n"/>
      <c r="R1269" s="11">
        <f>IF(B1269="","",IFERROR(K1269,0)+IFERROR(P1269,0)-IFERROR(Q1269,0))</f>
        <v/>
      </c>
      <c r="S1269" s="5" t="n"/>
      <c r="T1269" s="5" t="n"/>
      <c r="U1269" s="11">
        <f>IF(B1269="","",TRIM(LOWER(C1269)&amp;"|"&amp;LOWER(D1269)))</f>
        <v/>
      </c>
    </row>
    <row r="1270">
      <c r="A1270" s="11">
        <f>IF(B1270="","",TEXT(ROW()-3,"""DC-""0000"))</f>
        <v/>
      </c>
      <c r="B1270" s="5" t="n"/>
      <c r="C1270" s="5" t="n"/>
      <c r="D1270" s="5" t="n"/>
      <c r="E1270" s="5" t="n"/>
      <c r="F1270" s="5" t="n"/>
      <c r="G1270" s="5" t="n"/>
      <c r="H1270" s="8" t="n"/>
      <c r="I1270" s="8" t="n"/>
      <c r="J1270" s="8" t="n"/>
      <c r="K1270" s="11">
        <f>IF(B1270="","",MAX(0,IFERROR(I1270,0)*IFERROR(H1270,0)-IFERROR(J1270,0)))</f>
        <v/>
      </c>
      <c r="L1270" s="8" t="n"/>
      <c r="M1270" s="11">
        <f>IF(B1270="","",MAX(0,K1270-L1270))</f>
        <v/>
      </c>
      <c r="N1270" s="11">
        <f>IF(B1270="","",IF(L1270&gt;=K1270,"Paid",IF(L1270&gt;0,"Partial","Unpaid")))</f>
        <v/>
      </c>
      <c r="O1270" s="5" t="n"/>
      <c r="P1270" s="8" t="n"/>
      <c r="Q1270" s="8" t="n"/>
      <c r="R1270" s="11">
        <f>IF(B1270="","",IFERROR(K1270,0)+IFERROR(P1270,0)-IFERROR(Q1270,0))</f>
        <v/>
      </c>
      <c r="S1270" s="5" t="n"/>
      <c r="T1270" s="5" t="n"/>
      <c r="U1270" s="11">
        <f>IF(B1270="","",TRIM(LOWER(C1270)&amp;"|"&amp;LOWER(D1270)))</f>
        <v/>
      </c>
    </row>
    <row r="1271">
      <c r="A1271" s="11">
        <f>IF(B1271="","",TEXT(ROW()-3,"""DC-""0000"))</f>
        <v/>
      </c>
      <c r="B1271" s="5" t="n"/>
      <c r="C1271" s="5" t="n"/>
      <c r="D1271" s="5" t="n"/>
      <c r="E1271" s="5" t="n"/>
      <c r="F1271" s="5" t="n"/>
      <c r="G1271" s="5" t="n"/>
      <c r="H1271" s="8" t="n"/>
      <c r="I1271" s="8" t="n"/>
      <c r="J1271" s="8" t="n"/>
      <c r="K1271" s="11">
        <f>IF(B1271="","",MAX(0,IFERROR(I1271,0)*IFERROR(H1271,0)-IFERROR(J1271,0)))</f>
        <v/>
      </c>
      <c r="L1271" s="8" t="n"/>
      <c r="M1271" s="11">
        <f>IF(B1271="","",MAX(0,K1271-L1271))</f>
        <v/>
      </c>
      <c r="N1271" s="11">
        <f>IF(B1271="","",IF(L1271&gt;=K1271,"Paid",IF(L1271&gt;0,"Partial","Unpaid")))</f>
        <v/>
      </c>
      <c r="O1271" s="5" t="n"/>
      <c r="P1271" s="8" t="n"/>
      <c r="Q1271" s="8" t="n"/>
      <c r="R1271" s="11">
        <f>IF(B1271="","",IFERROR(K1271,0)+IFERROR(P1271,0)-IFERROR(Q1271,0))</f>
        <v/>
      </c>
      <c r="S1271" s="5" t="n"/>
      <c r="T1271" s="5" t="n"/>
      <c r="U1271" s="11">
        <f>IF(B1271="","",TRIM(LOWER(C1271)&amp;"|"&amp;LOWER(D1271)))</f>
        <v/>
      </c>
    </row>
    <row r="1272">
      <c r="A1272" s="11">
        <f>IF(B1272="","",TEXT(ROW()-3,"""DC-""0000"))</f>
        <v/>
      </c>
      <c r="B1272" s="5" t="n"/>
      <c r="C1272" s="5" t="n"/>
      <c r="D1272" s="5" t="n"/>
      <c r="E1272" s="5" t="n"/>
      <c r="F1272" s="5" t="n"/>
      <c r="G1272" s="5" t="n"/>
      <c r="H1272" s="8" t="n"/>
      <c r="I1272" s="8" t="n"/>
      <c r="J1272" s="8" t="n"/>
      <c r="K1272" s="11">
        <f>IF(B1272="","",MAX(0,IFERROR(I1272,0)*IFERROR(H1272,0)-IFERROR(J1272,0)))</f>
        <v/>
      </c>
      <c r="L1272" s="8" t="n"/>
      <c r="M1272" s="11">
        <f>IF(B1272="","",MAX(0,K1272-L1272))</f>
        <v/>
      </c>
      <c r="N1272" s="11">
        <f>IF(B1272="","",IF(L1272&gt;=K1272,"Paid",IF(L1272&gt;0,"Partial","Unpaid")))</f>
        <v/>
      </c>
      <c r="O1272" s="5" t="n"/>
      <c r="P1272" s="8" t="n"/>
      <c r="Q1272" s="8" t="n"/>
      <c r="R1272" s="11">
        <f>IF(B1272="","",IFERROR(K1272,0)+IFERROR(P1272,0)-IFERROR(Q1272,0))</f>
        <v/>
      </c>
      <c r="S1272" s="5" t="n"/>
      <c r="T1272" s="5" t="n"/>
      <c r="U1272" s="11">
        <f>IF(B1272="","",TRIM(LOWER(C1272)&amp;"|"&amp;LOWER(D1272)))</f>
        <v/>
      </c>
    </row>
    <row r="1273">
      <c r="A1273" s="11">
        <f>IF(B1273="","",TEXT(ROW()-3,"""DC-""0000"))</f>
        <v/>
      </c>
      <c r="B1273" s="5" t="n"/>
      <c r="C1273" s="5" t="n"/>
      <c r="D1273" s="5" t="n"/>
      <c r="E1273" s="5" t="n"/>
      <c r="F1273" s="5" t="n"/>
      <c r="G1273" s="5" t="n"/>
      <c r="H1273" s="8" t="n"/>
      <c r="I1273" s="8" t="n"/>
      <c r="J1273" s="8" t="n"/>
      <c r="K1273" s="11">
        <f>IF(B1273="","",MAX(0,IFERROR(I1273,0)*IFERROR(H1273,0)-IFERROR(J1273,0)))</f>
        <v/>
      </c>
      <c r="L1273" s="8" t="n"/>
      <c r="M1273" s="11">
        <f>IF(B1273="","",MAX(0,K1273-L1273))</f>
        <v/>
      </c>
      <c r="N1273" s="11">
        <f>IF(B1273="","",IF(L1273&gt;=K1273,"Paid",IF(L1273&gt;0,"Partial","Unpaid")))</f>
        <v/>
      </c>
      <c r="O1273" s="5" t="n"/>
      <c r="P1273" s="8" t="n"/>
      <c r="Q1273" s="8" t="n"/>
      <c r="R1273" s="11">
        <f>IF(B1273="","",IFERROR(K1273,0)+IFERROR(P1273,0)-IFERROR(Q1273,0))</f>
        <v/>
      </c>
      <c r="S1273" s="5" t="n"/>
      <c r="T1273" s="5" t="n"/>
      <c r="U1273" s="11">
        <f>IF(B1273="","",TRIM(LOWER(C1273)&amp;"|"&amp;LOWER(D1273)))</f>
        <v/>
      </c>
    </row>
    <row r="1274">
      <c r="A1274" s="11">
        <f>IF(B1274="","",TEXT(ROW()-3,"""DC-""0000"))</f>
        <v/>
      </c>
      <c r="B1274" s="5" t="n"/>
      <c r="C1274" s="5" t="n"/>
      <c r="D1274" s="5" t="n"/>
      <c r="E1274" s="5" t="n"/>
      <c r="F1274" s="5" t="n"/>
      <c r="G1274" s="5" t="n"/>
      <c r="H1274" s="8" t="n"/>
      <c r="I1274" s="8" t="n"/>
      <c r="J1274" s="8" t="n"/>
      <c r="K1274" s="11">
        <f>IF(B1274="","",MAX(0,IFERROR(I1274,0)*IFERROR(H1274,0)-IFERROR(J1274,0)))</f>
        <v/>
      </c>
      <c r="L1274" s="8" t="n"/>
      <c r="M1274" s="11">
        <f>IF(B1274="","",MAX(0,K1274-L1274))</f>
        <v/>
      </c>
      <c r="N1274" s="11">
        <f>IF(B1274="","",IF(L1274&gt;=K1274,"Paid",IF(L1274&gt;0,"Partial","Unpaid")))</f>
        <v/>
      </c>
      <c r="O1274" s="5" t="n"/>
      <c r="P1274" s="8" t="n"/>
      <c r="Q1274" s="8" t="n"/>
      <c r="R1274" s="11">
        <f>IF(B1274="","",IFERROR(K1274,0)+IFERROR(P1274,0)-IFERROR(Q1274,0))</f>
        <v/>
      </c>
      <c r="S1274" s="5" t="n"/>
      <c r="T1274" s="5" t="n"/>
      <c r="U1274" s="11">
        <f>IF(B1274="","",TRIM(LOWER(C1274)&amp;"|"&amp;LOWER(D1274)))</f>
        <v/>
      </c>
    </row>
    <row r="1275">
      <c r="A1275" s="11">
        <f>IF(B1275="","",TEXT(ROW()-3,"""DC-""0000"))</f>
        <v/>
      </c>
      <c r="B1275" s="5" t="n"/>
      <c r="C1275" s="5" t="n"/>
      <c r="D1275" s="5" t="n"/>
      <c r="E1275" s="5" t="n"/>
      <c r="F1275" s="5" t="n"/>
      <c r="G1275" s="5" t="n"/>
      <c r="H1275" s="8" t="n"/>
      <c r="I1275" s="8" t="n"/>
      <c r="J1275" s="8" t="n"/>
      <c r="K1275" s="11">
        <f>IF(B1275="","",MAX(0,IFERROR(I1275,0)*IFERROR(H1275,0)-IFERROR(J1275,0)))</f>
        <v/>
      </c>
      <c r="L1275" s="8" t="n"/>
      <c r="M1275" s="11">
        <f>IF(B1275="","",MAX(0,K1275-L1275))</f>
        <v/>
      </c>
      <c r="N1275" s="11">
        <f>IF(B1275="","",IF(L1275&gt;=K1275,"Paid",IF(L1275&gt;0,"Partial","Unpaid")))</f>
        <v/>
      </c>
      <c r="O1275" s="5" t="n"/>
      <c r="P1275" s="8" t="n"/>
      <c r="Q1275" s="8" t="n"/>
      <c r="R1275" s="11">
        <f>IF(B1275="","",IFERROR(K1275,0)+IFERROR(P1275,0)-IFERROR(Q1275,0))</f>
        <v/>
      </c>
      <c r="S1275" s="5" t="n"/>
      <c r="T1275" s="5" t="n"/>
      <c r="U1275" s="11">
        <f>IF(B1275="","",TRIM(LOWER(C1275)&amp;"|"&amp;LOWER(D1275)))</f>
        <v/>
      </c>
    </row>
    <row r="1276">
      <c r="A1276" s="11">
        <f>IF(B1276="","",TEXT(ROW()-3,"""DC-""0000"))</f>
        <v/>
      </c>
      <c r="B1276" s="5" t="n"/>
      <c r="C1276" s="5" t="n"/>
      <c r="D1276" s="5" t="n"/>
      <c r="E1276" s="5" t="n"/>
      <c r="F1276" s="5" t="n"/>
      <c r="G1276" s="5" t="n"/>
      <c r="H1276" s="8" t="n"/>
      <c r="I1276" s="8" t="n"/>
      <c r="J1276" s="8" t="n"/>
      <c r="K1276" s="11">
        <f>IF(B1276="","",MAX(0,IFERROR(I1276,0)*IFERROR(H1276,0)-IFERROR(J1276,0)))</f>
        <v/>
      </c>
      <c r="L1276" s="8" t="n"/>
      <c r="M1276" s="11">
        <f>IF(B1276="","",MAX(0,K1276-L1276))</f>
        <v/>
      </c>
      <c r="N1276" s="11">
        <f>IF(B1276="","",IF(L1276&gt;=K1276,"Paid",IF(L1276&gt;0,"Partial","Unpaid")))</f>
        <v/>
      </c>
      <c r="O1276" s="5" t="n"/>
      <c r="P1276" s="8" t="n"/>
      <c r="Q1276" s="8" t="n"/>
      <c r="R1276" s="11">
        <f>IF(B1276="","",IFERROR(K1276,0)+IFERROR(P1276,0)-IFERROR(Q1276,0))</f>
        <v/>
      </c>
      <c r="S1276" s="5" t="n"/>
      <c r="T1276" s="5" t="n"/>
      <c r="U1276" s="11">
        <f>IF(B1276="","",TRIM(LOWER(C1276)&amp;"|"&amp;LOWER(D1276)))</f>
        <v/>
      </c>
    </row>
    <row r="1277">
      <c r="A1277" s="11">
        <f>IF(B1277="","",TEXT(ROW()-3,"""DC-""0000"))</f>
        <v/>
      </c>
      <c r="B1277" s="5" t="n"/>
      <c r="C1277" s="5" t="n"/>
      <c r="D1277" s="5" t="n"/>
      <c r="E1277" s="5" t="n"/>
      <c r="F1277" s="5" t="n"/>
      <c r="G1277" s="5" t="n"/>
      <c r="H1277" s="8" t="n"/>
      <c r="I1277" s="8" t="n"/>
      <c r="J1277" s="8" t="n"/>
      <c r="K1277" s="11">
        <f>IF(B1277="","",MAX(0,IFERROR(I1277,0)*IFERROR(H1277,0)-IFERROR(J1277,0)))</f>
        <v/>
      </c>
      <c r="L1277" s="8" t="n"/>
      <c r="M1277" s="11">
        <f>IF(B1277="","",MAX(0,K1277-L1277))</f>
        <v/>
      </c>
      <c r="N1277" s="11">
        <f>IF(B1277="","",IF(L1277&gt;=K1277,"Paid",IF(L1277&gt;0,"Partial","Unpaid")))</f>
        <v/>
      </c>
      <c r="O1277" s="5" t="n"/>
      <c r="P1277" s="8" t="n"/>
      <c r="Q1277" s="8" t="n"/>
      <c r="R1277" s="11">
        <f>IF(B1277="","",IFERROR(K1277,0)+IFERROR(P1277,0)-IFERROR(Q1277,0))</f>
        <v/>
      </c>
      <c r="S1277" s="5" t="n"/>
      <c r="T1277" s="5" t="n"/>
      <c r="U1277" s="11">
        <f>IF(B1277="","",TRIM(LOWER(C1277)&amp;"|"&amp;LOWER(D1277)))</f>
        <v/>
      </c>
    </row>
    <row r="1278">
      <c r="A1278" s="11">
        <f>IF(B1278="","",TEXT(ROW()-3,"""DC-""0000"))</f>
        <v/>
      </c>
      <c r="B1278" s="5" t="n"/>
      <c r="C1278" s="5" t="n"/>
      <c r="D1278" s="5" t="n"/>
      <c r="E1278" s="5" t="n"/>
      <c r="F1278" s="5" t="n"/>
      <c r="G1278" s="5" t="n"/>
      <c r="H1278" s="8" t="n"/>
      <c r="I1278" s="8" t="n"/>
      <c r="J1278" s="8" t="n"/>
      <c r="K1278" s="11">
        <f>IF(B1278="","",MAX(0,IFERROR(I1278,0)*IFERROR(H1278,0)-IFERROR(J1278,0)))</f>
        <v/>
      </c>
      <c r="L1278" s="8" t="n"/>
      <c r="M1278" s="11">
        <f>IF(B1278="","",MAX(0,K1278-L1278))</f>
        <v/>
      </c>
      <c r="N1278" s="11">
        <f>IF(B1278="","",IF(L1278&gt;=K1278,"Paid",IF(L1278&gt;0,"Partial","Unpaid")))</f>
        <v/>
      </c>
      <c r="O1278" s="5" t="n"/>
      <c r="P1278" s="8" t="n"/>
      <c r="Q1278" s="8" t="n"/>
      <c r="R1278" s="11">
        <f>IF(B1278="","",IFERROR(K1278,0)+IFERROR(P1278,0)-IFERROR(Q1278,0))</f>
        <v/>
      </c>
      <c r="S1278" s="5" t="n"/>
      <c r="T1278" s="5" t="n"/>
      <c r="U1278" s="11">
        <f>IF(B1278="","",TRIM(LOWER(C1278)&amp;"|"&amp;LOWER(D1278)))</f>
        <v/>
      </c>
    </row>
    <row r="1279">
      <c r="A1279" s="11">
        <f>IF(B1279="","",TEXT(ROW()-3,"""DC-""0000"))</f>
        <v/>
      </c>
      <c r="B1279" s="5" t="n"/>
      <c r="C1279" s="5" t="n"/>
      <c r="D1279" s="5" t="n"/>
      <c r="E1279" s="5" t="n"/>
      <c r="F1279" s="5" t="n"/>
      <c r="G1279" s="5" t="n"/>
      <c r="H1279" s="8" t="n"/>
      <c r="I1279" s="8" t="n"/>
      <c r="J1279" s="8" t="n"/>
      <c r="K1279" s="11">
        <f>IF(B1279="","",MAX(0,IFERROR(I1279,0)*IFERROR(H1279,0)-IFERROR(J1279,0)))</f>
        <v/>
      </c>
      <c r="L1279" s="8" t="n"/>
      <c r="M1279" s="11">
        <f>IF(B1279="","",MAX(0,K1279-L1279))</f>
        <v/>
      </c>
      <c r="N1279" s="11">
        <f>IF(B1279="","",IF(L1279&gt;=K1279,"Paid",IF(L1279&gt;0,"Partial","Unpaid")))</f>
        <v/>
      </c>
      <c r="O1279" s="5" t="n"/>
      <c r="P1279" s="8" t="n"/>
      <c r="Q1279" s="8" t="n"/>
      <c r="R1279" s="11">
        <f>IF(B1279="","",IFERROR(K1279,0)+IFERROR(P1279,0)-IFERROR(Q1279,0))</f>
        <v/>
      </c>
      <c r="S1279" s="5" t="n"/>
      <c r="T1279" s="5" t="n"/>
      <c r="U1279" s="11">
        <f>IF(B1279="","",TRIM(LOWER(C1279)&amp;"|"&amp;LOWER(D1279)))</f>
        <v/>
      </c>
    </row>
    <row r="1280">
      <c r="A1280" s="11">
        <f>IF(B1280="","",TEXT(ROW()-3,"""DC-""0000"))</f>
        <v/>
      </c>
      <c r="B1280" s="5" t="n"/>
      <c r="C1280" s="5" t="n"/>
      <c r="D1280" s="5" t="n"/>
      <c r="E1280" s="5" t="n"/>
      <c r="F1280" s="5" t="n"/>
      <c r="G1280" s="5" t="n"/>
      <c r="H1280" s="8" t="n"/>
      <c r="I1280" s="8" t="n"/>
      <c r="J1280" s="8" t="n"/>
      <c r="K1280" s="11">
        <f>IF(B1280="","",MAX(0,IFERROR(I1280,0)*IFERROR(H1280,0)-IFERROR(J1280,0)))</f>
        <v/>
      </c>
      <c r="L1280" s="8" t="n"/>
      <c r="M1280" s="11">
        <f>IF(B1280="","",MAX(0,K1280-L1280))</f>
        <v/>
      </c>
      <c r="N1280" s="11">
        <f>IF(B1280="","",IF(L1280&gt;=K1280,"Paid",IF(L1280&gt;0,"Partial","Unpaid")))</f>
        <v/>
      </c>
      <c r="O1280" s="5" t="n"/>
      <c r="P1280" s="8" t="n"/>
      <c r="Q1280" s="8" t="n"/>
      <c r="R1280" s="11">
        <f>IF(B1280="","",IFERROR(K1280,0)+IFERROR(P1280,0)-IFERROR(Q1280,0))</f>
        <v/>
      </c>
      <c r="S1280" s="5" t="n"/>
      <c r="T1280" s="5" t="n"/>
      <c r="U1280" s="11">
        <f>IF(B1280="","",TRIM(LOWER(C1280)&amp;"|"&amp;LOWER(D1280)))</f>
        <v/>
      </c>
    </row>
    <row r="1281">
      <c r="A1281" s="11">
        <f>IF(B1281="","",TEXT(ROW()-3,"""DC-""0000"))</f>
        <v/>
      </c>
      <c r="B1281" s="5" t="n"/>
      <c r="C1281" s="5" t="n"/>
      <c r="D1281" s="5" t="n"/>
      <c r="E1281" s="5" t="n"/>
      <c r="F1281" s="5" t="n"/>
      <c r="G1281" s="5" t="n"/>
      <c r="H1281" s="8" t="n"/>
      <c r="I1281" s="8" t="n"/>
      <c r="J1281" s="8" t="n"/>
      <c r="K1281" s="11">
        <f>IF(B1281="","",MAX(0,IFERROR(I1281,0)*IFERROR(H1281,0)-IFERROR(J1281,0)))</f>
        <v/>
      </c>
      <c r="L1281" s="8" t="n"/>
      <c r="M1281" s="11">
        <f>IF(B1281="","",MAX(0,K1281-L1281))</f>
        <v/>
      </c>
      <c r="N1281" s="11">
        <f>IF(B1281="","",IF(L1281&gt;=K1281,"Paid",IF(L1281&gt;0,"Partial","Unpaid")))</f>
        <v/>
      </c>
      <c r="O1281" s="5" t="n"/>
      <c r="P1281" s="8" t="n"/>
      <c r="Q1281" s="8" t="n"/>
      <c r="R1281" s="11">
        <f>IF(B1281="","",IFERROR(K1281,0)+IFERROR(P1281,0)-IFERROR(Q1281,0))</f>
        <v/>
      </c>
      <c r="S1281" s="5" t="n"/>
      <c r="T1281" s="5" t="n"/>
      <c r="U1281" s="11">
        <f>IF(B1281="","",TRIM(LOWER(C1281)&amp;"|"&amp;LOWER(D1281)))</f>
        <v/>
      </c>
    </row>
    <row r="1282">
      <c r="A1282" s="11">
        <f>IF(B1282="","",TEXT(ROW()-3,"""DC-""0000"))</f>
        <v/>
      </c>
      <c r="B1282" s="5" t="n"/>
      <c r="C1282" s="5" t="n"/>
      <c r="D1282" s="5" t="n"/>
      <c r="E1282" s="5" t="n"/>
      <c r="F1282" s="5" t="n"/>
      <c r="G1282" s="5" t="n"/>
      <c r="H1282" s="8" t="n"/>
      <c r="I1282" s="8" t="n"/>
      <c r="J1282" s="8" t="n"/>
      <c r="K1282" s="11">
        <f>IF(B1282="","",MAX(0,IFERROR(I1282,0)*IFERROR(H1282,0)-IFERROR(J1282,0)))</f>
        <v/>
      </c>
      <c r="L1282" s="8" t="n"/>
      <c r="M1282" s="11">
        <f>IF(B1282="","",MAX(0,K1282-L1282))</f>
        <v/>
      </c>
      <c r="N1282" s="11">
        <f>IF(B1282="","",IF(L1282&gt;=K1282,"Paid",IF(L1282&gt;0,"Partial","Unpaid")))</f>
        <v/>
      </c>
      <c r="O1282" s="5" t="n"/>
      <c r="P1282" s="8" t="n"/>
      <c r="Q1282" s="8" t="n"/>
      <c r="R1282" s="11">
        <f>IF(B1282="","",IFERROR(K1282,0)+IFERROR(P1282,0)-IFERROR(Q1282,0))</f>
        <v/>
      </c>
      <c r="S1282" s="5" t="n"/>
      <c r="T1282" s="5" t="n"/>
      <c r="U1282" s="11">
        <f>IF(B1282="","",TRIM(LOWER(C1282)&amp;"|"&amp;LOWER(D1282)))</f>
        <v/>
      </c>
    </row>
    <row r="1283">
      <c r="A1283" s="11">
        <f>IF(B1283="","",TEXT(ROW()-3,"""DC-""0000"))</f>
        <v/>
      </c>
      <c r="B1283" s="5" t="n"/>
      <c r="C1283" s="5" t="n"/>
      <c r="D1283" s="5" t="n"/>
      <c r="E1283" s="5" t="n"/>
      <c r="F1283" s="5" t="n"/>
      <c r="G1283" s="5" t="n"/>
      <c r="H1283" s="8" t="n"/>
      <c r="I1283" s="8" t="n"/>
      <c r="J1283" s="8" t="n"/>
      <c r="K1283" s="11">
        <f>IF(B1283="","",MAX(0,IFERROR(I1283,0)*IFERROR(H1283,0)-IFERROR(J1283,0)))</f>
        <v/>
      </c>
      <c r="L1283" s="8" t="n"/>
      <c r="M1283" s="11">
        <f>IF(B1283="","",MAX(0,K1283-L1283))</f>
        <v/>
      </c>
      <c r="N1283" s="11">
        <f>IF(B1283="","",IF(L1283&gt;=K1283,"Paid",IF(L1283&gt;0,"Partial","Unpaid")))</f>
        <v/>
      </c>
      <c r="O1283" s="5" t="n"/>
      <c r="P1283" s="8" t="n"/>
      <c r="Q1283" s="8" t="n"/>
      <c r="R1283" s="11">
        <f>IF(B1283="","",IFERROR(K1283,0)+IFERROR(P1283,0)-IFERROR(Q1283,0))</f>
        <v/>
      </c>
      <c r="S1283" s="5" t="n"/>
      <c r="T1283" s="5" t="n"/>
      <c r="U1283" s="11">
        <f>IF(B1283="","",TRIM(LOWER(C1283)&amp;"|"&amp;LOWER(D1283)))</f>
        <v/>
      </c>
    </row>
    <row r="1284">
      <c r="A1284" s="11">
        <f>IF(B1284="","",TEXT(ROW()-3,"""DC-""0000"))</f>
        <v/>
      </c>
      <c r="B1284" s="5" t="n"/>
      <c r="C1284" s="5" t="n"/>
      <c r="D1284" s="5" t="n"/>
      <c r="E1284" s="5" t="n"/>
      <c r="F1284" s="5" t="n"/>
      <c r="G1284" s="5" t="n"/>
      <c r="H1284" s="8" t="n"/>
      <c r="I1284" s="8" t="n"/>
      <c r="J1284" s="8" t="n"/>
      <c r="K1284" s="11">
        <f>IF(B1284="","",MAX(0,IFERROR(I1284,0)*IFERROR(H1284,0)-IFERROR(J1284,0)))</f>
        <v/>
      </c>
      <c r="L1284" s="8" t="n"/>
      <c r="M1284" s="11">
        <f>IF(B1284="","",MAX(0,K1284-L1284))</f>
        <v/>
      </c>
      <c r="N1284" s="11">
        <f>IF(B1284="","",IF(L1284&gt;=K1284,"Paid",IF(L1284&gt;0,"Partial","Unpaid")))</f>
        <v/>
      </c>
      <c r="O1284" s="5" t="n"/>
      <c r="P1284" s="8" t="n"/>
      <c r="Q1284" s="8" t="n"/>
      <c r="R1284" s="11">
        <f>IF(B1284="","",IFERROR(K1284,0)+IFERROR(P1284,0)-IFERROR(Q1284,0))</f>
        <v/>
      </c>
      <c r="S1284" s="5" t="n"/>
      <c r="T1284" s="5" t="n"/>
      <c r="U1284" s="11">
        <f>IF(B1284="","",TRIM(LOWER(C1284)&amp;"|"&amp;LOWER(D1284)))</f>
        <v/>
      </c>
    </row>
    <row r="1285">
      <c r="A1285" s="11">
        <f>IF(B1285="","",TEXT(ROW()-3,"""DC-""0000"))</f>
        <v/>
      </c>
      <c r="B1285" s="5" t="n"/>
      <c r="C1285" s="5" t="n"/>
      <c r="D1285" s="5" t="n"/>
      <c r="E1285" s="5" t="n"/>
      <c r="F1285" s="5" t="n"/>
      <c r="G1285" s="5" t="n"/>
      <c r="H1285" s="8" t="n"/>
      <c r="I1285" s="8" t="n"/>
      <c r="J1285" s="8" t="n"/>
      <c r="K1285" s="11">
        <f>IF(B1285="","",MAX(0,IFERROR(I1285,0)*IFERROR(H1285,0)-IFERROR(J1285,0)))</f>
        <v/>
      </c>
      <c r="L1285" s="8" t="n"/>
      <c r="M1285" s="11">
        <f>IF(B1285="","",MAX(0,K1285-L1285))</f>
        <v/>
      </c>
      <c r="N1285" s="11">
        <f>IF(B1285="","",IF(L1285&gt;=K1285,"Paid",IF(L1285&gt;0,"Partial","Unpaid")))</f>
        <v/>
      </c>
      <c r="O1285" s="5" t="n"/>
      <c r="P1285" s="8" t="n"/>
      <c r="Q1285" s="8" t="n"/>
      <c r="R1285" s="11">
        <f>IF(B1285="","",IFERROR(K1285,0)+IFERROR(P1285,0)-IFERROR(Q1285,0))</f>
        <v/>
      </c>
      <c r="S1285" s="5" t="n"/>
      <c r="T1285" s="5" t="n"/>
      <c r="U1285" s="11">
        <f>IF(B1285="","",TRIM(LOWER(C1285)&amp;"|"&amp;LOWER(D1285)))</f>
        <v/>
      </c>
    </row>
    <row r="1286">
      <c r="A1286" s="11">
        <f>IF(B1286="","",TEXT(ROW()-3,"""DC-""0000"))</f>
        <v/>
      </c>
      <c r="B1286" s="5" t="n"/>
      <c r="C1286" s="5" t="n"/>
      <c r="D1286" s="5" t="n"/>
      <c r="E1286" s="5" t="n"/>
      <c r="F1286" s="5" t="n"/>
      <c r="G1286" s="5" t="n"/>
      <c r="H1286" s="8" t="n"/>
      <c r="I1286" s="8" t="n"/>
      <c r="J1286" s="8" t="n"/>
      <c r="K1286" s="11">
        <f>IF(B1286="","",MAX(0,IFERROR(I1286,0)*IFERROR(H1286,0)-IFERROR(J1286,0)))</f>
        <v/>
      </c>
      <c r="L1286" s="8" t="n"/>
      <c r="M1286" s="11">
        <f>IF(B1286="","",MAX(0,K1286-L1286))</f>
        <v/>
      </c>
      <c r="N1286" s="11">
        <f>IF(B1286="","",IF(L1286&gt;=K1286,"Paid",IF(L1286&gt;0,"Partial","Unpaid")))</f>
        <v/>
      </c>
      <c r="O1286" s="5" t="n"/>
      <c r="P1286" s="8" t="n"/>
      <c r="Q1286" s="8" t="n"/>
      <c r="R1286" s="11">
        <f>IF(B1286="","",IFERROR(K1286,0)+IFERROR(P1286,0)-IFERROR(Q1286,0))</f>
        <v/>
      </c>
      <c r="S1286" s="5" t="n"/>
      <c r="T1286" s="5" t="n"/>
      <c r="U1286" s="11">
        <f>IF(B1286="","",TRIM(LOWER(C1286)&amp;"|"&amp;LOWER(D1286)))</f>
        <v/>
      </c>
    </row>
    <row r="1287">
      <c r="A1287" s="11">
        <f>IF(B1287="","",TEXT(ROW()-3,"""DC-""0000"))</f>
        <v/>
      </c>
      <c r="B1287" s="5" t="n"/>
      <c r="C1287" s="5" t="n"/>
      <c r="D1287" s="5" t="n"/>
      <c r="E1287" s="5" t="n"/>
      <c r="F1287" s="5" t="n"/>
      <c r="G1287" s="5" t="n"/>
      <c r="H1287" s="8" t="n"/>
      <c r="I1287" s="8" t="n"/>
      <c r="J1287" s="8" t="n"/>
      <c r="K1287" s="11">
        <f>IF(B1287="","",MAX(0,IFERROR(I1287,0)*IFERROR(H1287,0)-IFERROR(J1287,0)))</f>
        <v/>
      </c>
      <c r="L1287" s="8" t="n"/>
      <c r="M1287" s="11">
        <f>IF(B1287="","",MAX(0,K1287-L1287))</f>
        <v/>
      </c>
      <c r="N1287" s="11">
        <f>IF(B1287="","",IF(L1287&gt;=K1287,"Paid",IF(L1287&gt;0,"Partial","Unpaid")))</f>
        <v/>
      </c>
      <c r="O1287" s="5" t="n"/>
      <c r="P1287" s="8" t="n"/>
      <c r="Q1287" s="8" t="n"/>
      <c r="R1287" s="11">
        <f>IF(B1287="","",IFERROR(K1287,0)+IFERROR(P1287,0)-IFERROR(Q1287,0))</f>
        <v/>
      </c>
      <c r="S1287" s="5" t="n"/>
      <c r="T1287" s="5" t="n"/>
      <c r="U1287" s="11">
        <f>IF(B1287="","",TRIM(LOWER(C1287)&amp;"|"&amp;LOWER(D1287)))</f>
        <v/>
      </c>
    </row>
    <row r="1288">
      <c r="A1288" s="11">
        <f>IF(B1288="","",TEXT(ROW()-3,"""DC-""0000"))</f>
        <v/>
      </c>
      <c r="B1288" s="5" t="n"/>
      <c r="C1288" s="5" t="n"/>
      <c r="D1288" s="5" t="n"/>
      <c r="E1288" s="5" t="n"/>
      <c r="F1288" s="5" t="n"/>
      <c r="G1288" s="5" t="n"/>
      <c r="H1288" s="8" t="n"/>
      <c r="I1288" s="8" t="n"/>
      <c r="J1288" s="8" t="n"/>
      <c r="K1288" s="11">
        <f>IF(B1288="","",MAX(0,IFERROR(I1288,0)*IFERROR(H1288,0)-IFERROR(J1288,0)))</f>
        <v/>
      </c>
      <c r="L1288" s="8" t="n"/>
      <c r="M1288" s="11">
        <f>IF(B1288="","",MAX(0,K1288-L1288))</f>
        <v/>
      </c>
      <c r="N1288" s="11">
        <f>IF(B1288="","",IF(L1288&gt;=K1288,"Paid",IF(L1288&gt;0,"Partial","Unpaid")))</f>
        <v/>
      </c>
      <c r="O1288" s="5" t="n"/>
      <c r="P1288" s="8" t="n"/>
      <c r="Q1288" s="8" t="n"/>
      <c r="R1288" s="11">
        <f>IF(B1288="","",IFERROR(K1288,0)+IFERROR(P1288,0)-IFERROR(Q1288,0))</f>
        <v/>
      </c>
      <c r="S1288" s="5" t="n"/>
      <c r="T1288" s="5" t="n"/>
      <c r="U1288" s="11">
        <f>IF(B1288="","",TRIM(LOWER(C1288)&amp;"|"&amp;LOWER(D1288)))</f>
        <v/>
      </c>
    </row>
    <row r="1289">
      <c r="A1289" s="11">
        <f>IF(B1289="","",TEXT(ROW()-3,"""DC-""0000"))</f>
        <v/>
      </c>
      <c r="B1289" s="5" t="n"/>
      <c r="C1289" s="5" t="n"/>
      <c r="D1289" s="5" t="n"/>
      <c r="E1289" s="5" t="n"/>
      <c r="F1289" s="5" t="n"/>
      <c r="G1289" s="5" t="n"/>
      <c r="H1289" s="8" t="n"/>
      <c r="I1289" s="8" t="n"/>
      <c r="J1289" s="8" t="n"/>
      <c r="K1289" s="11">
        <f>IF(B1289="","",MAX(0,IFERROR(I1289,0)*IFERROR(H1289,0)-IFERROR(J1289,0)))</f>
        <v/>
      </c>
      <c r="L1289" s="8" t="n"/>
      <c r="M1289" s="11">
        <f>IF(B1289="","",MAX(0,K1289-L1289))</f>
        <v/>
      </c>
      <c r="N1289" s="11">
        <f>IF(B1289="","",IF(L1289&gt;=K1289,"Paid",IF(L1289&gt;0,"Partial","Unpaid")))</f>
        <v/>
      </c>
      <c r="O1289" s="5" t="n"/>
      <c r="P1289" s="8" t="n"/>
      <c r="Q1289" s="8" t="n"/>
      <c r="R1289" s="11">
        <f>IF(B1289="","",IFERROR(K1289,0)+IFERROR(P1289,0)-IFERROR(Q1289,0))</f>
        <v/>
      </c>
      <c r="S1289" s="5" t="n"/>
      <c r="T1289" s="5" t="n"/>
      <c r="U1289" s="11">
        <f>IF(B1289="","",TRIM(LOWER(C1289)&amp;"|"&amp;LOWER(D1289)))</f>
        <v/>
      </c>
    </row>
    <row r="1290">
      <c r="A1290" s="11">
        <f>IF(B1290="","",TEXT(ROW()-3,"""DC-""0000"))</f>
        <v/>
      </c>
      <c r="B1290" s="5" t="n"/>
      <c r="C1290" s="5" t="n"/>
      <c r="D1290" s="5" t="n"/>
      <c r="E1290" s="5" t="n"/>
      <c r="F1290" s="5" t="n"/>
      <c r="G1290" s="5" t="n"/>
      <c r="H1290" s="8" t="n"/>
      <c r="I1290" s="8" t="n"/>
      <c r="J1290" s="8" t="n"/>
      <c r="K1290" s="11">
        <f>IF(B1290="","",MAX(0,IFERROR(I1290,0)*IFERROR(H1290,0)-IFERROR(J1290,0)))</f>
        <v/>
      </c>
      <c r="L1290" s="8" t="n"/>
      <c r="M1290" s="11">
        <f>IF(B1290="","",MAX(0,K1290-L1290))</f>
        <v/>
      </c>
      <c r="N1290" s="11">
        <f>IF(B1290="","",IF(L1290&gt;=K1290,"Paid",IF(L1290&gt;0,"Partial","Unpaid")))</f>
        <v/>
      </c>
      <c r="O1290" s="5" t="n"/>
      <c r="P1290" s="8" t="n"/>
      <c r="Q1290" s="8" t="n"/>
      <c r="R1290" s="11">
        <f>IF(B1290="","",IFERROR(K1290,0)+IFERROR(P1290,0)-IFERROR(Q1290,0))</f>
        <v/>
      </c>
      <c r="S1290" s="5" t="n"/>
      <c r="T1290" s="5" t="n"/>
      <c r="U1290" s="11">
        <f>IF(B1290="","",TRIM(LOWER(C1290)&amp;"|"&amp;LOWER(D1290)))</f>
        <v/>
      </c>
    </row>
    <row r="1291">
      <c r="A1291" s="11">
        <f>IF(B1291="","",TEXT(ROW()-3,"""DC-""0000"))</f>
        <v/>
      </c>
      <c r="B1291" s="5" t="n"/>
      <c r="C1291" s="5" t="n"/>
      <c r="D1291" s="5" t="n"/>
      <c r="E1291" s="5" t="n"/>
      <c r="F1291" s="5" t="n"/>
      <c r="G1291" s="5" t="n"/>
      <c r="H1291" s="8" t="n"/>
      <c r="I1291" s="8" t="n"/>
      <c r="J1291" s="8" t="n"/>
      <c r="K1291" s="11">
        <f>IF(B1291="","",MAX(0,IFERROR(I1291,0)*IFERROR(H1291,0)-IFERROR(J1291,0)))</f>
        <v/>
      </c>
      <c r="L1291" s="8" t="n"/>
      <c r="M1291" s="11">
        <f>IF(B1291="","",MAX(0,K1291-L1291))</f>
        <v/>
      </c>
      <c r="N1291" s="11">
        <f>IF(B1291="","",IF(L1291&gt;=K1291,"Paid",IF(L1291&gt;0,"Partial","Unpaid")))</f>
        <v/>
      </c>
      <c r="O1291" s="5" t="n"/>
      <c r="P1291" s="8" t="n"/>
      <c r="Q1291" s="8" t="n"/>
      <c r="R1291" s="11">
        <f>IF(B1291="","",IFERROR(K1291,0)+IFERROR(P1291,0)-IFERROR(Q1291,0))</f>
        <v/>
      </c>
      <c r="S1291" s="5" t="n"/>
      <c r="T1291" s="5" t="n"/>
      <c r="U1291" s="11">
        <f>IF(B1291="","",TRIM(LOWER(C1291)&amp;"|"&amp;LOWER(D1291)))</f>
        <v/>
      </c>
    </row>
    <row r="1292">
      <c r="A1292" s="11">
        <f>IF(B1292="","",TEXT(ROW()-3,"""DC-""0000"))</f>
        <v/>
      </c>
      <c r="B1292" s="5" t="n"/>
      <c r="C1292" s="5" t="n"/>
      <c r="D1292" s="5" t="n"/>
      <c r="E1292" s="5" t="n"/>
      <c r="F1292" s="5" t="n"/>
      <c r="G1292" s="5" t="n"/>
      <c r="H1292" s="8" t="n"/>
      <c r="I1292" s="8" t="n"/>
      <c r="J1292" s="8" t="n"/>
      <c r="K1292" s="11">
        <f>IF(B1292="","",MAX(0,IFERROR(I1292,0)*IFERROR(H1292,0)-IFERROR(J1292,0)))</f>
        <v/>
      </c>
      <c r="L1292" s="8" t="n"/>
      <c r="M1292" s="11">
        <f>IF(B1292="","",MAX(0,K1292-L1292))</f>
        <v/>
      </c>
      <c r="N1292" s="11">
        <f>IF(B1292="","",IF(L1292&gt;=K1292,"Paid",IF(L1292&gt;0,"Partial","Unpaid")))</f>
        <v/>
      </c>
      <c r="O1292" s="5" t="n"/>
      <c r="P1292" s="8" t="n"/>
      <c r="Q1292" s="8" t="n"/>
      <c r="R1292" s="11">
        <f>IF(B1292="","",IFERROR(K1292,0)+IFERROR(P1292,0)-IFERROR(Q1292,0))</f>
        <v/>
      </c>
      <c r="S1292" s="5" t="n"/>
      <c r="T1292" s="5" t="n"/>
      <c r="U1292" s="11">
        <f>IF(B1292="","",TRIM(LOWER(C1292)&amp;"|"&amp;LOWER(D1292)))</f>
        <v/>
      </c>
    </row>
    <row r="1293">
      <c r="A1293" s="11">
        <f>IF(B1293="","",TEXT(ROW()-3,"""DC-""0000"))</f>
        <v/>
      </c>
      <c r="B1293" s="5" t="n"/>
      <c r="C1293" s="5" t="n"/>
      <c r="D1293" s="5" t="n"/>
      <c r="E1293" s="5" t="n"/>
      <c r="F1293" s="5" t="n"/>
      <c r="G1293" s="5" t="n"/>
      <c r="H1293" s="8" t="n"/>
      <c r="I1293" s="8" t="n"/>
      <c r="J1293" s="8" t="n"/>
      <c r="K1293" s="11">
        <f>IF(B1293="","",MAX(0,IFERROR(I1293,0)*IFERROR(H1293,0)-IFERROR(J1293,0)))</f>
        <v/>
      </c>
      <c r="L1293" s="8" t="n"/>
      <c r="M1293" s="11">
        <f>IF(B1293="","",MAX(0,K1293-L1293))</f>
        <v/>
      </c>
      <c r="N1293" s="11">
        <f>IF(B1293="","",IF(L1293&gt;=K1293,"Paid",IF(L1293&gt;0,"Partial","Unpaid")))</f>
        <v/>
      </c>
      <c r="O1293" s="5" t="n"/>
      <c r="P1293" s="8" t="n"/>
      <c r="Q1293" s="8" t="n"/>
      <c r="R1293" s="11">
        <f>IF(B1293="","",IFERROR(K1293,0)+IFERROR(P1293,0)-IFERROR(Q1293,0))</f>
        <v/>
      </c>
      <c r="S1293" s="5" t="n"/>
      <c r="T1293" s="5" t="n"/>
      <c r="U1293" s="11">
        <f>IF(B1293="","",TRIM(LOWER(C1293)&amp;"|"&amp;LOWER(D1293)))</f>
        <v/>
      </c>
    </row>
    <row r="1294">
      <c r="A1294" s="11">
        <f>IF(B1294="","",TEXT(ROW()-3,"""DC-""0000"))</f>
        <v/>
      </c>
      <c r="B1294" s="5" t="n"/>
      <c r="C1294" s="5" t="n"/>
      <c r="D1294" s="5" t="n"/>
      <c r="E1294" s="5" t="n"/>
      <c r="F1294" s="5" t="n"/>
      <c r="G1294" s="5" t="n"/>
      <c r="H1294" s="8" t="n"/>
      <c r="I1294" s="8" t="n"/>
      <c r="J1294" s="8" t="n"/>
      <c r="K1294" s="11">
        <f>IF(B1294="","",MAX(0,IFERROR(I1294,0)*IFERROR(H1294,0)-IFERROR(J1294,0)))</f>
        <v/>
      </c>
      <c r="L1294" s="8" t="n"/>
      <c r="M1294" s="11">
        <f>IF(B1294="","",MAX(0,K1294-L1294))</f>
        <v/>
      </c>
      <c r="N1294" s="11">
        <f>IF(B1294="","",IF(L1294&gt;=K1294,"Paid",IF(L1294&gt;0,"Partial","Unpaid")))</f>
        <v/>
      </c>
      <c r="O1294" s="5" t="n"/>
      <c r="P1294" s="8" t="n"/>
      <c r="Q1294" s="8" t="n"/>
      <c r="R1294" s="11">
        <f>IF(B1294="","",IFERROR(K1294,0)+IFERROR(P1294,0)-IFERROR(Q1294,0))</f>
        <v/>
      </c>
      <c r="S1294" s="5" t="n"/>
      <c r="T1294" s="5" t="n"/>
      <c r="U1294" s="11">
        <f>IF(B1294="","",TRIM(LOWER(C1294)&amp;"|"&amp;LOWER(D1294)))</f>
        <v/>
      </c>
    </row>
    <row r="1295">
      <c r="A1295" s="11">
        <f>IF(B1295="","",TEXT(ROW()-3,"""DC-""0000"))</f>
        <v/>
      </c>
      <c r="B1295" s="5" t="n"/>
      <c r="C1295" s="5" t="n"/>
      <c r="D1295" s="5" t="n"/>
      <c r="E1295" s="5" t="n"/>
      <c r="F1295" s="5" t="n"/>
      <c r="G1295" s="5" t="n"/>
      <c r="H1295" s="8" t="n"/>
      <c r="I1295" s="8" t="n"/>
      <c r="J1295" s="8" t="n"/>
      <c r="K1295" s="11">
        <f>IF(B1295="","",MAX(0,IFERROR(I1295,0)*IFERROR(H1295,0)-IFERROR(J1295,0)))</f>
        <v/>
      </c>
      <c r="L1295" s="8" t="n"/>
      <c r="M1295" s="11">
        <f>IF(B1295="","",MAX(0,K1295-L1295))</f>
        <v/>
      </c>
      <c r="N1295" s="11">
        <f>IF(B1295="","",IF(L1295&gt;=K1295,"Paid",IF(L1295&gt;0,"Partial","Unpaid")))</f>
        <v/>
      </c>
      <c r="O1295" s="5" t="n"/>
      <c r="P1295" s="8" t="n"/>
      <c r="Q1295" s="8" t="n"/>
      <c r="R1295" s="11">
        <f>IF(B1295="","",IFERROR(K1295,0)+IFERROR(P1295,0)-IFERROR(Q1295,0))</f>
        <v/>
      </c>
      <c r="S1295" s="5" t="n"/>
      <c r="T1295" s="5" t="n"/>
      <c r="U1295" s="11">
        <f>IF(B1295="","",TRIM(LOWER(C1295)&amp;"|"&amp;LOWER(D1295)))</f>
        <v/>
      </c>
    </row>
    <row r="1296">
      <c r="A1296" s="11">
        <f>IF(B1296="","",TEXT(ROW()-3,"""DC-""0000"))</f>
        <v/>
      </c>
      <c r="B1296" s="5" t="n"/>
      <c r="C1296" s="5" t="n"/>
      <c r="D1296" s="5" t="n"/>
      <c r="E1296" s="5" t="n"/>
      <c r="F1296" s="5" t="n"/>
      <c r="G1296" s="5" t="n"/>
      <c r="H1296" s="8" t="n"/>
      <c r="I1296" s="8" t="n"/>
      <c r="J1296" s="8" t="n"/>
      <c r="K1296" s="11">
        <f>IF(B1296="","",MAX(0,IFERROR(I1296,0)*IFERROR(H1296,0)-IFERROR(J1296,0)))</f>
        <v/>
      </c>
      <c r="L1296" s="8" t="n"/>
      <c r="M1296" s="11">
        <f>IF(B1296="","",MAX(0,K1296-L1296))</f>
        <v/>
      </c>
      <c r="N1296" s="11">
        <f>IF(B1296="","",IF(L1296&gt;=K1296,"Paid",IF(L1296&gt;0,"Partial","Unpaid")))</f>
        <v/>
      </c>
      <c r="O1296" s="5" t="n"/>
      <c r="P1296" s="8" t="n"/>
      <c r="Q1296" s="8" t="n"/>
      <c r="R1296" s="11">
        <f>IF(B1296="","",IFERROR(K1296,0)+IFERROR(P1296,0)-IFERROR(Q1296,0))</f>
        <v/>
      </c>
      <c r="S1296" s="5" t="n"/>
      <c r="T1296" s="5" t="n"/>
      <c r="U1296" s="11">
        <f>IF(B1296="","",TRIM(LOWER(C1296)&amp;"|"&amp;LOWER(D1296)))</f>
        <v/>
      </c>
    </row>
    <row r="1297">
      <c r="A1297" s="11">
        <f>IF(B1297="","",TEXT(ROW()-3,"""DC-""0000"))</f>
        <v/>
      </c>
      <c r="B1297" s="5" t="n"/>
      <c r="C1297" s="5" t="n"/>
      <c r="D1297" s="5" t="n"/>
      <c r="E1297" s="5" t="n"/>
      <c r="F1297" s="5" t="n"/>
      <c r="G1297" s="5" t="n"/>
      <c r="H1297" s="8" t="n"/>
      <c r="I1297" s="8" t="n"/>
      <c r="J1297" s="8" t="n"/>
      <c r="K1297" s="11">
        <f>IF(B1297="","",MAX(0,IFERROR(I1297,0)*IFERROR(H1297,0)-IFERROR(J1297,0)))</f>
        <v/>
      </c>
      <c r="L1297" s="8" t="n"/>
      <c r="M1297" s="11">
        <f>IF(B1297="","",MAX(0,K1297-L1297))</f>
        <v/>
      </c>
      <c r="N1297" s="11">
        <f>IF(B1297="","",IF(L1297&gt;=K1297,"Paid",IF(L1297&gt;0,"Partial","Unpaid")))</f>
        <v/>
      </c>
      <c r="O1297" s="5" t="n"/>
      <c r="P1297" s="8" t="n"/>
      <c r="Q1297" s="8" t="n"/>
      <c r="R1297" s="11">
        <f>IF(B1297="","",IFERROR(K1297,0)+IFERROR(P1297,0)-IFERROR(Q1297,0))</f>
        <v/>
      </c>
      <c r="S1297" s="5" t="n"/>
      <c r="T1297" s="5" t="n"/>
      <c r="U1297" s="11">
        <f>IF(B1297="","",TRIM(LOWER(C1297)&amp;"|"&amp;LOWER(D1297)))</f>
        <v/>
      </c>
    </row>
    <row r="1298">
      <c r="A1298" s="11">
        <f>IF(B1298="","",TEXT(ROW()-3,"""DC-""0000"))</f>
        <v/>
      </c>
      <c r="B1298" s="5" t="n"/>
      <c r="C1298" s="5" t="n"/>
      <c r="D1298" s="5" t="n"/>
      <c r="E1298" s="5" t="n"/>
      <c r="F1298" s="5" t="n"/>
      <c r="G1298" s="5" t="n"/>
      <c r="H1298" s="8" t="n"/>
      <c r="I1298" s="8" t="n"/>
      <c r="J1298" s="8" t="n"/>
      <c r="K1298" s="11">
        <f>IF(B1298="","",MAX(0,IFERROR(I1298,0)*IFERROR(H1298,0)-IFERROR(J1298,0)))</f>
        <v/>
      </c>
      <c r="L1298" s="8" t="n"/>
      <c r="M1298" s="11">
        <f>IF(B1298="","",MAX(0,K1298-L1298))</f>
        <v/>
      </c>
      <c r="N1298" s="11">
        <f>IF(B1298="","",IF(L1298&gt;=K1298,"Paid",IF(L1298&gt;0,"Partial","Unpaid")))</f>
        <v/>
      </c>
      <c r="O1298" s="5" t="n"/>
      <c r="P1298" s="8" t="n"/>
      <c r="Q1298" s="8" t="n"/>
      <c r="R1298" s="11">
        <f>IF(B1298="","",IFERROR(K1298,0)+IFERROR(P1298,0)-IFERROR(Q1298,0))</f>
        <v/>
      </c>
      <c r="S1298" s="5" t="n"/>
      <c r="T1298" s="5" t="n"/>
      <c r="U1298" s="11">
        <f>IF(B1298="","",TRIM(LOWER(C1298)&amp;"|"&amp;LOWER(D1298)))</f>
        <v/>
      </c>
    </row>
    <row r="1299">
      <c r="A1299" s="11">
        <f>IF(B1299="","",TEXT(ROW()-3,"""DC-""0000"))</f>
        <v/>
      </c>
      <c r="B1299" s="5" t="n"/>
      <c r="C1299" s="5" t="n"/>
      <c r="D1299" s="5" t="n"/>
      <c r="E1299" s="5" t="n"/>
      <c r="F1299" s="5" t="n"/>
      <c r="G1299" s="5" t="n"/>
      <c r="H1299" s="8" t="n"/>
      <c r="I1299" s="8" t="n"/>
      <c r="J1299" s="8" t="n"/>
      <c r="K1299" s="11">
        <f>IF(B1299="","",MAX(0,IFERROR(I1299,0)*IFERROR(H1299,0)-IFERROR(J1299,0)))</f>
        <v/>
      </c>
      <c r="L1299" s="8" t="n"/>
      <c r="M1299" s="11">
        <f>IF(B1299="","",MAX(0,K1299-L1299))</f>
        <v/>
      </c>
      <c r="N1299" s="11">
        <f>IF(B1299="","",IF(L1299&gt;=K1299,"Paid",IF(L1299&gt;0,"Partial","Unpaid")))</f>
        <v/>
      </c>
      <c r="O1299" s="5" t="n"/>
      <c r="P1299" s="8" t="n"/>
      <c r="Q1299" s="8" t="n"/>
      <c r="R1299" s="11">
        <f>IF(B1299="","",IFERROR(K1299,0)+IFERROR(P1299,0)-IFERROR(Q1299,0))</f>
        <v/>
      </c>
      <c r="S1299" s="5" t="n"/>
      <c r="T1299" s="5" t="n"/>
      <c r="U1299" s="11">
        <f>IF(B1299="","",TRIM(LOWER(C1299)&amp;"|"&amp;LOWER(D1299)))</f>
        <v/>
      </c>
    </row>
    <row r="1300">
      <c r="A1300" s="11">
        <f>IF(B1300="","",TEXT(ROW()-3,"""DC-""0000"))</f>
        <v/>
      </c>
      <c r="B1300" s="5" t="n"/>
      <c r="C1300" s="5" t="n"/>
      <c r="D1300" s="5" t="n"/>
      <c r="E1300" s="5" t="n"/>
      <c r="F1300" s="5" t="n"/>
      <c r="G1300" s="5" t="n"/>
      <c r="H1300" s="8" t="n"/>
      <c r="I1300" s="8" t="n"/>
      <c r="J1300" s="8" t="n"/>
      <c r="K1300" s="11">
        <f>IF(B1300="","",MAX(0,IFERROR(I1300,0)*IFERROR(H1300,0)-IFERROR(J1300,0)))</f>
        <v/>
      </c>
      <c r="L1300" s="8" t="n"/>
      <c r="M1300" s="11">
        <f>IF(B1300="","",MAX(0,K1300-L1300))</f>
        <v/>
      </c>
      <c r="N1300" s="11">
        <f>IF(B1300="","",IF(L1300&gt;=K1300,"Paid",IF(L1300&gt;0,"Partial","Unpaid")))</f>
        <v/>
      </c>
      <c r="O1300" s="5" t="n"/>
      <c r="P1300" s="8" t="n"/>
      <c r="Q1300" s="8" t="n"/>
      <c r="R1300" s="11">
        <f>IF(B1300="","",IFERROR(K1300,0)+IFERROR(P1300,0)-IFERROR(Q1300,0))</f>
        <v/>
      </c>
      <c r="S1300" s="5" t="n"/>
      <c r="T1300" s="5" t="n"/>
      <c r="U1300" s="11">
        <f>IF(B1300="","",TRIM(LOWER(C1300)&amp;"|"&amp;LOWER(D1300)))</f>
        <v/>
      </c>
    </row>
    <row r="1301">
      <c r="A1301" s="11">
        <f>IF(B1301="","",TEXT(ROW()-3,"""DC-""0000"))</f>
        <v/>
      </c>
      <c r="B1301" s="5" t="n"/>
      <c r="C1301" s="5" t="n"/>
      <c r="D1301" s="5" t="n"/>
      <c r="E1301" s="5" t="n"/>
      <c r="F1301" s="5" t="n"/>
      <c r="G1301" s="5" t="n"/>
      <c r="H1301" s="8" t="n"/>
      <c r="I1301" s="8" t="n"/>
      <c r="J1301" s="8" t="n"/>
      <c r="K1301" s="11">
        <f>IF(B1301="","",MAX(0,IFERROR(I1301,0)*IFERROR(H1301,0)-IFERROR(J1301,0)))</f>
        <v/>
      </c>
      <c r="L1301" s="8" t="n"/>
      <c r="M1301" s="11">
        <f>IF(B1301="","",MAX(0,K1301-L1301))</f>
        <v/>
      </c>
      <c r="N1301" s="11">
        <f>IF(B1301="","",IF(L1301&gt;=K1301,"Paid",IF(L1301&gt;0,"Partial","Unpaid")))</f>
        <v/>
      </c>
      <c r="O1301" s="5" t="n"/>
      <c r="P1301" s="8" t="n"/>
      <c r="Q1301" s="8" t="n"/>
      <c r="R1301" s="11">
        <f>IF(B1301="","",IFERROR(K1301,0)+IFERROR(P1301,0)-IFERROR(Q1301,0))</f>
        <v/>
      </c>
      <c r="S1301" s="5" t="n"/>
      <c r="T1301" s="5" t="n"/>
      <c r="U1301" s="11">
        <f>IF(B1301="","",TRIM(LOWER(C1301)&amp;"|"&amp;LOWER(D1301)))</f>
        <v/>
      </c>
    </row>
    <row r="1302">
      <c r="A1302" s="11">
        <f>IF(B1302="","",TEXT(ROW()-3,"""DC-""0000"))</f>
        <v/>
      </c>
      <c r="B1302" s="5" t="n"/>
      <c r="C1302" s="5" t="n"/>
      <c r="D1302" s="5" t="n"/>
      <c r="E1302" s="5" t="n"/>
      <c r="F1302" s="5" t="n"/>
      <c r="G1302" s="5" t="n"/>
      <c r="H1302" s="8" t="n"/>
      <c r="I1302" s="8" t="n"/>
      <c r="J1302" s="8" t="n"/>
      <c r="K1302" s="11">
        <f>IF(B1302="","",MAX(0,IFERROR(I1302,0)*IFERROR(H1302,0)-IFERROR(J1302,0)))</f>
        <v/>
      </c>
      <c r="L1302" s="8" t="n"/>
      <c r="M1302" s="11">
        <f>IF(B1302="","",MAX(0,K1302-L1302))</f>
        <v/>
      </c>
      <c r="N1302" s="11">
        <f>IF(B1302="","",IF(L1302&gt;=K1302,"Paid",IF(L1302&gt;0,"Partial","Unpaid")))</f>
        <v/>
      </c>
      <c r="O1302" s="5" t="n"/>
      <c r="P1302" s="8" t="n"/>
      <c r="Q1302" s="8" t="n"/>
      <c r="R1302" s="11">
        <f>IF(B1302="","",IFERROR(K1302,0)+IFERROR(P1302,0)-IFERROR(Q1302,0))</f>
        <v/>
      </c>
      <c r="S1302" s="5" t="n"/>
      <c r="T1302" s="5" t="n"/>
      <c r="U1302" s="11">
        <f>IF(B1302="","",TRIM(LOWER(C1302)&amp;"|"&amp;LOWER(D1302)))</f>
        <v/>
      </c>
    </row>
    <row r="1303">
      <c r="A1303" s="11">
        <f>IF(B1303="","",TEXT(ROW()-3,"""DC-""0000"))</f>
        <v/>
      </c>
      <c r="B1303" s="5" t="n"/>
      <c r="C1303" s="5" t="n"/>
      <c r="D1303" s="5" t="n"/>
      <c r="E1303" s="5" t="n"/>
      <c r="F1303" s="5" t="n"/>
      <c r="G1303" s="5" t="n"/>
      <c r="H1303" s="8" t="n"/>
      <c r="I1303" s="8" t="n"/>
      <c r="J1303" s="8" t="n"/>
      <c r="K1303" s="11">
        <f>IF(B1303="","",MAX(0,IFERROR(I1303,0)*IFERROR(H1303,0)-IFERROR(J1303,0)))</f>
        <v/>
      </c>
      <c r="L1303" s="8" t="n"/>
      <c r="M1303" s="11">
        <f>IF(B1303="","",MAX(0,K1303-L1303))</f>
        <v/>
      </c>
      <c r="N1303" s="11">
        <f>IF(B1303="","",IF(L1303&gt;=K1303,"Paid",IF(L1303&gt;0,"Partial","Unpaid")))</f>
        <v/>
      </c>
      <c r="O1303" s="5" t="n"/>
      <c r="P1303" s="8" t="n"/>
      <c r="Q1303" s="8" t="n"/>
      <c r="R1303" s="11">
        <f>IF(B1303="","",IFERROR(K1303,0)+IFERROR(P1303,0)-IFERROR(Q1303,0))</f>
        <v/>
      </c>
      <c r="S1303" s="5" t="n"/>
      <c r="T1303" s="5" t="n"/>
      <c r="U1303" s="11">
        <f>IF(B1303="","",TRIM(LOWER(C1303)&amp;"|"&amp;LOWER(D1303)))</f>
        <v/>
      </c>
    </row>
    <row r="1304">
      <c r="A1304" s="11">
        <f>IF(B1304="","",TEXT(ROW()-3,"""DC-""0000"))</f>
        <v/>
      </c>
      <c r="B1304" s="5" t="n"/>
      <c r="C1304" s="5" t="n"/>
      <c r="D1304" s="5" t="n"/>
      <c r="E1304" s="5" t="n"/>
      <c r="F1304" s="5" t="n"/>
      <c r="G1304" s="5" t="n"/>
      <c r="H1304" s="8" t="n"/>
      <c r="I1304" s="8" t="n"/>
      <c r="J1304" s="8" t="n"/>
      <c r="K1304" s="11">
        <f>IF(B1304="","",MAX(0,IFERROR(I1304,0)*IFERROR(H1304,0)-IFERROR(J1304,0)))</f>
        <v/>
      </c>
      <c r="L1304" s="8" t="n"/>
      <c r="M1304" s="11">
        <f>IF(B1304="","",MAX(0,K1304-L1304))</f>
        <v/>
      </c>
      <c r="N1304" s="11">
        <f>IF(B1304="","",IF(L1304&gt;=K1304,"Paid",IF(L1304&gt;0,"Partial","Unpaid")))</f>
        <v/>
      </c>
      <c r="O1304" s="5" t="n"/>
      <c r="P1304" s="8" t="n"/>
      <c r="Q1304" s="8" t="n"/>
      <c r="R1304" s="11">
        <f>IF(B1304="","",IFERROR(K1304,0)+IFERROR(P1304,0)-IFERROR(Q1304,0))</f>
        <v/>
      </c>
      <c r="S1304" s="5" t="n"/>
      <c r="T1304" s="5" t="n"/>
      <c r="U1304" s="11">
        <f>IF(B1304="","",TRIM(LOWER(C1304)&amp;"|"&amp;LOWER(D1304)))</f>
        <v/>
      </c>
    </row>
    <row r="1305">
      <c r="A1305" s="11">
        <f>IF(B1305="","",TEXT(ROW()-3,"""DC-""0000"))</f>
        <v/>
      </c>
      <c r="B1305" s="5" t="n"/>
      <c r="C1305" s="5" t="n"/>
      <c r="D1305" s="5" t="n"/>
      <c r="E1305" s="5" t="n"/>
      <c r="F1305" s="5" t="n"/>
      <c r="G1305" s="5" t="n"/>
      <c r="H1305" s="8" t="n"/>
      <c r="I1305" s="8" t="n"/>
      <c r="J1305" s="8" t="n"/>
      <c r="K1305" s="11">
        <f>IF(B1305="","",MAX(0,IFERROR(I1305,0)*IFERROR(H1305,0)-IFERROR(J1305,0)))</f>
        <v/>
      </c>
      <c r="L1305" s="8" t="n"/>
      <c r="M1305" s="11">
        <f>IF(B1305="","",MAX(0,K1305-L1305))</f>
        <v/>
      </c>
      <c r="N1305" s="11">
        <f>IF(B1305="","",IF(L1305&gt;=K1305,"Paid",IF(L1305&gt;0,"Partial","Unpaid")))</f>
        <v/>
      </c>
      <c r="O1305" s="5" t="n"/>
      <c r="P1305" s="8" t="n"/>
      <c r="Q1305" s="8" t="n"/>
      <c r="R1305" s="11">
        <f>IF(B1305="","",IFERROR(K1305,0)+IFERROR(P1305,0)-IFERROR(Q1305,0))</f>
        <v/>
      </c>
      <c r="S1305" s="5" t="n"/>
      <c r="T1305" s="5" t="n"/>
      <c r="U1305" s="11">
        <f>IF(B1305="","",TRIM(LOWER(C1305)&amp;"|"&amp;LOWER(D1305)))</f>
        <v/>
      </c>
    </row>
    <row r="1306">
      <c r="A1306" s="11">
        <f>IF(B1306="","",TEXT(ROW()-3,"""DC-""0000"))</f>
        <v/>
      </c>
      <c r="B1306" s="5" t="n"/>
      <c r="C1306" s="5" t="n"/>
      <c r="D1306" s="5" t="n"/>
      <c r="E1306" s="5" t="n"/>
      <c r="F1306" s="5" t="n"/>
      <c r="G1306" s="5" t="n"/>
      <c r="H1306" s="8" t="n"/>
      <c r="I1306" s="8" t="n"/>
      <c r="J1306" s="8" t="n"/>
      <c r="K1306" s="11">
        <f>IF(B1306="","",MAX(0,IFERROR(I1306,0)*IFERROR(H1306,0)-IFERROR(J1306,0)))</f>
        <v/>
      </c>
      <c r="L1306" s="8" t="n"/>
      <c r="M1306" s="11">
        <f>IF(B1306="","",MAX(0,K1306-L1306))</f>
        <v/>
      </c>
      <c r="N1306" s="11">
        <f>IF(B1306="","",IF(L1306&gt;=K1306,"Paid",IF(L1306&gt;0,"Partial","Unpaid")))</f>
        <v/>
      </c>
      <c r="O1306" s="5" t="n"/>
      <c r="P1306" s="8" t="n"/>
      <c r="Q1306" s="8" t="n"/>
      <c r="R1306" s="11">
        <f>IF(B1306="","",IFERROR(K1306,0)+IFERROR(P1306,0)-IFERROR(Q1306,0))</f>
        <v/>
      </c>
      <c r="S1306" s="5" t="n"/>
      <c r="T1306" s="5" t="n"/>
      <c r="U1306" s="11">
        <f>IF(B1306="","",TRIM(LOWER(C1306)&amp;"|"&amp;LOWER(D1306)))</f>
        <v/>
      </c>
    </row>
    <row r="1307">
      <c r="A1307" s="11">
        <f>IF(B1307="","",TEXT(ROW()-3,"""DC-""0000"))</f>
        <v/>
      </c>
      <c r="B1307" s="5" t="n"/>
      <c r="C1307" s="5" t="n"/>
      <c r="D1307" s="5" t="n"/>
      <c r="E1307" s="5" t="n"/>
      <c r="F1307" s="5" t="n"/>
      <c r="G1307" s="5" t="n"/>
      <c r="H1307" s="8" t="n"/>
      <c r="I1307" s="8" t="n"/>
      <c r="J1307" s="8" t="n"/>
      <c r="K1307" s="11">
        <f>IF(B1307="","",MAX(0,IFERROR(I1307,0)*IFERROR(H1307,0)-IFERROR(J1307,0)))</f>
        <v/>
      </c>
      <c r="L1307" s="8" t="n"/>
      <c r="M1307" s="11">
        <f>IF(B1307="","",MAX(0,K1307-L1307))</f>
        <v/>
      </c>
      <c r="N1307" s="11">
        <f>IF(B1307="","",IF(L1307&gt;=K1307,"Paid",IF(L1307&gt;0,"Partial","Unpaid")))</f>
        <v/>
      </c>
      <c r="O1307" s="5" t="n"/>
      <c r="P1307" s="8" t="n"/>
      <c r="Q1307" s="8" t="n"/>
      <c r="R1307" s="11">
        <f>IF(B1307="","",IFERROR(K1307,0)+IFERROR(P1307,0)-IFERROR(Q1307,0))</f>
        <v/>
      </c>
      <c r="S1307" s="5" t="n"/>
      <c r="T1307" s="5" t="n"/>
      <c r="U1307" s="11">
        <f>IF(B1307="","",TRIM(LOWER(C1307)&amp;"|"&amp;LOWER(D1307)))</f>
        <v/>
      </c>
    </row>
    <row r="1308">
      <c r="A1308" s="11">
        <f>IF(B1308="","",TEXT(ROW()-3,"""DC-""0000"))</f>
        <v/>
      </c>
      <c r="B1308" s="5" t="n"/>
      <c r="C1308" s="5" t="n"/>
      <c r="D1308" s="5" t="n"/>
      <c r="E1308" s="5" t="n"/>
      <c r="F1308" s="5" t="n"/>
      <c r="G1308" s="5" t="n"/>
      <c r="H1308" s="8" t="n"/>
      <c r="I1308" s="8" t="n"/>
      <c r="J1308" s="8" t="n"/>
      <c r="K1308" s="11">
        <f>IF(B1308="","",MAX(0,IFERROR(I1308,0)*IFERROR(H1308,0)-IFERROR(J1308,0)))</f>
        <v/>
      </c>
      <c r="L1308" s="8" t="n"/>
      <c r="M1308" s="11">
        <f>IF(B1308="","",MAX(0,K1308-L1308))</f>
        <v/>
      </c>
      <c r="N1308" s="11">
        <f>IF(B1308="","",IF(L1308&gt;=K1308,"Paid",IF(L1308&gt;0,"Partial","Unpaid")))</f>
        <v/>
      </c>
      <c r="O1308" s="5" t="n"/>
      <c r="P1308" s="8" t="n"/>
      <c r="Q1308" s="8" t="n"/>
      <c r="R1308" s="11">
        <f>IF(B1308="","",IFERROR(K1308,0)+IFERROR(P1308,0)-IFERROR(Q1308,0))</f>
        <v/>
      </c>
      <c r="S1308" s="5" t="n"/>
      <c r="T1308" s="5" t="n"/>
      <c r="U1308" s="11">
        <f>IF(B1308="","",TRIM(LOWER(C1308)&amp;"|"&amp;LOWER(D1308)))</f>
        <v/>
      </c>
    </row>
    <row r="1309">
      <c r="A1309" s="11">
        <f>IF(B1309="","",TEXT(ROW()-3,"""DC-""0000"))</f>
        <v/>
      </c>
      <c r="B1309" s="5" t="n"/>
      <c r="C1309" s="5" t="n"/>
      <c r="D1309" s="5" t="n"/>
      <c r="E1309" s="5" t="n"/>
      <c r="F1309" s="5" t="n"/>
      <c r="G1309" s="5" t="n"/>
      <c r="H1309" s="8" t="n"/>
      <c r="I1309" s="8" t="n"/>
      <c r="J1309" s="8" t="n"/>
      <c r="K1309" s="11">
        <f>IF(B1309="","",MAX(0,IFERROR(I1309,0)*IFERROR(H1309,0)-IFERROR(J1309,0)))</f>
        <v/>
      </c>
      <c r="L1309" s="8" t="n"/>
      <c r="M1309" s="11">
        <f>IF(B1309="","",MAX(0,K1309-L1309))</f>
        <v/>
      </c>
      <c r="N1309" s="11">
        <f>IF(B1309="","",IF(L1309&gt;=K1309,"Paid",IF(L1309&gt;0,"Partial","Unpaid")))</f>
        <v/>
      </c>
      <c r="O1309" s="5" t="n"/>
      <c r="P1309" s="8" t="n"/>
      <c r="Q1309" s="8" t="n"/>
      <c r="R1309" s="11">
        <f>IF(B1309="","",IFERROR(K1309,0)+IFERROR(P1309,0)-IFERROR(Q1309,0))</f>
        <v/>
      </c>
      <c r="S1309" s="5" t="n"/>
      <c r="T1309" s="5" t="n"/>
      <c r="U1309" s="11">
        <f>IF(B1309="","",TRIM(LOWER(C1309)&amp;"|"&amp;LOWER(D1309)))</f>
        <v/>
      </c>
    </row>
    <row r="1310">
      <c r="A1310" s="11">
        <f>IF(B1310="","",TEXT(ROW()-3,"""DC-""0000"))</f>
        <v/>
      </c>
      <c r="B1310" s="5" t="n"/>
      <c r="C1310" s="5" t="n"/>
      <c r="D1310" s="5" t="n"/>
      <c r="E1310" s="5" t="n"/>
      <c r="F1310" s="5" t="n"/>
      <c r="G1310" s="5" t="n"/>
      <c r="H1310" s="8" t="n"/>
      <c r="I1310" s="8" t="n"/>
      <c r="J1310" s="8" t="n"/>
      <c r="K1310" s="11">
        <f>IF(B1310="","",MAX(0,IFERROR(I1310,0)*IFERROR(H1310,0)-IFERROR(J1310,0)))</f>
        <v/>
      </c>
      <c r="L1310" s="8" t="n"/>
      <c r="M1310" s="11">
        <f>IF(B1310="","",MAX(0,K1310-L1310))</f>
        <v/>
      </c>
      <c r="N1310" s="11">
        <f>IF(B1310="","",IF(L1310&gt;=K1310,"Paid",IF(L1310&gt;0,"Partial","Unpaid")))</f>
        <v/>
      </c>
      <c r="O1310" s="5" t="n"/>
      <c r="P1310" s="8" t="n"/>
      <c r="Q1310" s="8" t="n"/>
      <c r="R1310" s="11">
        <f>IF(B1310="","",IFERROR(K1310,0)+IFERROR(P1310,0)-IFERROR(Q1310,0))</f>
        <v/>
      </c>
      <c r="S1310" s="5" t="n"/>
      <c r="T1310" s="5" t="n"/>
      <c r="U1310" s="11">
        <f>IF(B1310="","",TRIM(LOWER(C1310)&amp;"|"&amp;LOWER(D1310)))</f>
        <v/>
      </c>
    </row>
    <row r="1311">
      <c r="A1311" s="11">
        <f>IF(B1311="","",TEXT(ROW()-3,"""DC-""0000"))</f>
        <v/>
      </c>
      <c r="B1311" s="5" t="n"/>
      <c r="C1311" s="5" t="n"/>
      <c r="D1311" s="5" t="n"/>
      <c r="E1311" s="5" t="n"/>
      <c r="F1311" s="5" t="n"/>
      <c r="G1311" s="5" t="n"/>
      <c r="H1311" s="8" t="n"/>
      <c r="I1311" s="8" t="n"/>
      <c r="J1311" s="8" t="n"/>
      <c r="K1311" s="11">
        <f>IF(B1311="","",MAX(0,IFERROR(I1311,0)*IFERROR(H1311,0)-IFERROR(J1311,0)))</f>
        <v/>
      </c>
      <c r="L1311" s="8" t="n"/>
      <c r="M1311" s="11">
        <f>IF(B1311="","",MAX(0,K1311-L1311))</f>
        <v/>
      </c>
      <c r="N1311" s="11">
        <f>IF(B1311="","",IF(L1311&gt;=K1311,"Paid",IF(L1311&gt;0,"Partial","Unpaid")))</f>
        <v/>
      </c>
      <c r="O1311" s="5" t="n"/>
      <c r="P1311" s="8" t="n"/>
      <c r="Q1311" s="8" t="n"/>
      <c r="R1311" s="11">
        <f>IF(B1311="","",IFERROR(K1311,0)+IFERROR(P1311,0)-IFERROR(Q1311,0))</f>
        <v/>
      </c>
      <c r="S1311" s="5" t="n"/>
      <c r="T1311" s="5" t="n"/>
      <c r="U1311" s="11">
        <f>IF(B1311="","",TRIM(LOWER(C1311)&amp;"|"&amp;LOWER(D1311)))</f>
        <v/>
      </c>
    </row>
    <row r="1312">
      <c r="A1312" s="11">
        <f>IF(B1312="","",TEXT(ROW()-3,"""DC-""0000"))</f>
        <v/>
      </c>
      <c r="B1312" s="5" t="n"/>
      <c r="C1312" s="5" t="n"/>
      <c r="D1312" s="5" t="n"/>
      <c r="E1312" s="5" t="n"/>
      <c r="F1312" s="5" t="n"/>
      <c r="G1312" s="5" t="n"/>
      <c r="H1312" s="8" t="n"/>
      <c r="I1312" s="8" t="n"/>
      <c r="J1312" s="8" t="n"/>
      <c r="K1312" s="11">
        <f>IF(B1312="","",MAX(0,IFERROR(I1312,0)*IFERROR(H1312,0)-IFERROR(J1312,0)))</f>
        <v/>
      </c>
      <c r="L1312" s="8" t="n"/>
      <c r="M1312" s="11">
        <f>IF(B1312="","",MAX(0,K1312-L1312))</f>
        <v/>
      </c>
      <c r="N1312" s="11">
        <f>IF(B1312="","",IF(L1312&gt;=K1312,"Paid",IF(L1312&gt;0,"Partial","Unpaid")))</f>
        <v/>
      </c>
      <c r="O1312" s="5" t="n"/>
      <c r="P1312" s="8" t="n"/>
      <c r="Q1312" s="8" t="n"/>
      <c r="R1312" s="11">
        <f>IF(B1312="","",IFERROR(K1312,0)+IFERROR(P1312,0)-IFERROR(Q1312,0))</f>
        <v/>
      </c>
      <c r="S1312" s="5" t="n"/>
      <c r="T1312" s="5" t="n"/>
      <c r="U1312" s="11">
        <f>IF(B1312="","",TRIM(LOWER(C1312)&amp;"|"&amp;LOWER(D1312)))</f>
        <v/>
      </c>
    </row>
    <row r="1313">
      <c r="A1313" s="11">
        <f>IF(B1313="","",TEXT(ROW()-3,"""DC-""0000"))</f>
        <v/>
      </c>
      <c r="B1313" s="5" t="n"/>
      <c r="C1313" s="5" t="n"/>
      <c r="D1313" s="5" t="n"/>
      <c r="E1313" s="5" t="n"/>
      <c r="F1313" s="5" t="n"/>
      <c r="G1313" s="5" t="n"/>
      <c r="H1313" s="8" t="n"/>
      <c r="I1313" s="8" t="n"/>
      <c r="J1313" s="8" t="n"/>
      <c r="K1313" s="11">
        <f>IF(B1313="","",MAX(0,IFERROR(I1313,0)*IFERROR(H1313,0)-IFERROR(J1313,0)))</f>
        <v/>
      </c>
      <c r="L1313" s="8" t="n"/>
      <c r="M1313" s="11">
        <f>IF(B1313="","",MAX(0,K1313-L1313))</f>
        <v/>
      </c>
      <c r="N1313" s="11">
        <f>IF(B1313="","",IF(L1313&gt;=K1313,"Paid",IF(L1313&gt;0,"Partial","Unpaid")))</f>
        <v/>
      </c>
      <c r="O1313" s="5" t="n"/>
      <c r="P1313" s="8" t="n"/>
      <c r="Q1313" s="8" t="n"/>
      <c r="R1313" s="11">
        <f>IF(B1313="","",IFERROR(K1313,0)+IFERROR(P1313,0)-IFERROR(Q1313,0))</f>
        <v/>
      </c>
      <c r="S1313" s="5" t="n"/>
      <c r="T1313" s="5" t="n"/>
      <c r="U1313" s="11">
        <f>IF(B1313="","",TRIM(LOWER(C1313)&amp;"|"&amp;LOWER(D1313)))</f>
        <v/>
      </c>
    </row>
    <row r="1314">
      <c r="A1314" s="11">
        <f>IF(B1314="","",TEXT(ROW()-3,"""DC-""0000"))</f>
        <v/>
      </c>
      <c r="B1314" s="5" t="n"/>
      <c r="C1314" s="5" t="n"/>
      <c r="D1314" s="5" t="n"/>
      <c r="E1314" s="5" t="n"/>
      <c r="F1314" s="5" t="n"/>
      <c r="G1314" s="5" t="n"/>
      <c r="H1314" s="8" t="n"/>
      <c r="I1314" s="8" t="n"/>
      <c r="J1314" s="8" t="n"/>
      <c r="K1314" s="11">
        <f>IF(B1314="","",MAX(0,IFERROR(I1314,0)*IFERROR(H1314,0)-IFERROR(J1314,0)))</f>
        <v/>
      </c>
      <c r="L1314" s="8" t="n"/>
      <c r="M1314" s="11">
        <f>IF(B1314="","",MAX(0,K1314-L1314))</f>
        <v/>
      </c>
      <c r="N1314" s="11">
        <f>IF(B1314="","",IF(L1314&gt;=K1314,"Paid",IF(L1314&gt;0,"Partial","Unpaid")))</f>
        <v/>
      </c>
      <c r="O1314" s="5" t="n"/>
      <c r="P1314" s="8" t="n"/>
      <c r="Q1314" s="8" t="n"/>
      <c r="R1314" s="11">
        <f>IF(B1314="","",IFERROR(K1314,0)+IFERROR(P1314,0)-IFERROR(Q1314,0))</f>
        <v/>
      </c>
      <c r="S1314" s="5" t="n"/>
      <c r="T1314" s="5" t="n"/>
      <c r="U1314" s="11">
        <f>IF(B1314="","",TRIM(LOWER(C1314)&amp;"|"&amp;LOWER(D1314)))</f>
        <v/>
      </c>
    </row>
    <row r="1315">
      <c r="A1315" s="11">
        <f>IF(B1315="","",TEXT(ROW()-3,"""DC-""0000"))</f>
        <v/>
      </c>
      <c r="B1315" s="5" t="n"/>
      <c r="C1315" s="5" t="n"/>
      <c r="D1315" s="5" t="n"/>
      <c r="E1315" s="5" t="n"/>
      <c r="F1315" s="5" t="n"/>
      <c r="G1315" s="5" t="n"/>
      <c r="H1315" s="8" t="n"/>
      <c r="I1315" s="8" t="n"/>
      <c r="J1315" s="8" t="n"/>
      <c r="K1315" s="11">
        <f>IF(B1315="","",MAX(0,IFERROR(I1315,0)*IFERROR(H1315,0)-IFERROR(J1315,0)))</f>
        <v/>
      </c>
      <c r="L1315" s="8" t="n"/>
      <c r="M1315" s="11">
        <f>IF(B1315="","",MAX(0,K1315-L1315))</f>
        <v/>
      </c>
      <c r="N1315" s="11">
        <f>IF(B1315="","",IF(L1315&gt;=K1315,"Paid",IF(L1315&gt;0,"Partial","Unpaid")))</f>
        <v/>
      </c>
      <c r="O1315" s="5" t="n"/>
      <c r="P1315" s="8" t="n"/>
      <c r="Q1315" s="8" t="n"/>
      <c r="R1315" s="11">
        <f>IF(B1315="","",IFERROR(K1315,0)+IFERROR(P1315,0)-IFERROR(Q1315,0))</f>
        <v/>
      </c>
      <c r="S1315" s="5" t="n"/>
      <c r="T1315" s="5" t="n"/>
      <c r="U1315" s="11">
        <f>IF(B1315="","",TRIM(LOWER(C1315)&amp;"|"&amp;LOWER(D1315)))</f>
        <v/>
      </c>
    </row>
    <row r="1316">
      <c r="A1316" s="11">
        <f>IF(B1316="","",TEXT(ROW()-3,"""DC-""0000"))</f>
        <v/>
      </c>
      <c r="B1316" s="5" t="n"/>
      <c r="C1316" s="5" t="n"/>
      <c r="D1316" s="5" t="n"/>
      <c r="E1316" s="5" t="n"/>
      <c r="F1316" s="5" t="n"/>
      <c r="G1316" s="5" t="n"/>
      <c r="H1316" s="8" t="n"/>
      <c r="I1316" s="8" t="n"/>
      <c r="J1316" s="8" t="n"/>
      <c r="K1316" s="11">
        <f>IF(B1316="","",MAX(0,IFERROR(I1316,0)*IFERROR(H1316,0)-IFERROR(J1316,0)))</f>
        <v/>
      </c>
      <c r="L1316" s="8" t="n"/>
      <c r="M1316" s="11">
        <f>IF(B1316="","",MAX(0,K1316-L1316))</f>
        <v/>
      </c>
      <c r="N1316" s="11">
        <f>IF(B1316="","",IF(L1316&gt;=K1316,"Paid",IF(L1316&gt;0,"Partial","Unpaid")))</f>
        <v/>
      </c>
      <c r="O1316" s="5" t="n"/>
      <c r="P1316" s="8" t="n"/>
      <c r="Q1316" s="8" t="n"/>
      <c r="R1316" s="11">
        <f>IF(B1316="","",IFERROR(K1316,0)+IFERROR(P1316,0)-IFERROR(Q1316,0))</f>
        <v/>
      </c>
      <c r="S1316" s="5" t="n"/>
      <c r="T1316" s="5" t="n"/>
      <c r="U1316" s="11">
        <f>IF(B1316="","",TRIM(LOWER(C1316)&amp;"|"&amp;LOWER(D1316)))</f>
        <v/>
      </c>
    </row>
    <row r="1317">
      <c r="A1317" s="11">
        <f>IF(B1317="","",TEXT(ROW()-3,"""DC-""0000"))</f>
        <v/>
      </c>
      <c r="B1317" s="5" t="n"/>
      <c r="C1317" s="5" t="n"/>
      <c r="D1317" s="5" t="n"/>
      <c r="E1317" s="5" t="n"/>
      <c r="F1317" s="5" t="n"/>
      <c r="G1317" s="5" t="n"/>
      <c r="H1317" s="8" t="n"/>
      <c r="I1317" s="8" t="n"/>
      <c r="J1317" s="8" t="n"/>
      <c r="K1317" s="11">
        <f>IF(B1317="","",MAX(0,IFERROR(I1317,0)*IFERROR(H1317,0)-IFERROR(J1317,0)))</f>
        <v/>
      </c>
      <c r="L1317" s="8" t="n"/>
      <c r="M1317" s="11">
        <f>IF(B1317="","",MAX(0,K1317-L1317))</f>
        <v/>
      </c>
      <c r="N1317" s="11">
        <f>IF(B1317="","",IF(L1317&gt;=K1317,"Paid",IF(L1317&gt;0,"Partial","Unpaid")))</f>
        <v/>
      </c>
      <c r="O1317" s="5" t="n"/>
      <c r="P1317" s="8" t="n"/>
      <c r="Q1317" s="8" t="n"/>
      <c r="R1317" s="11">
        <f>IF(B1317="","",IFERROR(K1317,0)+IFERROR(P1317,0)-IFERROR(Q1317,0))</f>
        <v/>
      </c>
      <c r="S1317" s="5" t="n"/>
      <c r="T1317" s="5" t="n"/>
      <c r="U1317" s="11">
        <f>IF(B1317="","",TRIM(LOWER(C1317)&amp;"|"&amp;LOWER(D1317)))</f>
        <v/>
      </c>
    </row>
    <row r="1318">
      <c r="A1318" s="11">
        <f>IF(B1318="","",TEXT(ROW()-3,"""DC-""0000"))</f>
        <v/>
      </c>
      <c r="B1318" s="5" t="n"/>
      <c r="C1318" s="5" t="n"/>
      <c r="D1318" s="5" t="n"/>
      <c r="E1318" s="5" t="n"/>
      <c r="F1318" s="5" t="n"/>
      <c r="G1318" s="5" t="n"/>
      <c r="H1318" s="8" t="n"/>
      <c r="I1318" s="8" t="n"/>
      <c r="J1318" s="8" t="n"/>
      <c r="K1318" s="11">
        <f>IF(B1318="","",MAX(0,IFERROR(I1318,0)*IFERROR(H1318,0)-IFERROR(J1318,0)))</f>
        <v/>
      </c>
      <c r="L1318" s="8" t="n"/>
      <c r="M1318" s="11">
        <f>IF(B1318="","",MAX(0,K1318-L1318))</f>
        <v/>
      </c>
      <c r="N1318" s="11">
        <f>IF(B1318="","",IF(L1318&gt;=K1318,"Paid",IF(L1318&gt;0,"Partial","Unpaid")))</f>
        <v/>
      </c>
      <c r="O1318" s="5" t="n"/>
      <c r="P1318" s="8" t="n"/>
      <c r="Q1318" s="8" t="n"/>
      <c r="R1318" s="11">
        <f>IF(B1318="","",IFERROR(K1318,0)+IFERROR(P1318,0)-IFERROR(Q1318,0))</f>
        <v/>
      </c>
      <c r="S1318" s="5" t="n"/>
      <c r="T1318" s="5" t="n"/>
      <c r="U1318" s="11">
        <f>IF(B1318="","",TRIM(LOWER(C1318)&amp;"|"&amp;LOWER(D1318)))</f>
        <v/>
      </c>
    </row>
    <row r="1319">
      <c r="A1319" s="11">
        <f>IF(B1319="","",TEXT(ROW()-3,"""DC-""0000"))</f>
        <v/>
      </c>
      <c r="B1319" s="5" t="n"/>
      <c r="C1319" s="5" t="n"/>
      <c r="D1319" s="5" t="n"/>
      <c r="E1319" s="5" t="n"/>
      <c r="F1319" s="5" t="n"/>
      <c r="G1319" s="5" t="n"/>
      <c r="H1319" s="8" t="n"/>
      <c r="I1319" s="8" t="n"/>
      <c r="J1319" s="8" t="n"/>
      <c r="K1319" s="11">
        <f>IF(B1319="","",MAX(0,IFERROR(I1319,0)*IFERROR(H1319,0)-IFERROR(J1319,0)))</f>
        <v/>
      </c>
      <c r="L1319" s="8" t="n"/>
      <c r="M1319" s="11">
        <f>IF(B1319="","",MAX(0,K1319-L1319))</f>
        <v/>
      </c>
      <c r="N1319" s="11">
        <f>IF(B1319="","",IF(L1319&gt;=K1319,"Paid",IF(L1319&gt;0,"Partial","Unpaid")))</f>
        <v/>
      </c>
      <c r="O1319" s="5" t="n"/>
      <c r="P1319" s="8" t="n"/>
      <c r="Q1319" s="8" t="n"/>
      <c r="R1319" s="11">
        <f>IF(B1319="","",IFERROR(K1319,0)+IFERROR(P1319,0)-IFERROR(Q1319,0))</f>
        <v/>
      </c>
      <c r="S1319" s="5" t="n"/>
      <c r="T1319" s="5" t="n"/>
      <c r="U1319" s="11">
        <f>IF(B1319="","",TRIM(LOWER(C1319)&amp;"|"&amp;LOWER(D1319)))</f>
        <v/>
      </c>
    </row>
    <row r="1320">
      <c r="A1320" s="11">
        <f>IF(B1320="","",TEXT(ROW()-3,"""DC-""0000"))</f>
        <v/>
      </c>
      <c r="B1320" s="5" t="n"/>
      <c r="C1320" s="5" t="n"/>
      <c r="D1320" s="5" t="n"/>
      <c r="E1320" s="5" t="n"/>
      <c r="F1320" s="5" t="n"/>
      <c r="G1320" s="5" t="n"/>
      <c r="H1320" s="8" t="n"/>
      <c r="I1320" s="8" t="n"/>
      <c r="J1320" s="8" t="n"/>
      <c r="K1320" s="11">
        <f>IF(B1320="","",MAX(0,IFERROR(I1320,0)*IFERROR(H1320,0)-IFERROR(J1320,0)))</f>
        <v/>
      </c>
      <c r="L1320" s="8" t="n"/>
      <c r="M1320" s="11">
        <f>IF(B1320="","",MAX(0,K1320-L1320))</f>
        <v/>
      </c>
      <c r="N1320" s="11">
        <f>IF(B1320="","",IF(L1320&gt;=K1320,"Paid",IF(L1320&gt;0,"Partial","Unpaid")))</f>
        <v/>
      </c>
      <c r="O1320" s="5" t="n"/>
      <c r="P1320" s="8" t="n"/>
      <c r="Q1320" s="8" t="n"/>
      <c r="R1320" s="11">
        <f>IF(B1320="","",IFERROR(K1320,0)+IFERROR(P1320,0)-IFERROR(Q1320,0))</f>
        <v/>
      </c>
      <c r="S1320" s="5" t="n"/>
      <c r="T1320" s="5" t="n"/>
      <c r="U1320" s="11">
        <f>IF(B1320="","",TRIM(LOWER(C1320)&amp;"|"&amp;LOWER(D1320)))</f>
        <v/>
      </c>
    </row>
    <row r="1321">
      <c r="A1321" s="11">
        <f>IF(B1321="","",TEXT(ROW()-3,"""DC-""0000"))</f>
        <v/>
      </c>
      <c r="B1321" s="5" t="n"/>
      <c r="C1321" s="5" t="n"/>
      <c r="D1321" s="5" t="n"/>
      <c r="E1321" s="5" t="n"/>
      <c r="F1321" s="5" t="n"/>
      <c r="G1321" s="5" t="n"/>
      <c r="H1321" s="8" t="n"/>
      <c r="I1321" s="8" t="n"/>
      <c r="J1321" s="8" t="n"/>
      <c r="K1321" s="11">
        <f>IF(B1321="","",MAX(0,IFERROR(I1321,0)*IFERROR(H1321,0)-IFERROR(J1321,0)))</f>
        <v/>
      </c>
      <c r="L1321" s="8" t="n"/>
      <c r="M1321" s="11">
        <f>IF(B1321="","",MAX(0,K1321-L1321))</f>
        <v/>
      </c>
      <c r="N1321" s="11">
        <f>IF(B1321="","",IF(L1321&gt;=K1321,"Paid",IF(L1321&gt;0,"Partial","Unpaid")))</f>
        <v/>
      </c>
      <c r="O1321" s="5" t="n"/>
      <c r="P1321" s="8" t="n"/>
      <c r="Q1321" s="8" t="n"/>
      <c r="R1321" s="11">
        <f>IF(B1321="","",IFERROR(K1321,0)+IFERROR(P1321,0)-IFERROR(Q1321,0))</f>
        <v/>
      </c>
      <c r="S1321" s="5" t="n"/>
      <c r="T1321" s="5" t="n"/>
      <c r="U1321" s="11">
        <f>IF(B1321="","",TRIM(LOWER(C1321)&amp;"|"&amp;LOWER(D1321)))</f>
        <v/>
      </c>
    </row>
    <row r="1322">
      <c r="A1322" s="11">
        <f>IF(B1322="","",TEXT(ROW()-3,"""DC-""0000"))</f>
        <v/>
      </c>
      <c r="B1322" s="5" t="n"/>
      <c r="C1322" s="5" t="n"/>
      <c r="D1322" s="5" t="n"/>
      <c r="E1322" s="5" t="n"/>
      <c r="F1322" s="5" t="n"/>
      <c r="G1322" s="5" t="n"/>
      <c r="H1322" s="8" t="n"/>
      <c r="I1322" s="8" t="n"/>
      <c r="J1322" s="8" t="n"/>
      <c r="K1322" s="11">
        <f>IF(B1322="","",MAX(0,IFERROR(I1322,0)*IFERROR(H1322,0)-IFERROR(J1322,0)))</f>
        <v/>
      </c>
      <c r="L1322" s="8" t="n"/>
      <c r="M1322" s="11">
        <f>IF(B1322="","",MAX(0,K1322-L1322))</f>
        <v/>
      </c>
      <c r="N1322" s="11">
        <f>IF(B1322="","",IF(L1322&gt;=K1322,"Paid",IF(L1322&gt;0,"Partial","Unpaid")))</f>
        <v/>
      </c>
      <c r="O1322" s="5" t="n"/>
      <c r="P1322" s="8" t="n"/>
      <c r="Q1322" s="8" t="n"/>
      <c r="R1322" s="11">
        <f>IF(B1322="","",IFERROR(K1322,0)+IFERROR(P1322,0)-IFERROR(Q1322,0))</f>
        <v/>
      </c>
      <c r="S1322" s="5" t="n"/>
      <c r="T1322" s="5" t="n"/>
      <c r="U1322" s="11">
        <f>IF(B1322="","",TRIM(LOWER(C1322)&amp;"|"&amp;LOWER(D1322)))</f>
        <v/>
      </c>
    </row>
    <row r="1323">
      <c r="A1323" s="11">
        <f>IF(B1323="","",TEXT(ROW()-3,"""DC-""0000"))</f>
        <v/>
      </c>
      <c r="B1323" s="5" t="n"/>
      <c r="C1323" s="5" t="n"/>
      <c r="D1323" s="5" t="n"/>
      <c r="E1323" s="5" t="n"/>
      <c r="F1323" s="5" t="n"/>
      <c r="G1323" s="5" t="n"/>
      <c r="H1323" s="8" t="n"/>
      <c r="I1323" s="8" t="n"/>
      <c r="J1323" s="8" t="n"/>
      <c r="K1323" s="11">
        <f>IF(B1323="","",MAX(0,IFERROR(I1323,0)*IFERROR(H1323,0)-IFERROR(J1323,0)))</f>
        <v/>
      </c>
      <c r="L1323" s="8" t="n"/>
      <c r="M1323" s="11">
        <f>IF(B1323="","",MAX(0,K1323-L1323))</f>
        <v/>
      </c>
      <c r="N1323" s="11">
        <f>IF(B1323="","",IF(L1323&gt;=K1323,"Paid",IF(L1323&gt;0,"Partial","Unpaid")))</f>
        <v/>
      </c>
      <c r="O1323" s="5" t="n"/>
      <c r="P1323" s="8" t="n"/>
      <c r="Q1323" s="8" t="n"/>
      <c r="R1323" s="11">
        <f>IF(B1323="","",IFERROR(K1323,0)+IFERROR(P1323,0)-IFERROR(Q1323,0))</f>
        <v/>
      </c>
      <c r="S1323" s="5" t="n"/>
      <c r="T1323" s="5" t="n"/>
      <c r="U1323" s="11">
        <f>IF(B1323="","",TRIM(LOWER(C1323)&amp;"|"&amp;LOWER(D1323)))</f>
        <v/>
      </c>
    </row>
    <row r="1324">
      <c r="A1324" s="11">
        <f>IF(B1324="","",TEXT(ROW()-3,"""DC-""0000"))</f>
        <v/>
      </c>
      <c r="B1324" s="5" t="n"/>
      <c r="C1324" s="5" t="n"/>
      <c r="D1324" s="5" t="n"/>
      <c r="E1324" s="5" t="n"/>
      <c r="F1324" s="5" t="n"/>
      <c r="G1324" s="5" t="n"/>
      <c r="H1324" s="8" t="n"/>
      <c r="I1324" s="8" t="n"/>
      <c r="J1324" s="8" t="n"/>
      <c r="K1324" s="11">
        <f>IF(B1324="","",MAX(0,IFERROR(I1324,0)*IFERROR(H1324,0)-IFERROR(J1324,0)))</f>
        <v/>
      </c>
      <c r="L1324" s="8" t="n"/>
      <c r="M1324" s="11">
        <f>IF(B1324="","",MAX(0,K1324-L1324))</f>
        <v/>
      </c>
      <c r="N1324" s="11">
        <f>IF(B1324="","",IF(L1324&gt;=K1324,"Paid",IF(L1324&gt;0,"Partial","Unpaid")))</f>
        <v/>
      </c>
      <c r="O1324" s="5" t="n"/>
      <c r="P1324" s="8" t="n"/>
      <c r="Q1324" s="8" t="n"/>
      <c r="R1324" s="11">
        <f>IF(B1324="","",IFERROR(K1324,0)+IFERROR(P1324,0)-IFERROR(Q1324,0))</f>
        <v/>
      </c>
      <c r="S1324" s="5" t="n"/>
      <c r="T1324" s="5" t="n"/>
      <c r="U1324" s="11">
        <f>IF(B1324="","",TRIM(LOWER(C1324)&amp;"|"&amp;LOWER(D1324)))</f>
        <v/>
      </c>
    </row>
    <row r="1325">
      <c r="A1325" s="11">
        <f>IF(B1325="","",TEXT(ROW()-3,"""DC-""0000"))</f>
        <v/>
      </c>
      <c r="B1325" s="5" t="n"/>
      <c r="C1325" s="5" t="n"/>
      <c r="D1325" s="5" t="n"/>
      <c r="E1325" s="5" t="n"/>
      <c r="F1325" s="5" t="n"/>
      <c r="G1325" s="5" t="n"/>
      <c r="H1325" s="8" t="n"/>
      <c r="I1325" s="8" t="n"/>
      <c r="J1325" s="8" t="n"/>
      <c r="K1325" s="11">
        <f>IF(B1325="","",MAX(0,IFERROR(I1325,0)*IFERROR(H1325,0)-IFERROR(J1325,0)))</f>
        <v/>
      </c>
      <c r="L1325" s="8" t="n"/>
      <c r="M1325" s="11">
        <f>IF(B1325="","",MAX(0,K1325-L1325))</f>
        <v/>
      </c>
      <c r="N1325" s="11">
        <f>IF(B1325="","",IF(L1325&gt;=K1325,"Paid",IF(L1325&gt;0,"Partial","Unpaid")))</f>
        <v/>
      </c>
      <c r="O1325" s="5" t="n"/>
      <c r="P1325" s="8" t="n"/>
      <c r="Q1325" s="8" t="n"/>
      <c r="R1325" s="11">
        <f>IF(B1325="","",IFERROR(K1325,0)+IFERROR(P1325,0)-IFERROR(Q1325,0))</f>
        <v/>
      </c>
      <c r="S1325" s="5" t="n"/>
      <c r="T1325" s="5" t="n"/>
      <c r="U1325" s="11">
        <f>IF(B1325="","",TRIM(LOWER(C1325)&amp;"|"&amp;LOWER(D1325)))</f>
        <v/>
      </c>
    </row>
    <row r="1326">
      <c r="A1326" s="11">
        <f>IF(B1326="","",TEXT(ROW()-3,"""DC-""0000"))</f>
        <v/>
      </c>
      <c r="B1326" s="5" t="n"/>
      <c r="C1326" s="5" t="n"/>
      <c r="D1326" s="5" t="n"/>
      <c r="E1326" s="5" t="n"/>
      <c r="F1326" s="5" t="n"/>
      <c r="G1326" s="5" t="n"/>
      <c r="H1326" s="8" t="n"/>
      <c r="I1326" s="8" t="n"/>
      <c r="J1326" s="8" t="n"/>
      <c r="K1326" s="11">
        <f>IF(B1326="","",MAX(0,IFERROR(I1326,0)*IFERROR(H1326,0)-IFERROR(J1326,0)))</f>
        <v/>
      </c>
      <c r="L1326" s="8" t="n"/>
      <c r="M1326" s="11">
        <f>IF(B1326="","",MAX(0,K1326-L1326))</f>
        <v/>
      </c>
      <c r="N1326" s="11">
        <f>IF(B1326="","",IF(L1326&gt;=K1326,"Paid",IF(L1326&gt;0,"Partial","Unpaid")))</f>
        <v/>
      </c>
      <c r="O1326" s="5" t="n"/>
      <c r="P1326" s="8" t="n"/>
      <c r="Q1326" s="8" t="n"/>
      <c r="R1326" s="11">
        <f>IF(B1326="","",IFERROR(K1326,0)+IFERROR(P1326,0)-IFERROR(Q1326,0))</f>
        <v/>
      </c>
      <c r="S1326" s="5" t="n"/>
      <c r="T1326" s="5" t="n"/>
      <c r="U1326" s="11">
        <f>IF(B1326="","",TRIM(LOWER(C1326)&amp;"|"&amp;LOWER(D1326)))</f>
        <v/>
      </c>
    </row>
    <row r="1327">
      <c r="A1327" s="11">
        <f>IF(B1327="","",TEXT(ROW()-3,"""DC-""0000"))</f>
        <v/>
      </c>
      <c r="B1327" s="5" t="n"/>
      <c r="C1327" s="5" t="n"/>
      <c r="D1327" s="5" t="n"/>
      <c r="E1327" s="5" t="n"/>
      <c r="F1327" s="5" t="n"/>
      <c r="G1327" s="5" t="n"/>
      <c r="H1327" s="8" t="n"/>
      <c r="I1327" s="8" t="n"/>
      <c r="J1327" s="8" t="n"/>
      <c r="K1327" s="11">
        <f>IF(B1327="","",MAX(0,IFERROR(I1327,0)*IFERROR(H1327,0)-IFERROR(J1327,0)))</f>
        <v/>
      </c>
      <c r="L1327" s="8" t="n"/>
      <c r="M1327" s="11">
        <f>IF(B1327="","",MAX(0,K1327-L1327))</f>
        <v/>
      </c>
      <c r="N1327" s="11">
        <f>IF(B1327="","",IF(L1327&gt;=K1327,"Paid",IF(L1327&gt;0,"Partial","Unpaid")))</f>
        <v/>
      </c>
      <c r="O1327" s="5" t="n"/>
      <c r="P1327" s="8" t="n"/>
      <c r="Q1327" s="8" t="n"/>
      <c r="R1327" s="11">
        <f>IF(B1327="","",IFERROR(K1327,0)+IFERROR(P1327,0)-IFERROR(Q1327,0))</f>
        <v/>
      </c>
      <c r="S1327" s="5" t="n"/>
      <c r="T1327" s="5" t="n"/>
      <c r="U1327" s="11">
        <f>IF(B1327="","",TRIM(LOWER(C1327)&amp;"|"&amp;LOWER(D1327)))</f>
        <v/>
      </c>
    </row>
    <row r="1328">
      <c r="A1328" s="11">
        <f>IF(B1328="","",TEXT(ROW()-3,"""DC-""0000"))</f>
        <v/>
      </c>
      <c r="B1328" s="5" t="n"/>
      <c r="C1328" s="5" t="n"/>
      <c r="D1328" s="5" t="n"/>
      <c r="E1328" s="5" t="n"/>
      <c r="F1328" s="5" t="n"/>
      <c r="G1328" s="5" t="n"/>
      <c r="H1328" s="8" t="n"/>
      <c r="I1328" s="8" t="n"/>
      <c r="J1328" s="8" t="n"/>
      <c r="K1328" s="11">
        <f>IF(B1328="","",MAX(0,IFERROR(I1328,0)*IFERROR(H1328,0)-IFERROR(J1328,0)))</f>
        <v/>
      </c>
      <c r="L1328" s="8" t="n"/>
      <c r="M1328" s="11">
        <f>IF(B1328="","",MAX(0,K1328-L1328))</f>
        <v/>
      </c>
      <c r="N1328" s="11">
        <f>IF(B1328="","",IF(L1328&gt;=K1328,"Paid",IF(L1328&gt;0,"Partial","Unpaid")))</f>
        <v/>
      </c>
      <c r="O1328" s="5" t="n"/>
      <c r="P1328" s="8" t="n"/>
      <c r="Q1328" s="8" t="n"/>
      <c r="R1328" s="11">
        <f>IF(B1328="","",IFERROR(K1328,0)+IFERROR(P1328,0)-IFERROR(Q1328,0))</f>
        <v/>
      </c>
      <c r="S1328" s="5" t="n"/>
      <c r="T1328" s="5" t="n"/>
      <c r="U1328" s="11">
        <f>IF(B1328="","",TRIM(LOWER(C1328)&amp;"|"&amp;LOWER(D1328)))</f>
        <v/>
      </c>
    </row>
    <row r="1329">
      <c r="A1329" s="11">
        <f>IF(B1329="","",TEXT(ROW()-3,"""DC-""0000"))</f>
        <v/>
      </c>
      <c r="B1329" s="5" t="n"/>
      <c r="C1329" s="5" t="n"/>
      <c r="D1329" s="5" t="n"/>
      <c r="E1329" s="5" t="n"/>
      <c r="F1329" s="5" t="n"/>
      <c r="G1329" s="5" t="n"/>
      <c r="H1329" s="8" t="n"/>
      <c r="I1329" s="8" t="n"/>
      <c r="J1329" s="8" t="n"/>
      <c r="K1329" s="11">
        <f>IF(B1329="","",MAX(0,IFERROR(I1329,0)*IFERROR(H1329,0)-IFERROR(J1329,0)))</f>
        <v/>
      </c>
      <c r="L1329" s="8" t="n"/>
      <c r="M1329" s="11">
        <f>IF(B1329="","",MAX(0,K1329-L1329))</f>
        <v/>
      </c>
      <c r="N1329" s="11">
        <f>IF(B1329="","",IF(L1329&gt;=K1329,"Paid",IF(L1329&gt;0,"Partial","Unpaid")))</f>
        <v/>
      </c>
      <c r="O1329" s="5" t="n"/>
      <c r="P1329" s="8" t="n"/>
      <c r="Q1329" s="8" t="n"/>
      <c r="R1329" s="11">
        <f>IF(B1329="","",IFERROR(K1329,0)+IFERROR(P1329,0)-IFERROR(Q1329,0))</f>
        <v/>
      </c>
      <c r="S1329" s="5" t="n"/>
      <c r="T1329" s="5" t="n"/>
      <c r="U1329" s="11">
        <f>IF(B1329="","",TRIM(LOWER(C1329)&amp;"|"&amp;LOWER(D1329)))</f>
        <v/>
      </c>
    </row>
    <row r="1330">
      <c r="A1330" s="11">
        <f>IF(B1330="","",TEXT(ROW()-3,"""DC-""0000"))</f>
        <v/>
      </c>
      <c r="B1330" s="5" t="n"/>
      <c r="C1330" s="5" t="n"/>
      <c r="D1330" s="5" t="n"/>
      <c r="E1330" s="5" t="n"/>
      <c r="F1330" s="5" t="n"/>
      <c r="G1330" s="5" t="n"/>
      <c r="H1330" s="8" t="n"/>
      <c r="I1330" s="8" t="n"/>
      <c r="J1330" s="8" t="n"/>
      <c r="K1330" s="11">
        <f>IF(B1330="","",MAX(0,IFERROR(I1330,0)*IFERROR(H1330,0)-IFERROR(J1330,0)))</f>
        <v/>
      </c>
      <c r="L1330" s="8" t="n"/>
      <c r="M1330" s="11">
        <f>IF(B1330="","",MAX(0,K1330-L1330))</f>
        <v/>
      </c>
      <c r="N1330" s="11">
        <f>IF(B1330="","",IF(L1330&gt;=K1330,"Paid",IF(L1330&gt;0,"Partial","Unpaid")))</f>
        <v/>
      </c>
      <c r="O1330" s="5" t="n"/>
      <c r="P1330" s="8" t="n"/>
      <c r="Q1330" s="8" t="n"/>
      <c r="R1330" s="11">
        <f>IF(B1330="","",IFERROR(K1330,0)+IFERROR(P1330,0)-IFERROR(Q1330,0))</f>
        <v/>
      </c>
      <c r="S1330" s="5" t="n"/>
      <c r="T1330" s="5" t="n"/>
      <c r="U1330" s="11">
        <f>IF(B1330="","",TRIM(LOWER(C1330)&amp;"|"&amp;LOWER(D1330)))</f>
        <v/>
      </c>
    </row>
    <row r="1331">
      <c r="A1331" s="11">
        <f>IF(B1331="","",TEXT(ROW()-3,"""DC-""0000"))</f>
        <v/>
      </c>
      <c r="B1331" s="5" t="n"/>
      <c r="C1331" s="5" t="n"/>
      <c r="D1331" s="5" t="n"/>
      <c r="E1331" s="5" t="n"/>
      <c r="F1331" s="5" t="n"/>
      <c r="G1331" s="5" t="n"/>
      <c r="H1331" s="8" t="n"/>
      <c r="I1331" s="8" t="n"/>
      <c r="J1331" s="8" t="n"/>
      <c r="K1331" s="11">
        <f>IF(B1331="","",MAX(0,IFERROR(I1331,0)*IFERROR(H1331,0)-IFERROR(J1331,0)))</f>
        <v/>
      </c>
      <c r="L1331" s="8" t="n"/>
      <c r="M1331" s="11">
        <f>IF(B1331="","",MAX(0,K1331-L1331))</f>
        <v/>
      </c>
      <c r="N1331" s="11">
        <f>IF(B1331="","",IF(L1331&gt;=K1331,"Paid",IF(L1331&gt;0,"Partial","Unpaid")))</f>
        <v/>
      </c>
      <c r="O1331" s="5" t="n"/>
      <c r="P1331" s="8" t="n"/>
      <c r="Q1331" s="8" t="n"/>
      <c r="R1331" s="11">
        <f>IF(B1331="","",IFERROR(K1331,0)+IFERROR(P1331,0)-IFERROR(Q1331,0))</f>
        <v/>
      </c>
      <c r="S1331" s="5" t="n"/>
      <c r="T1331" s="5" t="n"/>
      <c r="U1331" s="11">
        <f>IF(B1331="","",TRIM(LOWER(C1331)&amp;"|"&amp;LOWER(D1331)))</f>
        <v/>
      </c>
    </row>
    <row r="1332">
      <c r="A1332" s="11">
        <f>IF(B1332="","",TEXT(ROW()-3,"""DC-""0000"))</f>
        <v/>
      </c>
      <c r="B1332" s="5" t="n"/>
      <c r="C1332" s="5" t="n"/>
      <c r="D1332" s="5" t="n"/>
      <c r="E1332" s="5" t="n"/>
      <c r="F1332" s="5" t="n"/>
      <c r="G1332" s="5" t="n"/>
      <c r="H1332" s="8" t="n"/>
      <c r="I1332" s="8" t="n"/>
      <c r="J1332" s="8" t="n"/>
      <c r="K1332" s="11">
        <f>IF(B1332="","",MAX(0,IFERROR(I1332,0)*IFERROR(H1332,0)-IFERROR(J1332,0)))</f>
        <v/>
      </c>
      <c r="L1332" s="8" t="n"/>
      <c r="M1332" s="11">
        <f>IF(B1332="","",MAX(0,K1332-L1332))</f>
        <v/>
      </c>
      <c r="N1332" s="11">
        <f>IF(B1332="","",IF(L1332&gt;=K1332,"Paid",IF(L1332&gt;0,"Partial","Unpaid")))</f>
        <v/>
      </c>
      <c r="O1332" s="5" t="n"/>
      <c r="P1332" s="8" t="n"/>
      <c r="Q1332" s="8" t="n"/>
      <c r="R1332" s="11">
        <f>IF(B1332="","",IFERROR(K1332,0)+IFERROR(P1332,0)-IFERROR(Q1332,0))</f>
        <v/>
      </c>
      <c r="S1332" s="5" t="n"/>
      <c r="T1332" s="5" t="n"/>
      <c r="U1332" s="11">
        <f>IF(B1332="","",TRIM(LOWER(C1332)&amp;"|"&amp;LOWER(D1332)))</f>
        <v/>
      </c>
    </row>
    <row r="1333">
      <c r="A1333" s="11">
        <f>IF(B1333="","",TEXT(ROW()-3,"""DC-""0000"))</f>
        <v/>
      </c>
      <c r="B1333" s="5" t="n"/>
      <c r="C1333" s="5" t="n"/>
      <c r="D1333" s="5" t="n"/>
      <c r="E1333" s="5" t="n"/>
      <c r="F1333" s="5" t="n"/>
      <c r="G1333" s="5" t="n"/>
      <c r="H1333" s="8" t="n"/>
      <c r="I1333" s="8" t="n"/>
      <c r="J1333" s="8" t="n"/>
      <c r="K1333" s="11">
        <f>IF(B1333="","",MAX(0,IFERROR(I1333,0)*IFERROR(H1333,0)-IFERROR(J1333,0)))</f>
        <v/>
      </c>
      <c r="L1333" s="8" t="n"/>
      <c r="M1333" s="11">
        <f>IF(B1333="","",MAX(0,K1333-L1333))</f>
        <v/>
      </c>
      <c r="N1333" s="11">
        <f>IF(B1333="","",IF(L1333&gt;=K1333,"Paid",IF(L1333&gt;0,"Partial","Unpaid")))</f>
        <v/>
      </c>
      <c r="O1333" s="5" t="n"/>
      <c r="P1333" s="8" t="n"/>
      <c r="Q1333" s="8" t="n"/>
      <c r="R1333" s="11">
        <f>IF(B1333="","",IFERROR(K1333,0)+IFERROR(P1333,0)-IFERROR(Q1333,0))</f>
        <v/>
      </c>
      <c r="S1333" s="5" t="n"/>
      <c r="T1333" s="5" t="n"/>
      <c r="U1333" s="11">
        <f>IF(B1333="","",TRIM(LOWER(C1333)&amp;"|"&amp;LOWER(D1333)))</f>
        <v/>
      </c>
    </row>
    <row r="1334">
      <c r="A1334" s="11">
        <f>IF(B1334="","",TEXT(ROW()-3,"""DC-""0000"))</f>
        <v/>
      </c>
      <c r="B1334" s="5" t="n"/>
      <c r="C1334" s="5" t="n"/>
      <c r="D1334" s="5" t="n"/>
      <c r="E1334" s="5" t="n"/>
      <c r="F1334" s="5" t="n"/>
      <c r="G1334" s="5" t="n"/>
      <c r="H1334" s="8" t="n"/>
      <c r="I1334" s="8" t="n"/>
      <c r="J1334" s="8" t="n"/>
      <c r="K1334" s="11">
        <f>IF(B1334="","",MAX(0,IFERROR(I1334,0)*IFERROR(H1334,0)-IFERROR(J1334,0)))</f>
        <v/>
      </c>
      <c r="L1334" s="8" t="n"/>
      <c r="M1334" s="11">
        <f>IF(B1334="","",MAX(0,K1334-L1334))</f>
        <v/>
      </c>
      <c r="N1334" s="11">
        <f>IF(B1334="","",IF(L1334&gt;=K1334,"Paid",IF(L1334&gt;0,"Partial","Unpaid")))</f>
        <v/>
      </c>
      <c r="O1334" s="5" t="n"/>
      <c r="P1334" s="8" t="n"/>
      <c r="Q1334" s="8" t="n"/>
      <c r="R1334" s="11">
        <f>IF(B1334="","",IFERROR(K1334,0)+IFERROR(P1334,0)-IFERROR(Q1334,0))</f>
        <v/>
      </c>
      <c r="S1334" s="5" t="n"/>
      <c r="T1334" s="5" t="n"/>
      <c r="U1334" s="11">
        <f>IF(B1334="","",TRIM(LOWER(C1334)&amp;"|"&amp;LOWER(D1334)))</f>
        <v/>
      </c>
    </row>
    <row r="1335">
      <c r="A1335" s="11">
        <f>IF(B1335="","",TEXT(ROW()-3,"""DC-""0000"))</f>
        <v/>
      </c>
      <c r="B1335" s="5" t="n"/>
      <c r="C1335" s="5" t="n"/>
      <c r="D1335" s="5" t="n"/>
      <c r="E1335" s="5" t="n"/>
      <c r="F1335" s="5" t="n"/>
      <c r="G1335" s="5" t="n"/>
      <c r="H1335" s="8" t="n"/>
      <c r="I1335" s="8" t="n"/>
      <c r="J1335" s="8" t="n"/>
      <c r="K1335" s="11">
        <f>IF(B1335="","",MAX(0,IFERROR(I1335,0)*IFERROR(H1335,0)-IFERROR(J1335,0)))</f>
        <v/>
      </c>
      <c r="L1335" s="8" t="n"/>
      <c r="M1335" s="11">
        <f>IF(B1335="","",MAX(0,K1335-L1335))</f>
        <v/>
      </c>
      <c r="N1335" s="11">
        <f>IF(B1335="","",IF(L1335&gt;=K1335,"Paid",IF(L1335&gt;0,"Partial","Unpaid")))</f>
        <v/>
      </c>
      <c r="O1335" s="5" t="n"/>
      <c r="P1335" s="8" t="n"/>
      <c r="Q1335" s="8" t="n"/>
      <c r="R1335" s="11">
        <f>IF(B1335="","",IFERROR(K1335,0)+IFERROR(P1335,0)-IFERROR(Q1335,0))</f>
        <v/>
      </c>
      <c r="S1335" s="5" t="n"/>
      <c r="T1335" s="5" t="n"/>
      <c r="U1335" s="11">
        <f>IF(B1335="","",TRIM(LOWER(C1335)&amp;"|"&amp;LOWER(D1335)))</f>
        <v/>
      </c>
    </row>
    <row r="1336">
      <c r="A1336" s="11">
        <f>IF(B1336="","",TEXT(ROW()-3,"""DC-""0000"))</f>
        <v/>
      </c>
      <c r="B1336" s="5" t="n"/>
      <c r="C1336" s="5" t="n"/>
      <c r="D1336" s="5" t="n"/>
      <c r="E1336" s="5" t="n"/>
      <c r="F1336" s="5" t="n"/>
      <c r="G1336" s="5" t="n"/>
      <c r="H1336" s="8" t="n"/>
      <c r="I1336" s="8" t="n"/>
      <c r="J1336" s="8" t="n"/>
      <c r="K1336" s="11">
        <f>IF(B1336="","",MAX(0,IFERROR(I1336,0)*IFERROR(H1336,0)-IFERROR(J1336,0)))</f>
        <v/>
      </c>
      <c r="L1336" s="8" t="n"/>
      <c r="M1336" s="11">
        <f>IF(B1336="","",MAX(0,K1336-L1336))</f>
        <v/>
      </c>
      <c r="N1336" s="11">
        <f>IF(B1336="","",IF(L1336&gt;=K1336,"Paid",IF(L1336&gt;0,"Partial","Unpaid")))</f>
        <v/>
      </c>
      <c r="O1336" s="5" t="n"/>
      <c r="P1336" s="8" t="n"/>
      <c r="Q1336" s="8" t="n"/>
      <c r="R1336" s="11">
        <f>IF(B1336="","",IFERROR(K1336,0)+IFERROR(P1336,0)-IFERROR(Q1336,0))</f>
        <v/>
      </c>
      <c r="S1336" s="5" t="n"/>
      <c r="T1336" s="5" t="n"/>
      <c r="U1336" s="11">
        <f>IF(B1336="","",TRIM(LOWER(C1336)&amp;"|"&amp;LOWER(D1336)))</f>
        <v/>
      </c>
    </row>
    <row r="1337">
      <c r="A1337" s="11">
        <f>IF(B1337="","",TEXT(ROW()-3,"""DC-""0000"))</f>
        <v/>
      </c>
      <c r="B1337" s="5" t="n"/>
      <c r="C1337" s="5" t="n"/>
      <c r="D1337" s="5" t="n"/>
      <c r="E1337" s="5" t="n"/>
      <c r="F1337" s="5" t="n"/>
      <c r="G1337" s="5" t="n"/>
      <c r="H1337" s="8" t="n"/>
      <c r="I1337" s="8" t="n"/>
      <c r="J1337" s="8" t="n"/>
      <c r="K1337" s="11">
        <f>IF(B1337="","",MAX(0,IFERROR(I1337,0)*IFERROR(H1337,0)-IFERROR(J1337,0)))</f>
        <v/>
      </c>
      <c r="L1337" s="8" t="n"/>
      <c r="M1337" s="11">
        <f>IF(B1337="","",MAX(0,K1337-L1337))</f>
        <v/>
      </c>
      <c r="N1337" s="11">
        <f>IF(B1337="","",IF(L1337&gt;=K1337,"Paid",IF(L1337&gt;0,"Partial","Unpaid")))</f>
        <v/>
      </c>
      <c r="O1337" s="5" t="n"/>
      <c r="P1337" s="8" t="n"/>
      <c r="Q1337" s="8" t="n"/>
      <c r="R1337" s="11">
        <f>IF(B1337="","",IFERROR(K1337,0)+IFERROR(P1337,0)-IFERROR(Q1337,0))</f>
        <v/>
      </c>
      <c r="S1337" s="5" t="n"/>
      <c r="T1337" s="5" t="n"/>
      <c r="U1337" s="11">
        <f>IF(B1337="","",TRIM(LOWER(C1337)&amp;"|"&amp;LOWER(D1337)))</f>
        <v/>
      </c>
    </row>
    <row r="1338">
      <c r="A1338" s="11">
        <f>IF(B1338="","",TEXT(ROW()-3,"""DC-""0000"))</f>
        <v/>
      </c>
      <c r="B1338" s="5" t="n"/>
      <c r="C1338" s="5" t="n"/>
      <c r="D1338" s="5" t="n"/>
      <c r="E1338" s="5" t="n"/>
      <c r="F1338" s="5" t="n"/>
      <c r="G1338" s="5" t="n"/>
      <c r="H1338" s="8" t="n"/>
      <c r="I1338" s="8" t="n"/>
      <c r="J1338" s="8" t="n"/>
      <c r="K1338" s="11">
        <f>IF(B1338="","",MAX(0,IFERROR(I1338,0)*IFERROR(H1338,0)-IFERROR(J1338,0)))</f>
        <v/>
      </c>
      <c r="L1338" s="8" t="n"/>
      <c r="M1338" s="11">
        <f>IF(B1338="","",MAX(0,K1338-L1338))</f>
        <v/>
      </c>
      <c r="N1338" s="11">
        <f>IF(B1338="","",IF(L1338&gt;=K1338,"Paid",IF(L1338&gt;0,"Partial","Unpaid")))</f>
        <v/>
      </c>
      <c r="O1338" s="5" t="n"/>
      <c r="P1338" s="8" t="n"/>
      <c r="Q1338" s="8" t="n"/>
      <c r="R1338" s="11">
        <f>IF(B1338="","",IFERROR(K1338,0)+IFERROR(P1338,0)-IFERROR(Q1338,0))</f>
        <v/>
      </c>
      <c r="S1338" s="5" t="n"/>
      <c r="T1338" s="5" t="n"/>
      <c r="U1338" s="11">
        <f>IF(B1338="","",TRIM(LOWER(C1338)&amp;"|"&amp;LOWER(D1338)))</f>
        <v/>
      </c>
    </row>
    <row r="1339">
      <c r="A1339" s="11">
        <f>IF(B1339="","",TEXT(ROW()-3,"""DC-""0000"))</f>
        <v/>
      </c>
      <c r="B1339" s="5" t="n"/>
      <c r="C1339" s="5" t="n"/>
      <c r="D1339" s="5" t="n"/>
      <c r="E1339" s="5" t="n"/>
      <c r="F1339" s="5" t="n"/>
      <c r="G1339" s="5" t="n"/>
      <c r="H1339" s="8" t="n"/>
      <c r="I1339" s="8" t="n"/>
      <c r="J1339" s="8" t="n"/>
      <c r="K1339" s="11">
        <f>IF(B1339="","",MAX(0,IFERROR(I1339,0)*IFERROR(H1339,0)-IFERROR(J1339,0)))</f>
        <v/>
      </c>
      <c r="L1339" s="8" t="n"/>
      <c r="M1339" s="11">
        <f>IF(B1339="","",MAX(0,K1339-L1339))</f>
        <v/>
      </c>
      <c r="N1339" s="11">
        <f>IF(B1339="","",IF(L1339&gt;=K1339,"Paid",IF(L1339&gt;0,"Partial","Unpaid")))</f>
        <v/>
      </c>
      <c r="O1339" s="5" t="n"/>
      <c r="P1339" s="8" t="n"/>
      <c r="Q1339" s="8" t="n"/>
      <c r="R1339" s="11">
        <f>IF(B1339="","",IFERROR(K1339,0)+IFERROR(P1339,0)-IFERROR(Q1339,0))</f>
        <v/>
      </c>
      <c r="S1339" s="5" t="n"/>
      <c r="T1339" s="5" t="n"/>
      <c r="U1339" s="11">
        <f>IF(B1339="","",TRIM(LOWER(C1339)&amp;"|"&amp;LOWER(D1339)))</f>
        <v/>
      </c>
    </row>
    <row r="1340">
      <c r="A1340" s="11">
        <f>IF(B1340="","",TEXT(ROW()-3,"""DC-""0000"))</f>
        <v/>
      </c>
      <c r="B1340" s="5" t="n"/>
      <c r="C1340" s="5" t="n"/>
      <c r="D1340" s="5" t="n"/>
      <c r="E1340" s="5" t="n"/>
      <c r="F1340" s="5" t="n"/>
      <c r="G1340" s="5" t="n"/>
      <c r="H1340" s="8" t="n"/>
      <c r="I1340" s="8" t="n"/>
      <c r="J1340" s="8" t="n"/>
      <c r="K1340" s="11">
        <f>IF(B1340="","",MAX(0,IFERROR(I1340,0)*IFERROR(H1340,0)-IFERROR(J1340,0)))</f>
        <v/>
      </c>
      <c r="L1340" s="8" t="n"/>
      <c r="M1340" s="11">
        <f>IF(B1340="","",MAX(0,K1340-L1340))</f>
        <v/>
      </c>
      <c r="N1340" s="11">
        <f>IF(B1340="","",IF(L1340&gt;=K1340,"Paid",IF(L1340&gt;0,"Partial","Unpaid")))</f>
        <v/>
      </c>
      <c r="O1340" s="5" t="n"/>
      <c r="P1340" s="8" t="n"/>
      <c r="Q1340" s="8" t="n"/>
      <c r="R1340" s="11">
        <f>IF(B1340="","",IFERROR(K1340,0)+IFERROR(P1340,0)-IFERROR(Q1340,0))</f>
        <v/>
      </c>
      <c r="S1340" s="5" t="n"/>
      <c r="T1340" s="5" t="n"/>
      <c r="U1340" s="11">
        <f>IF(B1340="","",TRIM(LOWER(C1340)&amp;"|"&amp;LOWER(D1340)))</f>
        <v/>
      </c>
    </row>
    <row r="1341">
      <c r="A1341" s="11">
        <f>IF(B1341="","",TEXT(ROW()-3,"""DC-""0000"))</f>
        <v/>
      </c>
      <c r="B1341" s="5" t="n"/>
      <c r="C1341" s="5" t="n"/>
      <c r="D1341" s="5" t="n"/>
      <c r="E1341" s="5" t="n"/>
      <c r="F1341" s="5" t="n"/>
      <c r="G1341" s="5" t="n"/>
      <c r="H1341" s="8" t="n"/>
      <c r="I1341" s="8" t="n"/>
      <c r="J1341" s="8" t="n"/>
      <c r="K1341" s="11">
        <f>IF(B1341="","",MAX(0,IFERROR(I1341,0)*IFERROR(H1341,0)-IFERROR(J1341,0)))</f>
        <v/>
      </c>
      <c r="L1341" s="8" t="n"/>
      <c r="M1341" s="11">
        <f>IF(B1341="","",MAX(0,K1341-L1341))</f>
        <v/>
      </c>
      <c r="N1341" s="11">
        <f>IF(B1341="","",IF(L1341&gt;=K1341,"Paid",IF(L1341&gt;0,"Partial","Unpaid")))</f>
        <v/>
      </c>
      <c r="O1341" s="5" t="n"/>
      <c r="P1341" s="8" t="n"/>
      <c r="Q1341" s="8" t="n"/>
      <c r="R1341" s="11">
        <f>IF(B1341="","",IFERROR(K1341,0)+IFERROR(P1341,0)-IFERROR(Q1341,0))</f>
        <v/>
      </c>
      <c r="S1341" s="5" t="n"/>
      <c r="T1341" s="5" t="n"/>
      <c r="U1341" s="11">
        <f>IF(B1341="","",TRIM(LOWER(C1341)&amp;"|"&amp;LOWER(D1341)))</f>
        <v/>
      </c>
    </row>
    <row r="1342">
      <c r="A1342" s="11">
        <f>IF(B1342="","",TEXT(ROW()-3,"""DC-""0000"))</f>
        <v/>
      </c>
      <c r="B1342" s="5" t="n"/>
      <c r="C1342" s="5" t="n"/>
      <c r="D1342" s="5" t="n"/>
      <c r="E1342" s="5" t="n"/>
      <c r="F1342" s="5" t="n"/>
      <c r="G1342" s="5" t="n"/>
      <c r="H1342" s="8" t="n"/>
      <c r="I1342" s="8" t="n"/>
      <c r="J1342" s="8" t="n"/>
      <c r="K1342" s="11">
        <f>IF(B1342="","",MAX(0,IFERROR(I1342,0)*IFERROR(H1342,0)-IFERROR(J1342,0)))</f>
        <v/>
      </c>
      <c r="L1342" s="8" t="n"/>
      <c r="M1342" s="11">
        <f>IF(B1342="","",MAX(0,K1342-L1342))</f>
        <v/>
      </c>
      <c r="N1342" s="11">
        <f>IF(B1342="","",IF(L1342&gt;=K1342,"Paid",IF(L1342&gt;0,"Partial","Unpaid")))</f>
        <v/>
      </c>
      <c r="O1342" s="5" t="n"/>
      <c r="P1342" s="8" t="n"/>
      <c r="Q1342" s="8" t="n"/>
      <c r="R1342" s="11">
        <f>IF(B1342="","",IFERROR(K1342,0)+IFERROR(P1342,0)-IFERROR(Q1342,0))</f>
        <v/>
      </c>
      <c r="S1342" s="5" t="n"/>
      <c r="T1342" s="5" t="n"/>
      <c r="U1342" s="11">
        <f>IF(B1342="","",TRIM(LOWER(C1342)&amp;"|"&amp;LOWER(D1342)))</f>
        <v/>
      </c>
    </row>
    <row r="1343">
      <c r="A1343" s="11">
        <f>IF(B1343="","",TEXT(ROW()-3,"""DC-""0000"))</f>
        <v/>
      </c>
      <c r="B1343" s="5" t="n"/>
      <c r="C1343" s="5" t="n"/>
      <c r="D1343" s="5" t="n"/>
      <c r="E1343" s="5" t="n"/>
      <c r="F1343" s="5" t="n"/>
      <c r="G1343" s="5" t="n"/>
      <c r="H1343" s="8" t="n"/>
      <c r="I1343" s="8" t="n"/>
      <c r="J1343" s="8" t="n"/>
      <c r="K1343" s="11">
        <f>IF(B1343="","",MAX(0,IFERROR(I1343,0)*IFERROR(H1343,0)-IFERROR(J1343,0)))</f>
        <v/>
      </c>
      <c r="L1343" s="8" t="n"/>
      <c r="M1343" s="11">
        <f>IF(B1343="","",MAX(0,K1343-L1343))</f>
        <v/>
      </c>
      <c r="N1343" s="11">
        <f>IF(B1343="","",IF(L1343&gt;=K1343,"Paid",IF(L1343&gt;0,"Partial","Unpaid")))</f>
        <v/>
      </c>
      <c r="O1343" s="5" t="n"/>
      <c r="P1343" s="8" t="n"/>
      <c r="Q1343" s="8" t="n"/>
      <c r="R1343" s="11">
        <f>IF(B1343="","",IFERROR(K1343,0)+IFERROR(P1343,0)-IFERROR(Q1343,0))</f>
        <v/>
      </c>
      <c r="S1343" s="5" t="n"/>
      <c r="T1343" s="5" t="n"/>
      <c r="U1343" s="11">
        <f>IF(B1343="","",TRIM(LOWER(C1343)&amp;"|"&amp;LOWER(D1343)))</f>
        <v/>
      </c>
    </row>
    <row r="1344">
      <c r="A1344" s="11">
        <f>IF(B1344="","",TEXT(ROW()-3,"""DC-""0000"))</f>
        <v/>
      </c>
      <c r="B1344" s="5" t="n"/>
      <c r="C1344" s="5" t="n"/>
      <c r="D1344" s="5" t="n"/>
      <c r="E1344" s="5" t="n"/>
      <c r="F1344" s="5" t="n"/>
      <c r="G1344" s="5" t="n"/>
      <c r="H1344" s="8" t="n"/>
      <c r="I1344" s="8" t="n"/>
      <c r="J1344" s="8" t="n"/>
      <c r="K1344" s="11">
        <f>IF(B1344="","",MAX(0,IFERROR(I1344,0)*IFERROR(H1344,0)-IFERROR(J1344,0)))</f>
        <v/>
      </c>
      <c r="L1344" s="8" t="n"/>
      <c r="M1344" s="11">
        <f>IF(B1344="","",MAX(0,K1344-L1344))</f>
        <v/>
      </c>
      <c r="N1344" s="11">
        <f>IF(B1344="","",IF(L1344&gt;=K1344,"Paid",IF(L1344&gt;0,"Partial","Unpaid")))</f>
        <v/>
      </c>
      <c r="O1344" s="5" t="n"/>
      <c r="P1344" s="8" t="n"/>
      <c r="Q1344" s="8" t="n"/>
      <c r="R1344" s="11">
        <f>IF(B1344="","",IFERROR(K1344,0)+IFERROR(P1344,0)-IFERROR(Q1344,0))</f>
        <v/>
      </c>
      <c r="S1344" s="5" t="n"/>
      <c r="T1344" s="5" t="n"/>
      <c r="U1344" s="11">
        <f>IF(B1344="","",TRIM(LOWER(C1344)&amp;"|"&amp;LOWER(D1344)))</f>
        <v/>
      </c>
    </row>
    <row r="1345">
      <c r="A1345" s="11">
        <f>IF(B1345="","",TEXT(ROW()-3,"""DC-""0000"))</f>
        <v/>
      </c>
      <c r="B1345" s="5" t="n"/>
      <c r="C1345" s="5" t="n"/>
      <c r="D1345" s="5" t="n"/>
      <c r="E1345" s="5" t="n"/>
      <c r="F1345" s="5" t="n"/>
      <c r="G1345" s="5" t="n"/>
      <c r="H1345" s="8" t="n"/>
      <c r="I1345" s="8" t="n"/>
      <c r="J1345" s="8" t="n"/>
      <c r="K1345" s="11">
        <f>IF(B1345="","",MAX(0,IFERROR(I1345,0)*IFERROR(H1345,0)-IFERROR(J1345,0)))</f>
        <v/>
      </c>
      <c r="L1345" s="8" t="n"/>
      <c r="M1345" s="11">
        <f>IF(B1345="","",MAX(0,K1345-L1345))</f>
        <v/>
      </c>
      <c r="N1345" s="11">
        <f>IF(B1345="","",IF(L1345&gt;=K1345,"Paid",IF(L1345&gt;0,"Partial","Unpaid")))</f>
        <v/>
      </c>
      <c r="O1345" s="5" t="n"/>
      <c r="P1345" s="8" t="n"/>
      <c r="Q1345" s="8" t="n"/>
      <c r="R1345" s="11">
        <f>IF(B1345="","",IFERROR(K1345,0)+IFERROR(P1345,0)-IFERROR(Q1345,0))</f>
        <v/>
      </c>
      <c r="S1345" s="5" t="n"/>
      <c r="T1345" s="5" t="n"/>
      <c r="U1345" s="11">
        <f>IF(B1345="","",TRIM(LOWER(C1345)&amp;"|"&amp;LOWER(D1345)))</f>
        <v/>
      </c>
    </row>
    <row r="1346">
      <c r="A1346" s="11">
        <f>IF(B1346="","",TEXT(ROW()-3,"""DC-""0000"))</f>
        <v/>
      </c>
      <c r="B1346" s="5" t="n"/>
      <c r="C1346" s="5" t="n"/>
      <c r="D1346" s="5" t="n"/>
      <c r="E1346" s="5" t="n"/>
      <c r="F1346" s="5" t="n"/>
      <c r="G1346" s="5" t="n"/>
      <c r="H1346" s="8" t="n"/>
      <c r="I1346" s="8" t="n"/>
      <c r="J1346" s="8" t="n"/>
      <c r="K1346" s="11">
        <f>IF(B1346="","",MAX(0,IFERROR(I1346,0)*IFERROR(H1346,0)-IFERROR(J1346,0)))</f>
        <v/>
      </c>
      <c r="L1346" s="8" t="n"/>
      <c r="M1346" s="11">
        <f>IF(B1346="","",MAX(0,K1346-L1346))</f>
        <v/>
      </c>
      <c r="N1346" s="11">
        <f>IF(B1346="","",IF(L1346&gt;=K1346,"Paid",IF(L1346&gt;0,"Partial","Unpaid")))</f>
        <v/>
      </c>
      <c r="O1346" s="5" t="n"/>
      <c r="P1346" s="8" t="n"/>
      <c r="Q1346" s="8" t="n"/>
      <c r="R1346" s="11">
        <f>IF(B1346="","",IFERROR(K1346,0)+IFERROR(P1346,0)-IFERROR(Q1346,0))</f>
        <v/>
      </c>
      <c r="S1346" s="5" t="n"/>
      <c r="T1346" s="5" t="n"/>
      <c r="U1346" s="11">
        <f>IF(B1346="","",TRIM(LOWER(C1346)&amp;"|"&amp;LOWER(D1346)))</f>
        <v/>
      </c>
    </row>
    <row r="1347">
      <c r="A1347" s="11">
        <f>IF(B1347="","",TEXT(ROW()-3,"""DC-""0000"))</f>
        <v/>
      </c>
      <c r="B1347" s="5" t="n"/>
      <c r="C1347" s="5" t="n"/>
      <c r="D1347" s="5" t="n"/>
      <c r="E1347" s="5" t="n"/>
      <c r="F1347" s="5" t="n"/>
      <c r="G1347" s="5" t="n"/>
      <c r="H1347" s="8" t="n"/>
      <c r="I1347" s="8" t="n"/>
      <c r="J1347" s="8" t="n"/>
      <c r="K1347" s="11">
        <f>IF(B1347="","",MAX(0,IFERROR(I1347,0)*IFERROR(H1347,0)-IFERROR(J1347,0)))</f>
        <v/>
      </c>
      <c r="L1347" s="8" t="n"/>
      <c r="M1347" s="11">
        <f>IF(B1347="","",MAX(0,K1347-L1347))</f>
        <v/>
      </c>
      <c r="N1347" s="11">
        <f>IF(B1347="","",IF(L1347&gt;=K1347,"Paid",IF(L1347&gt;0,"Partial","Unpaid")))</f>
        <v/>
      </c>
      <c r="O1347" s="5" t="n"/>
      <c r="P1347" s="8" t="n"/>
      <c r="Q1347" s="8" t="n"/>
      <c r="R1347" s="11">
        <f>IF(B1347="","",IFERROR(K1347,0)+IFERROR(P1347,0)-IFERROR(Q1347,0))</f>
        <v/>
      </c>
      <c r="S1347" s="5" t="n"/>
      <c r="T1347" s="5" t="n"/>
      <c r="U1347" s="11">
        <f>IF(B1347="","",TRIM(LOWER(C1347)&amp;"|"&amp;LOWER(D1347)))</f>
        <v/>
      </c>
    </row>
    <row r="1348">
      <c r="A1348" s="11">
        <f>IF(B1348="","",TEXT(ROW()-3,"""DC-""0000"))</f>
        <v/>
      </c>
      <c r="B1348" s="5" t="n"/>
      <c r="C1348" s="5" t="n"/>
      <c r="D1348" s="5" t="n"/>
      <c r="E1348" s="5" t="n"/>
      <c r="F1348" s="5" t="n"/>
      <c r="G1348" s="5" t="n"/>
      <c r="H1348" s="8" t="n"/>
      <c r="I1348" s="8" t="n"/>
      <c r="J1348" s="8" t="n"/>
      <c r="K1348" s="11">
        <f>IF(B1348="","",MAX(0,IFERROR(I1348,0)*IFERROR(H1348,0)-IFERROR(J1348,0)))</f>
        <v/>
      </c>
      <c r="L1348" s="8" t="n"/>
      <c r="M1348" s="11">
        <f>IF(B1348="","",MAX(0,K1348-L1348))</f>
        <v/>
      </c>
      <c r="N1348" s="11">
        <f>IF(B1348="","",IF(L1348&gt;=K1348,"Paid",IF(L1348&gt;0,"Partial","Unpaid")))</f>
        <v/>
      </c>
      <c r="O1348" s="5" t="n"/>
      <c r="P1348" s="8" t="n"/>
      <c r="Q1348" s="8" t="n"/>
      <c r="R1348" s="11">
        <f>IF(B1348="","",IFERROR(K1348,0)+IFERROR(P1348,0)-IFERROR(Q1348,0))</f>
        <v/>
      </c>
      <c r="S1348" s="5" t="n"/>
      <c r="T1348" s="5" t="n"/>
      <c r="U1348" s="11">
        <f>IF(B1348="","",TRIM(LOWER(C1348)&amp;"|"&amp;LOWER(D1348)))</f>
        <v/>
      </c>
    </row>
    <row r="1349">
      <c r="A1349" s="11">
        <f>IF(B1349="","",TEXT(ROW()-3,"""DC-""0000"))</f>
        <v/>
      </c>
      <c r="B1349" s="5" t="n"/>
      <c r="C1349" s="5" t="n"/>
      <c r="D1349" s="5" t="n"/>
      <c r="E1349" s="5" t="n"/>
      <c r="F1349" s="5" t="n"/>
      <c r="G1349" s="5" t="n"/>
      <c r="H1349" s="8" t="n"/>
      <c r="I1349" s="8" t="n"/>
      <c r="J1349" s="8" t="n"/>
      <c r="K1349" s="11">
        <f>IF(B1349="","",MAX(0,IFERROR(I1349,0)*IFERROR(H1349,0)-IFERROR(J1349,0)))</f>
        <v/>
      </c>
      <c r="L1349" s="8" t="n"/>
      <c r="M1349" s="11">
        <f>IF(B1349="","",MAX(0,K1349-L1349))</f>
        <v/>
      </c>
      <c r="N1349" s="11">
        <f>IF(B1349="","",IF(L1349&gt;=K1349,"Paid",IF(L1349&gt;0,"Partial","Unpaid")))</f>
        <v/>
      </c>
      <c r="O1349" s="5" t="n"/>
      <c r="P1349" s="8" t="n"/>
      <c r="Q1349" s="8" t="n"/>
      <c r="R1349" s="11">
        <f>IF(B1349="","",IFERROR(K1349,0)+IFERROR(P1349,0)-IFERROR(Q1349,0))</f>
        <v/>
      </c>
      <c r="S1349" s="5" t="n"/>
      <c r="T1349" s="5" t="n"/>
      <c r="U1349" s="11">
        <f>IF(B1349="","",TRIM(LOWER(C1349)&amp;"|"&amp;LOWER(D1349)))</f>
        <v/>
      </c>
    </row>
    <row r="1350">
      <c r="A1350" s="11">
        <f>IF(B1350="","",TEXT(ROW()-3,"""DC-""0000"))</f>
        <v/>
      </c>
      <c r="B1350" s="5" t="n"/>
      <c r="C1350" s="5" t="n"/>
      <c r="D1350" s="5" t="n"/>
      <c r="E1350" s="5" t="n"/>
      <c r="F1350" s="5" t="n"/>
      <c r="G1350" s="5" t="n"/>
      <c r="H1350" s="8" t="n"/>
      <c r="I1350" s="8" t="n"/>
      <c r="J1350" s="8" t="n"/>
      <c r="K1350" s="11">
        <f>IF(B1350="","",MAX(0,IFERROR(I1350,0)*IFERROR(H1350,0)-IFERROR(J1350,0)))</f>
        <v/>
      </c>
      <c r="L1350" s="8" t="n"/>
      <c r="M1350" s="11">
        <f>IF(B1350="","",MAX(0,K1350-L1350))</f>
        <v/>
      </c>
      <c r="N1350" s="11">
        <f>IF(B1350="","",IF(L1350&gt;=K1350,"Paid",IF(L1350&gt;0,"Partial","Unpaid")))</f>
        <v/>
      </c>
      <c r="O1350" s="5" t="n"/>
      <c r="P1350" s="8" t="n"/>
      <c r="Q1350" s="8" t="n"/>
      <c r="R1350" s="11">
        <f>IF(B1350="","",IFERROR(K1350,0)+IFERROR(P1350,0)-IFERROR(Q1350,0))</f>
        <v/>
      </c>
      <c r="S1350" s="5" t="n"/>
      <c r="T1350" s="5" t="n"/>
      <c r="U1350" s="11">
        <f>IF(B1350="","",TRIM(LOWER(C1350)&amp;"|"&amp;LOWER(D1350)))</f>
        <v/>
      </c>
    </row>
    <row r="1351">
      <c r="A1351" s="11">
        <f>IF(B1351="","",TEXT(ROW()-3,"""DC-""0000"))</f>
        <v/>
      </c>
      <c r="B1351" s="5" t="n"/>
      <c r="C1351" s="5" t="n"/>
      <c r="D1351" s="5" t="n"/>
      <c r="E1351" s="5" t="n"/>
      <c r="F1351" s="5" t="n"/>
      <c r="G1351" s="5" t="n"/>
      <c r="H1351" s="8" t="n"/>
      <c r="I1351" s="8" t="n"/>
      <c r="J1351" s="8" t="n"/>
      <c r="K1351" s="11">
        <f>IF(B1351="","",MAX(0,IFERROR(I1351,0)*IFERROR(H1351,0)-IFERROR(J1351,0)))</f>
        <v/>
      </c>
      <c r="L1351" s="8" t="n"/>
      <c r="M1351" s="11">
        <f>IF(B1351="","",MAX(0,K1351-L1351))</f>
        <v/>
      </c>
      <c r="N1351" s="11">
        <f>IF(B1351="","",IF(L1351&gt;=K1351,"Paid",IF(L1351&gt;0,"Partial","Unpaid")))</f>
        <v/>
      </c>
      <c r="O1351" s="5" t="n"/>
      <c r="P1351" s="8" t="n"/>
      <c r="Q1351" s="8" t="n"/>
      <c r="R1351" s="11">
        <f>IF(B1351="","",IFERROR(K1351,0)+IFERROR(P1351,0)-IFERROR(Q1351,0))</f>
        <v/>
      </c>
      <c r="S1351" s="5" t="n"/>
      <c r="T1351" s="5" t="n"/>
      <c r="U1351" s="11">
        <f>IF(B1351="","",TRIM(LOWER(C1351)&amp;"|"&amp;LOWER(D1351)))</f>
        <v/>
      </c>
    </row>
    <row r="1352">
      <c r="A1352" s="11">
        <f>IF(B1352="","",TEXT(ROW()-3,"""DC-""0000"))</f>
        <v/>
      </c>
      <c r="B1352" s="5" t="n"/>
      <c r="C1352" s="5" t="n"/>
      <c r="D1352" s="5" t="n"/>
      <c r="E1352" s="5" t="n"/>
      <c r="F1352" s="5" t="n"/>
      <c r="G1352" s="5" t="n"/>
      <c r="H1352" s="8" t="n"/>
      <c r="I1352" s="8" t="n"/>
      <c r="J1352" s="8" t="n"/>
      <c r="K1352" s="11">
        <f>IF(B1352="","",MAX(0,IFERROR(I1352,0)*IFERROR(H1352,0)-IFERROR(J1352,0)))</f>
        <v/>
      </c>
      <c r="L1352" s="8" t="n"/>
      <c r="M1352" s="11">
        <f>IF(B1352="","",MAX(0,K1352-L1352))</f>
        <v/>
      </c>
      <c r="N1352" s="11">
        <f>IF(B1352="","",IF(L1352&gt;=K1352,"Paid",IF(L1352&gt;0,"Partial","Unpaid")))</f>
        <v/>
      </c>
      <c r="O1352" s="5" t="n"/>
      <c r="P1352" s="8" t="n"/>
      <c r="Q1352" s="8" t="n"/>
      <c r="R1352" s="11">
        <f>IF(B1352="","",IFERROR(K1352,0)+IFERROR(P1352,0)-IFERROR(Q1352,0))</f>
        <v/>
      </c>
      <c r="S1352" s="5" t="n"/>
      <c r="T1352" s="5" t="n"/>
      <c r="U1352" s="11">
        <f>IF(B1352="","",TRIM(LOWER(C1352)&amp;"|"&amp;LOWER(D1352)))</f>
        <v/>
      </c>
    </row>
    <row r="1353">
      <c r="A1353" s="11">
        <f>IF(B1353="","",TEXT(ROW()-3,"""DC-""0000"))</f>
        <v/>
      </c>
      <c r="B1353" s="5" t="n"/>
      <c r="C1353" s="5" t="n"/>
      <c r="D1353" s="5" t="n"/>
      <c r="E1353" s="5" t="n"/>
      <c r="F1353" s="5" t="n"/>
      <c r="G1353" s="5" t="n"/>
      <c r="H1353" s="8" t="n"/>
      <c r="I1353" s="8" t="n"/>
      <c r="J1353" s="8" t="n"/>
      <c r="K1353" s="11">
        <f>IF(B1353="","",MAX(0,IFERROR(I1353,0)*IFERROR(H1353,0)-IFERROR(J1353,0)))</f>
        <v/>
      </c>
      <c r="L1353" s="8" t="n"/>
      <c r="M1353" s="11">
        <f>IF(B1353="","",MAX(0,K1353-L1353))</f>
        <v/>
      </c>
      <c r="N1353" s="11">
        <f>IF(B1353="","",IF(L1353&gt;=K1353,"Paid",IF(L1353&gt;0,"Partial","Unpaid")))</f>
        <v/>
      </c>
      <c r="O1353" s="5" t="n"/>
      <c r="P1353" s="8" t="n"/>
      <c r="Q1353" s="8" t="n"/>
      <c r="R1353" s="11">
        <f>IF(B1353="","",IFERROR(K1353,0)+IFERROR(P1353,0)-IFERROR(Q1353,0))</f>
        <v/>
      </c>
      <c r="S1353" s="5" t="n"/>
      <c r="T1353" s="5" t="n"/>
      <c r="U1353" s="11">
        <f>IF(B1353="","",TRIM(LOWER(C1353)&amp;"|"&amp;LOWER(D1353)))</f>
        <v/>
      </c>
    </row>
    <row r="1354">
      <c r="A1354" s="11">
        <f>IF(B1354="","",TEXT(ROW()-3,"""DC-""0000"))</f>
        <v/>
      </c>
      <c r="B1354" s="5" t="n"/>
      <c r="C1354" s="5" t="n"/>
      <c r="D1354" s="5" t="n"/>
      <c r="E1354" s="5" t="n"/>
      <c r="F1354" s="5" t="n"/>
      <c r="G1354" s="5" t="n"/>
      <c r="H1354" s="8" t="n"/>
      <c r="I1354" s="8" t="n"/>
      <c r="J1354" s="8" t="n"/>
      <c r="K1354" s="11">
        <f>IF(B1354="","",MAX(0,IFERROR(I1354,0)*IFERROR(H1354,0)-IFERROR(J1354,0)))</f>
        <v/>
      </c>
      <c r="L1354" s="8" t="n"/>
      <c r="M1354" s="11">
        <f>IF(B1354="","",MAX(0,K1354-L1354))</f>
        <v/>
      </c>
      <c r="N1354" s="11">
        <f>IF(B1354="","",IF(L1354&gt;=K1354,"Paid",IF(L1354&gt;0,"Partial","Unpaid")))</f>
        <v/>
      </c>
      <c r="O1354" s="5" t="n"/>
      <c r="P1354" s="8" t="n"/>
      <c r="Q1354" s="8" t="n"/>
      <c r="R1354" s="11">
        <f>IF(B1354="","",IFERROR(K1354,0)+IFERROR(P1354,0)-IFERROR(Q1354,0))</f>
        <v/>
      </c>
      <c r="S1354" s="5" t="n"/>
      <c r="T1354" s="5" t="n"/>
      <c r="U1354" s="11">
        <f>IF(B1354="","",TRIM(LOWER(C1354)&amp;"|"&amp;LOWER(D1354)))</f>
        <v/>
      </c>
    </row>
    <row r="1355">
      <c r="A1355" s="11">
        <f>IF(B1355="","",TEXT(ROW()-3,"""DC-""0000"))</f>
        <v/>
      </c>
      <c r="B1355" s="5" t="n"/>
      <c r="C1355" s="5" t="n"/>
      <c r="D1355" s="5" t="n"/>
      <c r="E1355" s="5" t="n"/>
      <c r="F1355" s="5" t="n"/>
      <c r="G1355" s="5" t="n"/>
      <c r="H1355" s="8" t="n"/>
      <c r="I1355" s="8" t="n"/>
      <c r="J1355" s="8" t="n"/>
      <c r="K1355" s="11">
        <f>IF(B1355="","",MAX(0,IFERROR(I1355,0)*IFERROR(H1355,0)-IFERROR(J1355,0)))</f>
        <v/>
      </c>
      <c r="L1355" s="8" t="n"/>
      <c r="M1355" s="11">
        <f>IF(B1355="","",MAX(0,K1355-L1355))</f>
        <v/>
      </c>
      <c r="N1355" s="11">
        <f>IF(B1355="","",IF(L1355&gt;=K1355,"Paid",IF(L1355&gt;0,"Partial","Unpaid")))</f>
        <v/>
      </c>
      <c r="O1355" s="5" t="n"/>
      <c r="P1355" s="8" t="n"/>
      <c r="Q1355" s="8" t="n"/>
      <c r="R1355" s="11">
        <f>IF(B1355="","",IFERROR(K1355,0)+IFERROR(P1355,0)-IFERROR(Q1355,0))</f>
        <v/>
      </c>
      <c r="S1355" s="5" t="n"/>
      <c r="T1355" s="5" t="n"/>
      <c r="U1355" s="11">
        <f>IF(B1355="","",TRIM(LOWER(C1355)&amp;"|"&amp;LOWER(D1355)))</f>
        <v/>
      </c>
    </row>
    <row r="1356">
      <c r="A1356" s="11">
        <f>IF(B1356="","",TEXT(ROW()-3,"""DC-""0000"))</f>
        <v/>
      </c>
      <c r="B1356" s="5" t="n"/>
      <c r="C1356" s="5" t="n"/>
      <c r="D1356" s="5" t="n"/>
      <c r="E1356" s="5" t="n"/>
      <c r="F1356" s="5" t="n"/>
      <c r="G1356" s="5" t="n"/>
      <c r="H1356" s="8" t="n"/>
      <c r="I1356" s="8" t="n"/>
      <c r="J1356" s="8" t="n"/>
      <c r="K1356" s="11">
        <f>IF(B1356="","",MAX(0,IFERROR(I1356,0)*IFERROR(H1356,0)-IFERROR(J1356,0)))</f>
        <v/>
      </c>
      <c r="L1356" s="8" t="n"/>
      <c r="M1356" s="11">
        <f>IF(B1356="","",MAX(0,K1356-L1356))</f>
        <v/>
      </c>
      <c r="N1356" s="11">
        <f>IF(B1356="","",IF(L1356&gt;=K1356,"Paid",IF(L1356&gt;0,"Partial","Unpaid")))</f>
        <v/>
      </c>
      <c r="O1356" s="5" t="n"/>
      <c r="P1356" s="8" t="n"/>
      <c r="Q1356" s="8" t="n"/>
      <c r="R1356" s="11">
        <f>IF(B1356="","",IFERROR(K1356,0)+IFERROR(P1356,0)-IFERROR(Q1356,0))</f>
        <v/>
      </c>
      <c r="S1356" s="5" t="n"/>
      <c r="T1356" s="5" t="n"/>
      <c r="U1356" s="11">
        <f>IF(B1356="","",TRIM(LOWER(C1356)&amp;"|"&amp;LOWER(D1356)))</f>
        <v/>
      </c>
    </row>
    <row r="1357">
      <c r="A1357" s="11">
        <f>IF(B1357="","",TEXT(ROW()-3,"""DC-""0000"))</f>
        <v/>
      </c>
      <c r="B1357" s="5" t="n"/>
      <c r="C1357" s="5" t="n"/>
      <c r="D1357" s="5" t="n"/>
      <c r="E1357" s="5" t="n"/>
      <c r="F1357" s="5" t="n"/>
      <c r="G1357" s="5" t="n"/>
      <c r="H1357" s="8" t="n"/>
      <c r="I1357" s="8" t="n"/>
      <c r="J1357" s="8" t="n"/>
      <c r="K1357" s="11">
        <f>IF(B1357="","",MAX(0,IFERROR(I1357,0)*IFERROR(H1357,0)-IFERROR(J1357,0)))</f>
        <v/>
      </c>
      <c r="L1357" s="8" t="n"/>
      <c r="M1357" s="11">
        <f>IF(B1357="","",MAX(0,K1357-L1357))</f>
        <v/>
      </c>
      <c r="N1357" s="11">
        <f>IF(B1357="","",IF(L1357&gt;=K1357,"Paid",IF(L1357&gt;0,"Partial","Unpaid")))</f>
        <v/>
      </c>
      <c r="O1357" s="5" t="n"/>
      <c r="P1357" s="8" t="n"/>
      <c r="Q1357" s="8" t="n"/>
      <c r="R1357" s="11">
        <f>IF(B1357="","",IFERROR(K1357,0)+IFERROR(P1357,0)-IFERROR(Q1357,0))</f>
        <v/>
      </c>
      <c r="S1357" s="5" t="n"/>
      <c r="T1357" s="5" t="n"/>
      <c r="U1357" s="11">
        <f>IF(B1357="","",TRIM(LOWER(C1357)&amp;"|"&amp;LOWER(D1357)))</f>
        <v/>
      </c>
    </row>
    <row r="1358">
      <c r="A1358" s="11">
        <f>IF(B1358="","",TEXT(ROW()-3,"""DC-""0000"))</f>
        <v/>
      </c>
      <c r="B1358" s="5" t="n"/>
      <c r="C1358" s="5" t="n"/>
      <c r="D1358" s="5" t="n"/>
      <c r="E1358" s="5" t="n"/>
      <c r="F1358" s="5" t="n"/>
      <c r="G1358" s="5" t="n"/>
      <c r="H1358" s="8" t="n"/>
      <c r="I1358" s="8" t="n"/>
      <c r="J1358" s="8" t="n"/>
      <c r="K1358" s="11">
        <f>IF(B1358="","",MAX(0,IFERROR(I1358,0)*IFERROR(H1358,0)-IFERROR(J1358,0)))</f>
        <v/>
      </c>
      <c r="L1358" s="8" t="n"/>
      <c r="M1358" s="11">
        <f>IF(B1358="","",MAX(0,K1358-L1358))</f>
        <v/>
      </c>
      <c r="N1358" s="11">
        <f>IF(B1358="","",IF(L1358&gt;=K1358,"Paid",IF(L1358&gt;0,"Partial","Unpaid")))</f>
        <v/>
      </c>
      <c r="O1358" s="5" t="n"/>
      <c r="P1358" s="8" t="n"/>
      <c r="Q1358" s="8" t="n"/>
      <c r="R1358" s="11">
        <f>IF(B1358="","",IFERROR(K1358,0)+IFERROR(P1358,0)-IFERROR(Q1358,0))</f>
        <v/>
      </c>
      <c r="S1358" s="5" t="n"/>
      <c r="T1358" s="5" t="n"/>
      <c r="U1358" s="11">
        <f>IF(B1358="","",TRIM(LOWER(C1358)&amp;"|"&amp;LOWER(D1358)))</f>
        <v/>
      </c>
    </row>
    <row r="1359">
      <c r="A1359" s="11">
        <f>IF(B1359="","",TEXT(ROW()-3,"""DC-""0000"))</f>
        <v/>
      </c>
      <c r="B1359" s="5" t="n"/>
      <c r="C1359" s="5" t="n"/>
      <c r="D1359" s="5" t="n"/>
      <c r="E1359" s="5" t="n"/>
      <c r="F1359" s="5" t="n"/>
      <c r="G1359" s="5" t="n"/>
      <c r="H1359" s="8" t="n"/>
      <c r="I1359" s="8" t="n"/>
      <c r="J1359" s="8" t="n"/>
      <c r="K1359" s="11">
        <f>IF(B1359="","",MAX(0,IFERROR(I1359,0)*IFERROR(H1359,0)-IFERROR(J1359,0)))</f>
        <v/>
      </c>
      <c r="L1359" s="8" t="n"/>
      <c r="M1359" s="11">
        <f>IF(B1359="","",MAX(0,K1359-L1359))</f>
        <v/>
      </c>
      <c r="N1359" s="11">
        <f>IF(B1359="","",IF(L1359&gt;=K1359,"Paid",IF(L1359&gt;0,"Partial","Unpaid")))</f>
        <v/>
      </c>
      <c r="O1359" s="5" t="n"/>
      <c r="P1359" s="8" t="n"/>
      <c r="Q1359" s="8" t="n"/>
      <c r="R1359" s="11">
        <f>IF(B1359="","",IFERROR(K1359,0)+IFERROR(P1359,0)-IFERROR(Q1359,0))</f>
        <v/>
      </c>
      <c r="S1359" s="5" t="n"/>
      <c r="T1359" s="5" t="n"/>
      <c r="U1359" s="11">
        <f>IF(B1359="","",TRIM(LOWER(C1359)&amp;"|"&amp;LOWER(D1359)))</f>
        <v/>
      </c>
    </row>
    <row r="1360">
      <c r="A1360" s="11">
        <f>IF(B1360="","",TEXT(ROW()-3,"""DC-""0000"))</f>
        <v/>
      </c>
      <c r="B1360" s="5" t="n"/>
      <c r="C1360" s="5" t="n"/>
      <c r="D1360" s="5" t="n"/>
      <c r="E1360" s="5" t="n"/>
      <c r="F1360" s="5" t="n"/>
      <c r="G1360" s="5" t="n"/>
      <c r="H1360" s="8" t="n"/>
      <c r="I1360" s="8" t="n"/>
      <c r="J1360" s="8" t="n"/>
      <c r="K1360" s="11">
        <f>IF(B1360="","",MAX(0,IFERROR(I1360,0)*IFERROR(H1360,0)-IFERROR(J1360,0)))</f>
        <v/>
      </c>
      <c r="L1360" s="8" t="n"/>
      <c r="M1360" s="11">
        <f>IF(B1360="","",MAX(0,K1360-L1360))</f>
        <v/>
      </c>
      <c r="N1360" s="11">
        <f>IF(B1360="","",IF(L1360&gt;=K1360,"Paid",IF(L1360&gt;0,"Partial","Unpaid")))</f>
        <v/>
      </c>
      <c r="O1360" s="5" t="n"/>
      <c r="P1360" s="8" t="n"/>
      <c r="Q1360" s="8" t="n"/>
      <c r="R1360" s="11">
        <f>IF(B1360="","",IFERROR(K1360,0)+IFERROR(P1360,0)-IFERROR(Q1360,0))</f>
        <v/>
      </c>
      <c r="S1360" s="5" t="n"/>
      <c r="T1360" s="5" t="n"/>
      <c r="U1360" s="11">
        <f>IF(B1360="","",TRIM(LOWER(C1360)&amp;"|"&amp;LOWER(D1360)))</f>
        <v/>
      </c>
    </row>
    <row r="1361">
      <c r="A1361" s="11">
        <f>IF(B1361="","",TEXT(ROW()-3,"""DC-""0000"))</f>
        <v/>
      </c>
      <c r="B1361" s="5" t="n"/>
      <c r="C1361" s="5" t="n"/>
      <c r="D1361" s="5" t="n"/>
      <c r="E1361" s="5" t="n"/>
      <c r="F1361" s="5" t="n"/>
      <c r="G1361" s="5" t="n"/>
      <c r="H1361" s="8" t="n"/>
      <c r="I1361" s="8" t="n"/>
      <c r="J1361" s="8" t="n"/>
      <c r="K1361" s="11">
        <f>IF(B1361="","",MAX(0,IFERROR(I1361,0)*IFERROR(H1361,0)-IFERROR(J1361,0)))</f>
        <v/>
      </c>
      <c r="L1361" s="8" t="n"/>
      <c r="M1361" s="11">
        <f>IF(B1361="","",MAX(0,K1361-L1361))</f>
        <v/>
      </c>
      <c r="N1361" s="11">
        <f>IF(B1361="","",IF(L1361&gt;=K1361,"Paid",IF(L1361&gt;0,"Partial","Unpaid")))</f>
        <v/>
      </c>
      <c r="O1361" s="5" t="n"/>
      <c r="P1361" s="8" t="n"/>
      <c r="Q1361" s="8" t="n"/>
      <c r="R1361" s="11">
        <f>IF(B1361="","",IFERROR(K1361,0)+IFERROR(P1361,0)-IFERROR(Q1361,0))</f>
        <v/>
      </c>
      <c r="S1361" s="5" t="n"/>
      <c r="T1361" s="5" t="n"/>
      <c r="U1361" s="11">
        <f>IF(B1361="","",TRIM(LOWER(C1361)&amp;"|"&amp;LOWER(D1361)))</f>
        <v/>
      </c>
    </row>
    <row r="1362">
      <c r="A1362" s="11">
        <f>IF(B1362="","",TEXT(ROW()-3,"""DC-""0000"))</f>
        <v/>
      </c>
      <c r="B1362" s="5" t="n"/>
      <c r="C1362" s="5" t="n"/>
      <c r="D1362" s="5" t="n"/>
      <c r="E1362" s="5" t="n"/>
      <c r="F1362" s="5" t="n"/>
      <c r="G1362" s="5" t="n"/>
      <c r="H1362" s="8" t="n"/>
      <c r="I1362" s="8" t="n"/>
      <c r="J1362" s="8" t="n"/>
      <c r="K1362" s="11">
        <f>IF(B1362="","",MAX(0,IFERROR(I1362,0)*IFERROR(H1362,0)-IFERROR(J1362,0)))</f>
        <v/>
      </c>
      <c r="L1362" s="8" t="n"/>
      <c r="M1362" s="11">
        <f>IF(B1362="","",MAX(0,K1362-L1362))</f>
        <v/>
      </c>
      <c r="N1362" s="11">
        <f>IF(B1362="","",IF(L1362&gt;=K1362,"Paid",IF(L1362&gt;0,"Partial","Unpaid")))</f>
        <v/>
      </c>
      <c r="O1362" s="5" t="n"/>
      <c r="P1362" s="8" t="n"/>
      <c r="Q1362" s="8" t="n"/>
      <c r="R1362" s="11">
        <f>IF(B1362="","",IFERROR(K1362,0)+IFERROR(P1362,0)-IFERROR(Q1362,0))</f>
        <v/>
      </c>
      <c r="S1362" s="5" t="n"/>
      <c r="T1362" s="5" t="n"/>
      <c r="U1362" s="11">
        <f>IF(B1362="","",TRIM(LOWER(C1362)&amp;"|"&amp;LOWER(D1362)))</f>
        <v/>
      </c>
    </row>
    <row r="1363">
      <c r="A1363" s="11">
        <f>IF(B1363="","",TEXT(ROW()-3,"""DC-""0000"))</f>
        <v/>
      </c>
      <c r="B1363" s="5" t="n"/>
      <c r="C1363" s="5" t="n"/>
      <c r="D1363" s="5" t="n"/>
      <c r="E1363" s="5" t="n"/>
      <c r="F1363" s="5" t="n"/>
      <c r="G1363" s="5" t="n"/>
      <c r="H1363" s="8" t="n"/>
      <c r="I1363" s="8" t="n"/>
      <c r="J1363" s="8" t="n"/>
      <c r="K1363" s="11">
        <f>IF(B1363="","",MAX(0,IFERROR(I1363,0)*IFERROR(H1363,0)-IFERROR(J1363,0)))</f>
        <v/>
      </c>
      <c r="L1363" s="8" t="n"/>
      <c r="M1363" s="11">
        <f>IF(B1363="","",MAX(0,K1363-L1363))</f>
        <v/>
      </c>
      <c r="N1363" s="11">
        <f>IF(B1363="","",IF(L1363&gt;=K1363,"Paid",IF(L1363&gt;0,"Partial","Unpaid")))</f>
        <v/>
      </c>
      <c r="O1363" s="5" t="n"/>
      <c r="P1363" s="8" t="n"/>
      <c r="Q1363" s="8" t="n"/>
      <c r="R1363" s="11">
        <f>IF(B1363="","",IFERROR(K1363,0)+IFERROR(P1363,0)-IFERROR(Q1363,0))</f>
        <v/>
      </c>
      <c r="S1363" s="5" t="n"/>
      <c r="T1363" s="5" t="n"/>
      <c r="U1363" s="11">
        <f>IF(B1363="","",TRIM(LOWER(C1363)&amp;"|"&amp;LOWER(D1363)))</f>
        <v/>
      </c>
    </row>
    <row r="1364">
      <c r="A1364" s="11">
        <f>IF(B1364="","",TEXT(ROW()-3,"""DC-""0000"))</f>
        <v/>
      </c>
      <c r="B1364" s="5" t="n"/>
      <c r="C1364" s="5" t="n"/>
      <c r="D1364" s="5" t="n"/>
      <c r="E1364" s="5" t="n"/>
      <c r="F1364" s="5" t="n"/>
      <c r="G1364" s="5" t="n"/>
      <c r="H1364" s="8" t="n"/>
      <c r="I1364" s="8" t="n"/>
      <c r="J1364" s="8" t="n"/>
      <c r="K1364" s="11">
        <f>IF(B1364="","",MAX(0,IFERROR(I1364,0)*IFERROR(H1364,0)-IFERROR(J1364,0)))</f>
        <v/>
      </c>
      <c r="L1364" s="8" t="n"/>
      <c r="M1364" s="11">
        <f>IF(B1364="","",MAX(0,K1364-L1364))</f>
        <v/>
      </c>
      <c r="N1364" s="11">
        <f>IF(B1364="","",IF(L1364&gt;=K1364,"Paid",IF(L1364&gt;0,"Partial","Unpaid")))</f>
        <v/>
      </c>
      <c r="O1364" s="5" t="n"/>
      <c r="P1364" s="8" t="n"/>
      <c r="Q1364" s="8" t="n"/>
      <c r="R1364" s="11">
        <f>IF(B1364="","",IFERROR(K1364,0)+IFERROR(P1364,0)-IFERROR(Q1364,0))</f>
        <v/>
      </c>
      <c r="S1364" s="5" t="n"/>
      <c r="T1364" s="5" t="n"/>
      <c r="U1364" s="11">
        <f>IF(B1364="","",TRIM(LOWER(C1364)&amp;"|"&amp;LOWER(D1364)))</f>
        <v/>
      </c>
    </row>
    <row r="1365">
      <c r="A1365" s="11">
        <f>IF(B1365="","",TEXT(ROW()-3,"""DC-""0000"))</f>
        <v/>
      </c>
      <c r="B1365" s="5" t="n"/>
      <c r="C1365" s="5" t="n"/>
      <c r="D1365" s="5" t="n"/>
      <c r="E1365" s="5" t="n"/>
      <c r="F1365" s="5" t="n"/>
      <c r="G1365" s="5" t="n"/>
      <c r="H1365" s="8" t="n"/>
      <c r="I1365" s="8" t="n"/>
      <c r="J1365" s="8" t="n"/>
      <c r="K1365" s="11">
        <f>IF(B1365="","",MAX(0,IFERROR(I1365,0)*IFERROR(H1365,0)-IFERROR(J1365,0)))</f>
        <v/>
      </c>
      <c r="L1365" s="8" t="n"/>
      <c r="M1365" s="11">
        <f>IF(B1365="","",MAX(0,K1365-L1365))</f>
        <v/>
      </c>
      <c r="N1365" s="11">
        <f>IF(B1365="","",IF(L1365&gt;=K1365,"Paid",IF(L1365&gt;0,"Partial","Unpaid")))</f>
        <v/>
      </c>
      <c r="O1365" s="5" t="n"/>
      <c r="P1365" s="8" t="n"/>
      <c r="Q1365" s="8" t="n"/>
      <c r="R1365" s="11">
        <f>IF(B1365="","",IFERROR(K1365,0)+IFERROR(P1365,0)-IFERROR(Q1365,0))</f>
        <v/>
      </c>
      <c r="S1365" s="5" t="n"/>
      <c r="T1365" s="5" t="n"/>
      <c r="U1365" s="11">
        <f>IF(B1365="","",TRIM(LOWER(C1365)&amp;"|"&amp;LOWER(D1365)))</f>
        <v/>
      </c>
    </row>
    <row r="1366">
      <c r="A1366" s="11">
        <f>IF(B1366="","",TEXT(ROW()-3,"""DC-""0000"))</f>
        <v/>
      </c>
      <c r="B1366" s="5" t="n"/>
      <c r="C1366" s="5" t="n"/>
      <c r="D1366" s="5" t="n"/>
      <c r="E1366" s="5" t="n"/>
      <c r="F1366" s="5" t="n"/>
      <c r="G1366" s="5" t="n"/>
      <c r="H1366" s="8" t="n"/>
      <c r="I1366" s="8" t="n"/>
      <c r="J1366" s="8" t="n"/>
      <c r="K1366" s="11">
        <f>IF(B1366="","",MAX(0,IFERROR(I1366,0)*IFERROR(H1366,0)-IFERROR(J1366,0)))</f>
        <v/>
      </c>
      <c r="L1366" s="8" t="n"/>
      <c r="M1366" s="11">
        <f>IF(B1366="","",MAX(0,K1366-L1366))</f>
        <v/>
      </c>
      <c r="N1366" s="11">
        <f>IF(B1366="","",IF(L1366&gt;=K1366,"Paid",IF(L1366&gt;0,"Partial","Unpaid")))</f>
        <v/>
      </c>
      <c r="O1366" s="5" t="n"/>
      <c r="P1366" s="8" t="n"/>
      <c r="Q1366" s="8" t="n"/>
      <c r="R1366" s="11">
        <f>IF(B1366="","",IFERROR(K1366,0)+IFERROR(P1366,0)-IFERROR(Q1366,0))</f>
        <v/>
      </c>
      <c r="S1366" s="5" t="n"/>
      <c r="T1366" s="5" t="n"/>
      <c r="U1366" s="11">
        <f>IF(B1366="","",TRIM(LOWER(C1366)&amp;"|"&amp;LOWER(D1366)))</f>
        <v/>
      </c>
    </row>
    <row r="1367">
      <c r="A1367" s="11">
        <f>IF(B1367="","",TEXT(ROW()-3,"""DC-""0000"))</f>
        <v/>
      </c>
      <c r="B1367" s="5" t="n"/>
      <c r="C1367" s="5" t="n"/>
      <c r="D1367" s="5" t="n"/>
      <c r="E1367" s="5" t="n"/>
      <c r="F1367" s="5" t="n"/>
      <c r="G1367" s="5" t="n"/>
      <c r="H1367" s="8" t="n"/>
      <c r="I1367" s="8" t="n"/>
      <c r="J1367" s="8" t="n"/>
      <c r="K1367" s="11">
        <f>IF(B1367="","",MAX(0,IFERROR(I1367,0)*IFERROR(H1367,0)-IFERROR(J1367,0)))</f>
        <v/>
      </c>
      <c r="L1367" s="8" t="n"/>
      <c r="M1367" s="11">
        <f>IF(B1367="","",MAX(0,K1367-L1367))</f>
        <v/>
      </c>
      <c r="N1367" s="11">
        <f>IF(B1367="","",IF(L1367&gt;=K1367,"Paid",IF(L1367&gt;0,"Partial","Unpaid")))</f>
        <v/>
      </c>
      <c r="O1367" s="5" t="n"/>
      <c r="P1367" s="8" t="n"/>
      <c r="Q1367" s="8" t="n"/>
      <c r="R1367" s="11">
        <f>IF(B1367="","",IFERROR(K1367,0)+IFERROR(P1367,0)-IFERROR(Q1367,0))</f>
        <v/>
      </c>
      <c r="S1367" s="5" t="n"/>
      <c r="T1367" s="5" t="n"/>
      <c r="U1367" s="11">
        <f>IF(B1367="","",TRIM(LOWER(C1367)&amp;"|"&amp;LOWER(D1367)))</f>
        <v/>
      </c>
    </row>
    <row r="1368">
      <c r="A1368" s="11">
        <f>IF(B1368="","",TEXT(ROW()-3,"""DC-""0000"))</f>
        <v/>
      </c>
      <c r="B1368" s="5" t="n"/>
      <c r="C1368" s="5" t="n"/>
      <c r="D1368" s="5" t="n"/>
      <c r="E1368" s="5" t="n"/>
      <c r="F1368" s="5" t="n"/>
      <c r="G1368" s="5" t="n"/>
      <c r="H1368" s="8" t="n"/>
      <c r="I1368" s="8" t="n"/>
      <c r="J1368" s="8" t="n"/>
      <c r="K1368" s="11">
        <f>IF(B1368="","",MAX(0,IFERROR(I1368,0)*IFERROR(H1368,0)-IFERROR(J1368,0)))</f>
        <v/>
      </c>
      <c r="L1368" s="8" t="n"/>
      <c r="M1368" s="11">
        <f>IF(B1368="","",MAX(0,K1368-L1368))</f>
        <v/>
      </c>
      <c r="N1368" s="11">
        <f>IF(B1368="","",IF(L1368&gt;=K1368,"Paid",IF(L1368&gt;0,"Partial","Unpaid")))</f>
        <v/>
      </c>
      <c r="O1368" s="5" t="n"/>
      <c r="P1368" s="8" t="n"/>
      <c r="Q1368" s="8" t="n"/>
      <c r="R1368" s="11">
        <f>IF(B1368="","",IFERROR(K1368,0)+IFERROR(P1368,0)-IFERROR(Q1368,0))</f>
        <v/>
      </c>
      <c r="S1368" s="5" t="n"/>
      <c r="T1368" s="5" t="n"/>
      <c r="U1368" s="11">
        <f>IF(B1368="","",TRIM(LOWER(C1368)&amp;"|"&amp;LOWER(D1368)))</f>
        <v/>
      </c>
    </row>
    <row r="1369">
      <c r="A1369" s="11">
        <f>IF(B1369="","",TEXT(ROW()-3,"""DC-""0000"))</f>
        <v/>
      </c>
      <c r="B1369" s="5" t="n"/>
      <c r="C1369" s="5" t="n"/>
      <c r="D1369" s="5" t="n"/>
      <c r="E1369" s="5" t="n"/>
      <c r="F1369" s="5" t="n"/>
      <c r="G1369" s="5" t="n"/>
      <c r="H1369" s="8" t="n"/>
      <c r="I1369" s="8" t="n"/>
      <c r="J1369" s="8" t="n"/>
      <c r="K1369" s="11">
        <f>IF(B1369="","",MAX(0,IFERROR(I1369,0)*IFERROR(H1369,0)-IFERROR(J1369,0)))</f>
        <v/>
      </c>
      <c r="L1369" s="8" t="n"/>
      <c r="M1369" s="11">
        <f>IF(B1369="","",MAX(0,K1369-L1369))</f>
        <v/>
      </c>
      <c r="N1369" s="11">
        <f>IF(B1369="","",IF(L1369&gt;=K1369,"Paid",IF(L1369&gt;0,"Partial","Unpaid")))</f>
        <v/>
      </c>
      <c r="O1369" s="5" t="n"/>
      <c r="P1369" s="8" t="n"/>
      <c r="Q1369" s="8" t="n"/>
      <c r="R1369" s="11">
        <f>IF(B1369="","",IFERROR(K1369,0)+IFERROR(P1369,0)-IFERROR(Q1369,0))</f>
        <v/>
      </c>
      <c r="S1369" s="5" t="n"/>
      <c r="T1369" s="5" t="n"/>
      <c r="U1369" s="11">
        <f>IF(B1369="","",TRIM(LOWER(C1369)&amp;"|"&amp;LOWER(D1369)))</f>
        <v/>
      </c>
    </row>
    <row r="1370">
      <c r="A1370" s="11">
        <f>IF(B1370="","",TEXT(ROW()-3,"""DC-""0000"))</f>
        <v/>
      </c>
      <c r="B1370" s="5" t="n"/>
      <c r="C1370" s="5" t="n"/>
      <c r="D1370" s="5" t="n"/>
      <c r="E1370" s="5" t="n"/>
      <c r="F1370" s="5" t="n"/>
      <c r="G1370" s="5" t="n"/>
      <c r="H1370" s="8" t="n"/>
      <c r="I1370" s="8" t="n"/>
      <c r="J1370" s="8" t="n"/>
      <c r="K1370" s="11">
        <f>IF(B1370="","",MAX(0,IFERROR(I1370,0)*IFERROR(H1370,0)-IFERROR(J1370,0)))</f>
        <v/>
      </c>
      <c r="L1370" s="8" t="n"/>
      <c r="M1370" s="11">
        <f>IF(B1370="","",MAX(0,K1370-L1370))</f>
        <v/>
      </c>
      <c r="N1370" s="11">
        <f>IF(B1370="","",IF(L1370&gt;=K1370,"Paid",IF(L1370&gt;0,"Partial","Unpaid")))</f>
        <v/>
      </c>
      <c r="O1370" s="5" t="n"/>
      <c r="P1370" s="8" t="n"/>
      <c r="Q1370" s="8" t="n"/>
      <c r="R1370" s="11">
        <f>IF(B1370="","",IFERROR(K1370,0)+IFERROR(P1370,0)-IFERROR(Q1370,0))</f>
        <v/>
      </c>
      <c r="S1370" s="5" t="n"/>
      <c r="T1370" s="5" t="n"/>
      <c r="U1370" s="11">
        <f>IF(B1370="","",TRIM(LOWER(C1370)&amp;"|"&amp;LOWER(D1370)))</f>
        <v/>
      </c>
    </row>
    <row r="1371">
      <c r="A1371" s="11">
        <f>IF(B1371="","",TEXT(ROW()-3,"""DC-""0000"))</f>
        <v/>
      </c>
      <c r="B1371" s="5" t="n"/>
      <c r="C1371" s="5" t="n"/>
      <c r="D1371" s="5" t="n"/>
      <c r="E1371" s="5" t="n"/>
      <c r="F1371" s="5" t="n"/>
      <c r="G1371" s="5" t="n"/>
      <c r="H1371" s="8" t="n"/>
      <c r="I1371" s="8" t="n"/>
      <c r="J1371" s="8" t="n"/>
      <c r="K1371" s="11">
        <f>IF(B1371="","",MAX(0,IFERROR(I1371,0)*IFERROR(H1371,0)-IFERROR(J1371,0)))</f>
        <v/>
      </c>
      <c r="L1371" s="8" t="n"/>
      <c r="M1371" s="11">
        <f>IF(B1371="","",MAX(0,K1371-L1371))</f>
        <v/>
      </c>
      <c r="N1371" s="11">
        <f>IF(B1371="","",IF(L1371&gt;=K1371,"Paid",IF(L1371&gt;0,"Partial","Unpaid")))</f>
        <v/>
      </c>
      <c r="O1371" s="5" t="n"/>
      <c r="P1371" s="8" t="n"/>
      <c r="Q1371" s="8" t="n"/>
      <c r="R1371" s="11">
        <f>IF(B1371="","",IFERROR(K1371,0)+IFERROR(P1371,0)-IFERROR(Q1371,0))</f>
        <v/>
      </c>
      <c r="S1371" s="5" t="n"/>
      <c r="T1371" s="5" t="n"/>
      <c r="U1371" s="11">
        <f>IF(B1371="","",TRIM(LOWER(C1371)&amp;"|"&amp;LOWER(D1371)))</f>
        <v/>
      </c>
    </row>
    <row r="1372">
      <c r="A1372" s="11">
        <f>IF(B1372="","",TEXT(ROW()-3,"""DC-""0000"))</f>
        <v/>
      </c>
      <c r="B1372" s="5" t="n"/>
      <c r="C1372" s="5" t="n"/>
      <c r="D1372" s="5" t="n"/>
      <c r="E1372" s="5" t="n"/>
      <c r="F1372" s="5" t="n"/>
      <c r="G1372" s="5" t="n"/>
      <c r="H1372" s="8" t="n"/>
      <c r="I1372" s="8" t="n"/>
      <c r="J1372" s="8" t="n"/>
      <c r="K1372" s="11">
        <f>IF(B1372="","",MAX(0,IFERROR(I1372,0)*IFERROR(H1372,0)-IFERROR(J1372,0)))</f>
        <v/>
      </c>
      <c r="L1372" s="8" t="n"/>
      <c r="M1372" s="11">
        <f>IF(B1372="","",MAX(0,K1372-L1372))</f>
        <v/>
      </c>
      <c r="N1372" s="11">
        <f>IF(B1372="","",IF(L1372&gt;=K1372,"Paid",IF(L1372&gt;0,"Partial","Unpaid")))</f>
        <v/>
      </c>
      <c r="O1372" s="5" t="n"/>
      <c r="P1372" s="8" t="n"/>
      <c r="Q1372" s="8" t="n"/>
      <c r="R1372" s="11">
        <f>IF(B1372="","",IFERROR(K1372,0)+IFERROR(P1372,0)-IFERROR(Q1372,0))</f>
        <v/>
      </c>
      <c r="S1372" s="5" t="n"/>
      <c r="T1372" s="5" t="n"/>
      <c r="U1372" s="11">
        <f>IF(B1372="","",TRIM(LOWER(C1372)&amp;"|"&amp;LOWER(D1372)))</f>
        <v/>
      </c>
    </row>
    <row r="1373">
      <c r="A1373" s="11">
        <f>IF(B1373="","",TEXT(ROW()-3,"""DC-""0000"))</f>
        <v/>
      </c>
      <c r="B1373" s="5" t="n"/>
      <c r="C1373" s="5" t="n"/>
      <c r="D1373" s="5" t="n"/>
      <c r="E1373" s="5" t="n"/>
      <c r="F1373" s="5" t="n"/>
      <c r="G1373" s="5" t="n"/>
      <c r="H1373" s="8" t="n"/>
      <c r="I1373" s="8" t="n"/>
      <c r="J1373" s="8" t="n"/>
      <c r="K1373" s="11">
        <f>IF(B1373="","",MAX(0,IFERROR(I1373,0)*IFERROR(H1373,0)-IFERROR(J1373,0)))</f>
        <v/>
      </c>
      <c r="L1373" s="8" t="n"/>
      <c r="M1373" s="11">
        <f>IF(B1373="","",MAX(0,K1373-L1373))</f>
        <v/>
      </c>
      <c r="N1373" s="11">
        <f>IF(B1373="","",IF(L1373&gt;=K1373,"Paid",IF(L1373&gt;0,"Partial","Unpaid")))</f>
        <v/>
      </c>
      <c r="O1373" s="5" t="n"/>
      <c r="P1373" s="8" t="n"/>
      <c r="Q1373" s="8" t="n"/>
      <c r="R1373" s="11">
        <f>IF(B1373="","",IFERROR(K1373,0)+IFERROR(P1373,0)-IFERROR(Q1373,0))</f>
        <v/>
      </c>
      <c r="S1373" s="5" t="n"/>
      <c r="T1373" s="5" t="n"/>
      <c r="U1373" s="11">
        <f>IF(B1373="","",TRIM(LOWER(C1373)&amp;"|"&amp;LOWER(D1373)))</f>
        <v/>
      </c>
    </row>
    <row r="1374">
      <c r="A1374" s="11">
        <f>IF(B1374="","",TEXT(ROW()-3,"""DC-""0000"))</f>
        <v/>
      </c>
      <c r="B1374" s="5" t="n"/>
      <c r="C1374" s="5" t="n"/>
      <c r="D1374" s="5" t="n"/>
      <c r="E1374" s="5" t="n"/>
      <c r="F1374" s="5" t="n"/>
      <c r="G1374" s="5" t="n"/>
      <c r="H1374" s="8" t="n"/>
      <c r="I1374" s="8" t="n"/>
      <c r="J1374" s="8" t="n"/>
      <c r="K1374" s="11">
        <f>IF(B1374="","",MAX(0,IFERROR(I1374,0)*IFERROR(H1374,0)-IFERROR(J1374,0)))</f>
        <v/>
      </c>
      <c r="L1374" s="8" t="n"/>
      <c r="M1374" s="11">
        <f>IF(B1374="","",MAX(0,K1374-L1374))</f>
        <v/>
      </c>
      <c r="N1374" s="11">
        <f>IF(B1374="","",IF(L1374&gt;=K1374,"Paid",IF(L1374&gt;0,"Partial","Unpaid")))</f>
        <v/>
      </c>
      <c r="O1374" s="5" t="n"/>
      <c r="P1374" s="8" t="n"/>
      <c r="Q1374" s="8" t="n"/>
      <c r="R1374" s="11">
        <f>IF(B1374="","",IFERROR(K1374,0)+IFERROR(P1374,0)-IFERROR(Q1374,0))</f>
        <v/>
      </c>
      <c r="S1374" s="5" t="n"/>
      <c r="T1374" s="5" t="n"/>
      <c r="U1374" s="11">
        <f>IF(B1374="","",TRIM(LOWER(C1374)&amp;"|"&amp;LOWER(D1374)))</f>
        <v/>
      </c>
    </row>
    <row r="1375">
      <c r="A1375" s="11">
        <f>IF(B1375="","",TEXT(ROW()-3,"""DC-""0000"))</f>
        <v/>
      </c>
      <c r="B1375" s="5" t="n"/>
      <c r="C1375" s="5" t="n"/>
      <c r="D1375" s="5" t="n"/>
      <c r="E1375" s="5" t="n"/>
      <c r="F1375" s="5" t="n"/>
      <c r="G1375" s="5" t="n"/>
      <c r="H1375" s="8" t="n"/>
      <c r="I1375" s="8" t="n"/>
      <c r="J1375" s="8" t="n"/>
      <c r="K1375" s="11">
        <f>IF(B1375="","",MAX(0,IFERROR(I1375,0)*IFERROR(H1375,0)-IFERROR(J1375,0)))</f>
        <v/>
      </c>
      <c r="L1375" s="8" t="n"/>
      <c r="M1375" s="11">
        <f>IF(B1375="","",MAX(0,K1375-L1375))</f>
        <v/>
      </c>
      <c r="N1375" s="11">
        <f>IF(B1375="","",IF(L1375&gt;=K1375,"Paid",IF(L1375&gt;0,"Partial","Unpaid")))</f>
        <v/>
      </c>
      <c r="O1375" s="5" t="n"/>
      <c r="P1375" s="8" t="n"/>
      <c r="Q1375" s="8" t="n"/>
      <c r="R1375" s="11">
        <f>IF(B1375="","",IFERROR(K1375,0)+IFERROR(P1375,0)-IFERROR(Q1375,0))</f>
        <v/>
      </c>
      <c r="S1375" s="5" t="n"/>
      <c r="T1375" s="5" t="n"/>
      <c r="U1375" s="11">
        <f>IF(B1375="","",TRIM(LOWER(C1375)&amp;"|"&amp;LOWER(D1375)))</f>
        <v/>
      </c>
    </row>
    <row r="1376">
      <c r="A1376" s="11">
        <f>IF(B1376="","",TEXT(ROW()-3,"""DC-""0000"))</f>
        <v/>
      </c>
      <c r="B1376" s="5" t="n"/>
      <c r="C1376" s="5" t="n"/>
      <c r="D1376" s="5" t="n"/>
      <c r="E1376" s="5" t="n"/>
      <c r="F1376" s="5" t="n"/>
      <c r="G1376" s="5" t="n"/>
      <c r="H1376" s="8" t="n"/>
      <c r="I1376" s="8" t="n"/>
      <c r="J1376" s="8" t="n"/>
      <c r="K1376" s="11">
        <f>IF(B1376="","",MAX(0,IFERROR(I1376,0)*IFERROR(H1376,0)-IFERROR(J1376,0)))</f>
        <v/>
      </c>
      <c r="L1376" s="8" t="n"/>
      <c r="M1376" s="11">
        <f>IF(B1376="","",MAX(0,K1376-L1376))</f>
        <v/>
      </c>
      <c r="N1376" s="11">
        <f>IF(B1376="","",IF(L1376&gt;=K1376,"Paid",IF(L1376&gt;0,"Partial","Unpaid")))</f>
        <v/>
      </c>
      <c r="O1376" s="5" t="n"/>
      <c r="P1376" s="8" t="n"/>
      <c r="Q1376" s="8" t="n"/>
      <c r="R1376" s="11">
        <f>IF(B1376="","",IFERROR(K1376,0)+IFERROR(P1376,0)-IFERROR(Q1376,0))</f>
        <v/>
      </c>
      <c r="S1376" s="5" t="n"/>
      <c r="T1376" s="5" t="n"/>
      <c r="U1376" s="11">
        <f>IF(B1376="","",TRIM(LOWER(C1376)&amp;"|"&amp;LOWER(D1376)))</f>
        <v/>
      </c>
    </row>
    <row r="1377">
      <c r="A1377" s="11">
        <f>IF(B1377="","",TEXT(ROW()-3,"""DC-""0000"))</f>
        <v/>
      </c>
      <c r="B1377" s="5" t="n"/>
      <c r="C1377" s="5" t="n"/>
      <c r="D1377" s="5" t="n"/>
      <c r="E1377" s="5" t="n"/>
      <c r="F1377" s="5" t="n"/>
      <c r="G1377" s="5" t="n"/>
      <c r="H1377" s="8" t="n"/>
      <c r="I1377" s="8" t="n"/>
      <c r="J1377" s="8" t="n"/>
      <c r="K1377" s="11">
        <f>IF(B1377="","",MAX(0,IFERROR(I1377,0)*IFERROR(H1377,0)-IFERROR(J1377,0)))</f>
        <v/>
      </c>
      <c r="L1377" s="8" t="n"/>
      <c r="M1377" s="11">
        <f>IF(B1377="","",MAX(0,K1377-L1377))</f>
        <v/>
      </c>
      <c r="N1377" s="11">
        <f>IF(B1377="","",IF(L1377&gt;=K1377,"Paid",IF(L1377&gt;0,"Partial","Unpaid")))</f>
        <v/>
      </c>
      <c r="O1377" s="5" t="n"/>
      <c r="P1377" s="8" t="n"/>
      <c r="Q1377" s="8" t="n"/>
      <c r="R1377" s="11">
        <f>IF(B1377="","",IFERROR(K1377,0)+IFERROR(P1377,0)-IFERROR(Q1377,0))</f>
        <v/>
      </c>
      <c r="S1377" s="5" t="n"/>
      <c r="T1377" s="5" t="n"/>
      <c r="U1377" s="11">
        <f>IF(B1377="","",TRIM(LOWER(C1377)&amp;"|"&amp;LOWER(D1377)))</f>
        <v/>
      </c>
    </row>
    <row r="1378">
      <c r="A1378" s="11">
        <f>IF(B1378="","",TEXT(ROW()-3,"""DC-""0000"))</f>
        <v/>
      </c>
      <c r="B1378" s="5" t="n"/>
      <c r="C1378" s="5" t="n"/>
      <c r="D1378" s="5" t="n"/>
      <c r="E1378" s="5" t="n"/>
      <c r="F1378" s="5" t="n"/>
      <c r="G1378" s="5" t="n"/>
      <c r="H1378" s="8" t="n"/>
      <c r="I1378" s="8" t="n"/>
      <c r="J1378" s="8" t="n"/>
      <c r="K1378" s="11">
        <f>IF(B1378="","",MAX(0,IFERROR(I1378,0)*IFERROR(H1378,0)-IFERROR(J1378,0)))</f>
        <v/>
      </c>
      <c r="L1378" s="8" t="n"/>
      <c r="M1378" s="11">
        <f>IF(B1378="","",MAX(0,K1378-L1378))</f>
        <v/>
      </c>
      <c r="N1378" s="11">
        <f>IF(B1378="","",IF(L1378&gt;=K1378,"Paid",IF(L1378&gt;0,"Partial","Unpaid")))</f>
        <v/>
      </c>
      <c r="O1378" s="5" t="n"/>
      <c r="P1378" s="8" t="n"/>
      <c r="Q1378" s="8" t="n"/>
      <c r="R1378" s="11">
        <f>IF(B1378="","",IFERROR(K1378,0)+IFERROR(P1378,0)-IFERROR(Q1378,0))</f>
        <v/>
      </c>
      <c r="S1378" s="5" t="n"/>
      <c r="T1378" s="5" t="n"/>
      <c r="U1378" s="11">
        <f>IF(B1378="","",TRIM(LOWER(C1378)&amp;"|"&amp;LOWER(D1378)))</f>
        <v/>
      </c>
    </row>
    <row r="1379">
      <c r="A1379" s="11">
        <f>IF(B1379="","",TEXT(ROW()-3,"""DC-""0000"))</f>
        <v/>
      </c>
      <c r="B1379" s="5" t="n"/>
      <c r="C1379" s="5" t="n"/>
      <c r="D1379" s="5" t="n"/>
      <c r="E1379" s="5" t="n"/>
      <c r="F1379" s="5" t="n"/>
      <c r="G1379" s="5" t="n"/>
      <c r="H1379" s="8" t="n"/>
      <c r="I1379" s="8" t="n"/>
      <c r="J1379" s="8" t="n"/>
      <c r="K1379" s="11">
        <f>IF(B1379="","",MAX(0,IFERROR(I1379,0)*IFERROR(H1379,0)-IFERROR(J1379,0)))</f>
        <v/>
      </c>
      <c r="L1379" s="8" t="n"/>
      <c r="M1379" s="11">
        <f>IF(B1379="","",MAX(0,K1379-L1379))</f>
        <v/>
      </c>
      <c r="N1379" s="11">
        <f>IF(B1379="","",IF(L1379&gt;=K1379,"Paid",IF(L1379&gt;0,"Partial","Unpaid")))</f>
        <v/>
      </c>
      <c r="O1379" s="5" t="n"/>
      <c r="P1379" s="8" t="n"/>
      <c r="Q1379" s="8" t="n"/>
      <c r="R1379" s="11">
        <f>IF(B1379="","",IFERROR(K1379,0)+IFERROR(P1379,0)-IFERROR(Q1379,0))</f>
        <v/>
      </c>
      <c r="S1379" s="5" t="n"/>
      <c r="T1379" s="5" t="n"/>
      <c r="U1379" s="11">
        <f>IF(B1379="","",TRIM(LOWER(C1379)&amp;"|"&amp;LOWER(D1379)))</f>
        <v/>
      </c>
    </row>
    <row r="1380">
      <c r="A1380" s="11">
        <f>IF(B1380="","",TEXT(ROW()-3,"""DC-""0000"))</f>
        <v/>
      </c>
      <c r="B1380" s="5" t="n"/>
      <c r="C1380" s="5" t="n"/>
      <c r="D1380" s="5" t="n"/>
      <c r="E1380" s="5" t="n"/>
      <c r="F1380" s="5" t="n"/>
      <c r="G1380" s="5" t="n"/>
      <c r="H1380" s="8" t="n"/>
      <c r="I1380" s="8" t="n"/>
      <c r="J1380" s="8" t="n"/>
      <c r="K1380" s="11">
        <f>IF(B1380="","",MAX(0,IFERROR(I1380,0)*IFERROR(H1380,0)-IFERROR(J1380,0)))</f>
        <v/>
      </c>
      <c r="L1380" s="8" t="n"/>
      <c r="M1380" s="11">
        <f>IF(B1380="","",MAX(0,K1380-L1380))</f>
        <v/>
      </c>
      <c r="N1380" s="11">
        <f>IF(B1380="","",IF(L1380&gt;=K1380,"Paid",IF(L1380&gt;0,"Partial","Unpaid")))</f>
        <v/>
      </c>
      <c r="O1380" s="5" t="n"/>
      <c r="P1380" s="8" t="n"/>
      <c r="Q1380" s="8" t="n"/>
      <c r="R1380" s="11">
        <f>IF(B1380="","",IFERROR(K1380,0)+IFERROR(P1380,0)-IFERROR(Q1380,0))</f>
        <v/>
      </c>
      <c r="S1380" s="5" t="n"/>
      <c r="T1380" s="5" t="n"/>
      <c r="U1380" s="11">
        <f>IF(B1380="","",TRIM(LOWER(C1380)&amp;"|"&amp;LOWER(D1380)))</f>
        <v/>
      </c>
    </row>
    <row r="1381">
      <c r="A1381" s="11">
        <f>IF(B1381="","",TEXT(ROW()-3,"""DC-""0000"))</f>
        <v/>
      </c>
      <c r="B1381" s="5" t="n"/>
      <c r="C1381" s="5" t="n"/>
      <c r="D1381" s="5" t="n"/>
      <c r="E1381" s="5" t="n"/>
      <c r="F1381" s="5" t="n"/>
      <c r="G1381" s="5" t="n"/>
      <c r="H1381" s="8" t="n"/>
      <c r="I1381" s="8" t="n"/>
      <c r="J1381" s="8" t="n"/>
      <c r="K1381" s="11">
        <f>IF(B1381="","",MAX(0,IFERROR(I1381,0)*IFERROR(H1381,0)-IFERROR(J1381,0)))</f>
        <v/>
      </c>
      <c r="L1381" s="8" t="n"/>
      <c r="M1381" s="11">
        <f>IF(B1381="","",MAX(0,K1381-L1381))</f>
        <v/>
      </c>
      <c r="N1381" s="11">
        <f>IF(B1381="","",IF(L1381&gt;=K1381,"Paid",IF(L1381&gt;0,"Partial","Unpaid")))</f>
        <v/>
      </c>
      <c r="O1381" s="5" t="n"/>
      <c r="P1381" s="8" t="n"/>
      <c r="Q1381" s="8" t="n"/>
      <c r="R1381" s="11">
        <f>IF(B1381="","",IFERROR(K1381,0)+IFERROR(P1381,0)-IFERROR(Q1381,0))</f>
        <v/>
      </c>
      <c r="S1381" s="5" t="n"/>
      <c r="T1381" s="5" t="n"/>
      <c r="U1381" s="11">
        <f>IF(B1381="","",TRIM(LOWER(C1381)&amp;"|"&amp;LOWER(D1381)))</f>
        <v/>
      </c>
    </row>
    <row r="1382">
      <c r="A1382" s="11">
        <f>IF(B1382="","",TEXT(ROW()-3,"""DC-""0000"))</f>
        <v/>
      </c>
      <c r="B1382" s="5" t="n"/>
      <c r="C1382" s="5" t="n"/>
      <c r="D1382" s="5" t="n"/>
      <c r="E1382" s="5" t="n"/>
      <c r="F1382" s="5" t="n"/>
      <c r="G1382" s="5" t="n"/>
      <c r="H1382" s="8" t="n"/>
      <c r="I1382" s="8" t="n"/>
      <c r="J1382" s="8" t="n"/>
      <c r="K1382" s="11">
        <f>IF(B1382="","",MAX(0,IFERROR(I1382,0)*IFERROR(H1382,0)-IFERROR(J1382,0)))</f>
        <v/>
      </c>
      <c r="L1382" s="8" t="n"/>
      <c r="M1382" s="11">
        <f>IF(B1382="","",MAX(0,K1382-L1382))</f>
        <v/>
      </c>
      <c r="N1382" s="11">
        <f>IF(B1382="","",IF(L1382&gt;=K1382,"Paid",IF(L1382&gt;0,"Partial","Unpaid")))</f>
        <v/>
      </c>
      <c r="O1382" s="5" t="n"/>
      <c r="P1382" s="8" t="n"/>
      <c r="Q1382" s="8" t="n"/>
      <c r="R1382" s="11">
        <f>IF(B1382="","",IFERROR(K1382,0)+IFERROR(P1382,0)-IFERROR(Q1382,0))</f>
        <v/>
      </c>
      <c r="S1382" s="5" t="n"/>
      <c r="T1382" s="5" t="n"/>
      <c r="U1382" s="11">
        <f>IF(B1382="","",TRIM(LOWER(C1382)&amp;"|"&amp;LOWER(D1382)))</f>
        <v/>
      </c>
    </row>
    <row r="1383">
      <c r="A1383" s="11">
        <f>IF(B1383="","",TEXT(ROW()-3,"""DC-""0000"))</f>
        <v/>
      </c>
      <c r="B1383" s="5" t="n"/>
      <c r="C1383" s="5" t="n"/>
      <c r="D1383" s="5" t="n"/>
      <c r="E1383" s="5" t="n"/>
      <c r="F1383" s="5" t="n"/>
      <c r="G1383" s="5" t="n"/>
      <c r="H1383" s="8" t="n"/>
      <c r="I1383" s="8" t="n"/>
      <c r="J1383" s="8" t="n"/>
      <c r="K1383" s="11">
        <f>IF(B1383="","",MAX(0,IFERROR(I1383,0)*IFERROR(H1383,0)-IFERROR(J1383,0)))</f>
        <v/>
      </c>
      <c r="L1383" s="8" t="n"/>
      <c r="M1383" s="11">
        <f>IF(B1383="","",MAX(0,K1383-L1383))</f>
        <v/>
      </c>
      <c r="N1383" s="11">
        <f>IF(B1383="","",IF(L1383&gt;=K1383,"Paid",IF(L1383&gt;0,"Partial","Unpaid")))</f>
        <v/>
      </c>
      <c r="O1383" s="5" t="n"/>
      <c r="P1383" s="8" t="n"/>
      <c r="Q1383" s="8" t="n"/>
      <c r="R1383" s="11">
        <f>IF(B1383="","",IFERROR(K1383,0)+IFERROR(P1383,0)-IFERROR(Q1383,0))</f>
        <v/>
      </c>
      <c r="S1383" s="5" t="n"/>
      <c r="T1383" s="5" t="n"/>
      <c r="U1383" s="11">
        <f>IF(B1383="","",TRIM(LOWER(C1383)&amp;"|"&amp;LOWER(D1383)))</f>
        <v/>
      </c>
    </row>
    <row r="1384">
      <c r="A1384" s="11">
        <f>IF(B1384="","",TEXT(ROW()-3,"""DC-""0000"))</f>
        <v/>
      </c>
      <c r="B1384" s="5" t="n"/>
      <c r="C1384" s="5" t="n"/>
      <c r="D1384" s="5" t="n"/>
      <c r="E1384" s="5" t="n"/>
      <c r="F1384" s="5" t="n"/>
      <c r="G1384" s="5" t="n"/>
      <c r="H1384" s="8" t="n"/>
      <c r="I1384" s="8" t="n"/>
      <c r="J1384" s="8" t="n"/>
      <c r="K1384" s="11">
        <f>IF(B1384="","",MAX(0,IFERROR(I1384,0)*IFERROR(H1384,0)-IFERROR(J1384,0)))</f>
        <v/>
      </c>
      <c r="L1384" s="8" t="n"/>
      <c r="M1384" s="11">
        <f>IF(B1384="","",MAX(0,K1384-L1384))</f>
        <v/>
      </c>
      <c r="N1384" s="11">
        <f>IF(B1384="","",IF(L1384&gt;=K1384,"Paid",IF(L1384&gt;0,"Partial","Unpaid")))</f>
        <v/>
      </c>
      <c r="O1384" s="5" t="n"/>
      <c r="P1384" s="8" t="n"/>
      <c r="Q1384" s="8" t="n"/>
      <c r="R1384" s="11">
        <f>IF(B1384="","",IFERROR(K1384,0)+IFERROR(P1384,0)-IFERROR(Q1384,0))</f>
        <v/>
      </c>
      <c r="S1384" s="5" t="n"/>
      <c r="T1384" s="5" t="n"/>
      <c r="U1384" s="11">
        <f>IF(B1384="","",TRIM(LOWER(C1384)&amp;"|"&amp;LOWER(D1384)))</f>
        <v/>
      </c>
    </row>
    <row r="1385">
      <c r="A1385" s="11">
        <f>IF(B1385="","",TEXT(ROW()-3,"""DC-""0000"))</f>
        <v/>
      </c>
      <c r="B1385" s="5" t="n"/>
      <c r="C1385" s="5" t="n"/>
      <c r="D1385" s="5" t="n"/>
      <c r="E1385" s="5" t="n"/>
      <c r="F1385" s="5" t="n"/>
      <c r="G1385" s="5" t="n"/>
      <c r="H1385" s="8" t="n"/>
      <c r="I1385" s="8" t="n"/>
      <c r="J1385" s="8" t="n"/>
      <c r="K1385" s="11">
        <f>IF(B1385="","",MAX(0,IFERROR(I1385,0)*IFERROR(H1385,0)-IFERROR(J1385,0)))</f>
        <v/>
      </c>
      <c r="L1385" s="8" t="n"/>
      <c r="M1385" s="11">
        <f>IF(B1385="","",MAX(0,K1385-L1385))</f>
        <v/>
      </c>
      <c r="N1385" s="11">
        <f>IF(B1385="","",IF(L1385&gt;=K1385,"Paid",IF(L1385&gt;0,"Partial","Unpaid")))</f>
        <v/>
      </c>
      <c r="O1385" s="5" t="n"/>
      <c r="P1385" s="8" t="n"/>
      <c r="Q1385" s="8" t="n"/>
      <c r="R1385" s="11">
        <f>IF(B1385="","",IFERROR(K1385,0)+IFERROR(P1385,0)-IFERROR(Q1385,0))</f>
        <v/>
      </c>
      <c r="S1385" s="5" t="n"/>
      <c r="T1385" s="5" t="n"/>
      <c r="U1385" s="11">
        <f>IF(B1385="","",TRIM(LOWER(C1385)&amp;"|"&amp;LOWER(D1385)))</f>
        <v/>
      </c>
    </row>
    <row r="1386">
      <c r="A1386" s="11">
        <f>IF(B1386="","",TEXT(ROW()-3,"""DC-""0000"))</f>
        <v/>
      </c>
      <c r="B1386" s="5" t="n"/>
      <c r="C1386" s="5" t="n"/>
      <c r="D1386" s="5" t="n"/>
      <c r="E1386" s="5" t="n"/>
      <c r="F1386" s="5" t="n"/>
      <c r="G1386" s="5" t="n"/>
      <c r="H1386" s="8" t="n"/>
      <c r="I1386" s="8" t="n"/>
      <c r="J1386" s="8" t="n"/>
      <c r="K1386" s="11">
        <f>IF(B1386="","",MAX(0,IFERROR(I1386,0)*IFERROR(H1386,0)-IFERROR(J1386,0)))</f>
        <v/>
      </c>
      <c r="L1386" s="8" t="n"/>
      <c r="M1386" s="11">
        <f>IF(B1386="","",MAX(0,K1386-L1386))</f>
        <v/>
      </c>
      <c r="N1386" s="11">
        <f>IF(B1386="","",IF(L1386&gt;=K1386,"Paid",IF(L1386&gt;0,"Partial","Unpaid")))</f>
        <v/>
      </c>
      <c r="O1386" s="5" t="n"/>
      <c r="P1386" s="8" t="n"/>
      <c r="Q1386" s="8" t="n"/>
      <c r="R1386" s="11">
        <f>IF(B1386="","",IFERROR(K1386,0)+IFERROR(P1386,0)-IFERROR(Q1386,0))</f>
        <v/>
      </c>
      <c r="S1386" s="5" t="n"/>
      <c r="T1386" s="5" t="n"/>
      <c r="U1386" s="11">
        <f>IF(B1386="","",TRIM(LOWER(C1386)&amp;"|"&amp;LOWER(D1386)))</f>
        <v/>
      </c>
    </row>
    <row r="1387">
      <c r="A1387" s="11">
        <f>IF(B1387="","",TEXT(ROW()-3,"""DC-""0000"))</f>
        <v/>
      </c>
      <c r="B1387" s="5" t="n"/>
      <c r="C1387" s="5" t="n"/>
      <c r="D1387" s="5" t="n"/>
      <c r="E1387" s="5" t="n"/>
      <c r="F1387" s="5" t="n"/>
      <c r="G1387" s="5" t="n"/>
      <c r="H1387" s="8" t="n"/>
      <c r="I1387" s="8" t="n"/>
      <c r="J1387" s="8" t="n"/>
      <c r="K1387" s="11">
        <f>IF(B1387="","",MAX(0,IFERROR(I1387,0)*IFERROR(H1387,0)-IFERROR(J1387,0)))</f>
        <v/>
      </c>
      <c r="L1387" s="8" t="n"/>
      <c r="M1387" s="11">
        <f>IF(B1387="","",MAX(0,K1387-L1387))</f>
        <v/>
      </c>
      <c r="N1387" s="11">
        <f>IF(B1387="","",IF(L1387&gt;=K1387,"Paid",IF(L1387&gt;0,"Partial","Unpaid")))</f>
        <v/>
      </c>
      <c r="O1387" s="5" t="n"/>
      <c r="P1387" s="8" t="n"/>
      <c r="Q1387" s="8" t="n"/>
      <c r="R1387" s="11">
        <f>IF(B1387="","",IFERROR(K1387,0)+IFERROR(P1387,0)-IFERROR(Q1387,0))</f>
        <v/>
      </c>
      <c r="S1387" s="5" t="n"/>
      <c r="T1387" s="5" t="n"/>
      <c r="U1387" s="11">
        <f>IF(B1387="","",TRIM(LOWER(C1387)&amp;"|"&amp;LOWER(D1387)))</f>
        <v/>
      </c>
    </row>
    <row r="1388">
      <c r="A1388" s="11">
        <f>IF(B1388="","",TEXT(ROW()-3,"""DC-""0000"))</f>
        <v/>
      </c>
      <c r="B1388" s="5" t="n"/>
      <c r="C1388" s="5" t="n"/>
      <c r="D1388" s="5" t="n"/>
      <c r="E1388" s="5" t="n"/>
      <c r="F1388" s="5" t="n"/>
      <c r="G1388" s="5" t="n"/>
      <c r="H1388" s="8" t="n"/>
      <c r="I1388" s="8" t="n"/>
      <c r="J1388" s="8" t="n"/>
      <c r="K1388" s="11">
        <f>IF(B1388="","",MAX(0,IFERROR(I1388,0)*IFERROR(H1388,0)-IFERROR(J1388,0)))</f>
        <v/>
      </c>
      <c r="L1388" s="8" t="n"/>
      <c r="M1388" s="11">
        <f>IF(B1388="","",MAX(0,K1388-L1388))</f>
        <v/>
      </c>
      <c r="N1388" s="11">
        <f>IF(B1388="","",IF(L1388&gt;=K1388,"Paid",IF(L1388&gt;0,"Partial","Unpaid")))</f>
        <v/>
      </c>
      <c r="O1388" s="5" t="n"/>
      <c r="P1388" s="8" t="n"/>
      <c r="Q1388" s="8" t="n"/>
      <c r="R1388" s="11">
        <f>IF(B1388="","",IFERROR(K1388,0)+IFERROR(P1388,0)-IFERROR(Q1388,0))</f>
        <v/>
      </c>
      <c r="S1388" s="5" t="n"/>
      <c r="T1388" s="5" t="n"/>
      <c r="U1388" s="11">
        <f>IF(B1388="","",TRIM(LOWER(C1388)&amp;"|"&amp;LOWER(D1388)))</f>
        <v/>
      </c>
    </row>
    <row r="1389">
      <c r="A1389" s="11">
        <f>IF(B1389="","",TEXT(ROW()-3,"""DC-""0000"))</f>
        <v/>
      </c>
      <c r="B1389" s="5" t="n"/>
      <c r="C1389" s="5" t="n"/>
      <c r="D1389" s="5" t="n"/>
      <c r="E1389" s="5" t="n"/>
      <c r="F1389" s="5" t="n"/>
      <c r="G1389" s="5" t="n"/>
      <c r="H1389" s="8" t="n"/>
      <c r="I1389" s="8" t="n"/>
      <c r="J1389" s="8" t="n"/>
      <c r="K1389" s="11">
        <f>IF(B1389="","",MAX(0,IFERROR(I1389,0)*IFERROR(H1389,0)-IFERROR(J1389,0)))</f>
        <v/>
      </c>
      <c r="L1389" s="8" t="n"/>
      <c r="M1389" s="11">
        <f>IF(B1389="","",MAX(0,K1389-L1389))</f>
        <v/>
      </c>
      <c r="N1389" s="11">
        <f>IF(B1389="","",IF(L1389&gt;=K1389,"Paid",IF(L1389&gt;0,"Partial","Unpaid")))</f>
        <v/>
      </c>
      <c r="O1389" s="5" t="n"/>
      <c r="P1389" s="8" t="n"/>
      <c r="Q1389" s="8" t="n"/>
      <c r="R1389" s="11">
        <f>IF(B1389="","",IFERROR(K1389,0)+IFERROR(P1389,0)-IFERROR(Q1389,0))</f>
        <v/>
      </c>
      <c r="S1389" s="5" t="n"/>
      <c r="T1389" s="5" t="n"/>
      <c r="U1389" s="11">
        <f>IF(B1389="","",TRIM(LOWER(C1389)&amp;"|"&amp;LOWER(D1389)))</f>
        <v/>
      </c>
    </row>
    <row r="1390">
      <c r="A1390" s="11">
        <f>IF(B1390="","",TEXT(ROW()-3,"""DC-""0000"))</f>
        <v/>
      </c>
      <c r="B1390" s="5" t="n"/>
      <c r="C1390" s="5" t="n"/>
      <c r="D1390" s="5" t="n"/>
      <c r="E1390" s="5" t="n"/>
      <c r="F1390" s="5" t="n"/>
      <c r="G1390" s="5" t="n"/>
      <c r="H1390" s="8" t="n"/>
      <c r="I1390" s="8" t="n"/>
      <c r="J1390" s="8" t="n"/>
      <c r="K1390" s="11">
        <f>IF(B1390="","",MAX(0,IFERROR(I1390,0)*IFERROR(H1390,0)-IFERROR(J1390,0)))</f>
        <v/>
      </c>
      <c r="L1390" s="8" t="n"/>
      <c r="M1390" s="11">
        <f>IF(B1390="","",MAX(0,K1390-L1390))</f>
        <v/>
      </c>
      <c r="N1390" s="11">
        <f>IF(B1390="","",IF(L1390&gt;=K1390,"Paid",IF(L1390&gt;0,"Partial","Unpaid")))</f>
        <v/>
      </c>
      <c r="O1390" s="5" t="n"/>
      <c r="P1390" s="8" t="n"/>
      <c r="Q1390" s="8" t="n"/>
      <c r="R1390" s="11">
        <f>IF(B1390="","",IFERROR(K1390,0)+IFERROR(P1390,0)-IFERROR(Q1390,0))</f>
        <v/>
      </c>
      <c r="S1390" s="5" t="n"/>
      <c r="T1390" s="5" t="n"/>
      <c r="U1390" s="11">
        <f>IF(B1390="","",TRIM(LOWER(C1390)&amp;"|"&amp;LOWER(D1390)))</f>
        <v/>
      </c>
    </row>
    <row r="1391">
      <c r="A1391" s="11">
        <f>IF(B1391="","",TEXT(ROW()-3,"""DC-""0000"))</f>
        <v/>
      </c>
      <c r="B1391" s="5" t="n"/>
      <c r="C1391" s="5" t="n"/>
      <c r="D1391" s="5" t="n"/>
      <c r="E1391" s="5" t="n"/>
      <c r="F1391" s="5" t="n"/>
      <c r="G1391" s="5" t="n"/>
      <c r="H1391" s="8" t="n"/>
      <c r="I1391" s="8" t="n"/>
      <c r="J1391" s="8" t="n"/>
      <c r="K1391" s="11">
        <f>IF(B1391="","",MAX(0,IFERROR(I1391,0)*IFERROR(H1391,0)-IFERROR(J1391,0)))</f>
        <v/>
      </c>
      <c r="L1391" s="8" t="n"/>
      <c r="M1391" s="11">
        <f>IF(B1391="","",MAX(0,K1391-L1391))</f>
        <v/>
      </c>
      <c r="N1391" s="11">
        <f>IF(B1391="","",IF(L1391&gt;=K1391,"Paid",IF(L1391&gt;0,"Partial","Unpaid")))</f>
        <v/>
      </c>
      <c r="O1391" s="5" t="n"/>
      <c r="P1391" s="8" t="n"/>
      <c r="Q1391" s="8" t="n"/>
      <c r="R1391" s="11">
        <f>IF(B1391="","",IFERROR(K1391,0)+IFERROR(P1391,0)-IFERROR(Q1391,0))</f>
        <v/>
      </c>
      <c r="S1391" s="5" t="n"/>
      <c r="T1391" s="5" t="n"/>
      <c r="U1391" s="11">
        <f>IF(B1391="","",TRIM(LOWER(C1391)&amp;"|"&amp;LOWER(D1391)))</f>
        <v/>
      </c>
    </row>
    <row r="1392">
      <c r="A1392" s="11">
        <f>IF(B1392="","",TEXT(ROW()-3,"""DC-""0000"))</f>
        <v/>
      </c>
      <c r="B1392" s="5" t="n"/>
      <c r="C1392" s="5" t="n"/>
      <c r="D1392" s="5" t="n"/>
      <c r="E1392" s="5" t="n"/>
      <c r="F1392" s="5" t="n"/>
      <c r="G1392" s="5" t="n"/>
      <c r="H1392" s="8" t="n"/>
      <c r="I1392" s="8" t="n"/>
      <c r="J1392" s="8" t="n"/>
      <c r="K1392" s="11">
        <f>IF(B1392="","",MAX(0,IFERROR(I1392,0)*IFERROR(H1392,0)-IFERROR(J1392,0)))</f>
        <v/>
      </c>
      <c r="L1392" s="8" t="n"/>
      <c r="M1392" s="11">
        <f>IF(B1392="","",MAX(0,K1392-L1392))</f>
        <v/>
      </c>
      <c r="N1392" s="11">
        <f>IF(B1392="","",IF(L1392&gt;=K1392,"Paid",IF(L1392&gt;0,"Partial","Unpaid")))</f>
        <v/>
      </c>
      <c r="O1392" s="5" t="n"/>
      <c r="P1392" s="8" t="n"/>
      <c r="Q1392" s="8" t="n"/>
      <c r="R1392" s="11">
        <f>IF(B1392="","",IFERROR(K1392,0)+IFERROR(P1392,0)-IFERROR(Q1392,0))</f>
        <v/>
      </c>
      <c r="S1392" s="5" t="n"/>
      <c r="T1392" s="5" t="n"/>
      <c r="U1392" s="11">
        <f>IF(B1392="","",TRIM(LOWER(C1392)&amp;"|"&amp;LOWER(D1392)))</f>
        <v/>
      </c>
    </row>
    <row r="1393">
      <c r="A1393" s="11">
        <f>IF(B1393="","",TEXT(ROW()-3,"""DC-""0000"))</f>
        <v/>
      </c>
      <c r="B1393" s="5" t="n"/>
      <c r="C1393" s="5" t="n"/>
      <c r="D1393" s="5" t="n"/>
      <c r="E1393" s="5" t="n"/>
      <c r="F1393" s="5" t="n"/>
      <c r="G1393" s="5" t="n"/>
      <c r="H1393" s="8" t="n"/>
      <c r="I1393" s="8" t="n"/>
      <c r="J1393" s="8" t="n"/>
      <c r="K1393" s="11">
        <f>IF(B1393="","",MAX(0,IFERROR(I1393,0)*IFERROR(H1393,0)-IFERROR(J1393,0)))</f>
        <v/>
      </c>
      <c r="L1393" s="8" t="n"/>
      <c r="M1393" s="11">
        <f>IF(B1393="","",MAX(0,K1393-L1393))</f>
        <v/>
      </c>
      <c r="N1393" s="11">
        <f>IF(B1393="","",IF(L1393&gt;=K1393,"Paid",IF(L1393&gt;0,"Partial","Unpaid")))</f>
        <v/>
      </c>
      <c r="O1393" s="5" t="n"/>
      <c r="P1393" s="8" t="n"/>
      <c r="Q1393" s="8" t="n"/>
      <c r="R1393" s="11">
        <f>IF(B1393="","",IFERROR(K1393,0)+IFERROR(P1393,0)-IFERROR(Q1393,0))</f>
        <v/>
      </c>
      <c r="S1393" s="5" t="n"/>
      <c r="T1393" s="5" t="n"/>
      <c r="U1393" s="11">
        <f>IF(B1393="","",TRIM(LOWER(C1393)&amp;"|"&amp;LOWER(D1393)))</f>
        <v/>
      </c>
    </row>
    <row r="1394">
      <c r="A1394" s="11">
        <f>IF(B1394="","",TEXT(ROW()-3,"""DC-""0000"))</f>
        <v/>
      </c>
      <c r="B1394" s="5" t="n"/>
      <c r="C1394" s="5" t="n"/>
      <c r="D1394" s="5" t="n"/>
      <c r="E1394" s="5" t="n"/>
      <c r="F1394" s="5" t="n"/>
      <c r="G1394" s="5" t="n"/>
      <c r="H1394" s="8" t="n"/>
      <c r="I1394" s="8" t="n"/>
      <c r="J1394" s="8" t="n"/>
      <c r="K1394" s="11">
        <f>IF(B1394="","",MAX(0,IFERROR(I1394,0)*IFERROR(H1394,0)-IFERROR(J1394,0)))</f>
        <v/>
      </c>
      <c r="L1394" s="8" t="n"/>
      <c r="M1394" s="11">
        <f>IF(B1394="","",MAX(0,K1394-L1394))</f>
        <v/>
      </c>
      <c r="N1394" s="11">
        <f>IF(B1394="","",IF(L1394&gt;=K1394,"Paid",IF(L1394&gt;0,"Partial","Unpaid")))</f>
        <v/>
      </c>
      <c r="O1394" s="5" t="n"/>
      <c r="P1394" s="8" t="n"/>
      <c r="Q1394" s="8" t="n"/>
      <c r="R1394" s="11">
        <f>IF(B1394="","",IFERROR(K1394,0)+IFERROR(P1394,0)-IFERROR(Q1394,0))</f>
        <v/>
      </c>
      <c r="S1394" s="5" t="n"/>
      <c r="T1394" s="5" t="n"/>
      <c r="U1394" s="11">
        <f>IF(B1394="","",TRIM(LOWER(C1394)&amp;"|"&amp;LOWER(D1394)))</f>
        <v/>
      </c>
    </row>
    <row r="1395">
      <c r="A1395" s="11">
        <f>IF(B1395="","",TEXT(ROW()-3,"""DC-""0000"))</f>
        <v/>
      </c>
      <c r="B1395" s="5" t="n"/>
      <c r="C1395" s="5" t="n"/>
      <c r="D1395" s="5" t="n"/>
      <c r="E1395" s="5" t="n"/>
      <c r="F1395" s="5" t="n"/>
      <c r="G1395" s="5" t="n"/>
      <c r="H1395" s="8" t="n"/>
      <c r="I1395" s="8" t="n"/>
      <c r="J1395" s="8" t="n"/>
      <c r="K1395" s="11">
        <f>IF(B1395="","",MAX(0,IFERROR(I1395,0)*IFERROR(H1395,0)-IFERROR(J1395,0)))</f>
        <v/>
      </c>
      <c r="L1395" s="8" t="n"/>
      <c r="M1395" s="11">
        <f>IF(B1395="","",MAX(0,K1395-L1395))</f>
        <v/>
      </c>
      <c r="N1395" s="11">
        <f>IF(B1395="","",IF(L1395&gt;=K1395,"Paid",IF(L1395&gt;0,"Partial","Unpaid")))</f>
        <v/>
      </c>
      <c r="O1395" s="5" t="n"/>
      <c r="P1395" s="8" t="n"/>
      <c r="Q1395" s="8" t="n"/>
      <c r="R1395" s="11">
        <f>IF(B1395="","",IFERROR(K1395,0)+IFERROR(P1395,0)-IFERROR(Q1395,0))</f>
        <v/>
      </c>
      <c r="S1395" s="5" t="n"/>
      <c r="T1395" s="5" t="n"/>
      <c r="U1395" s="11">
        <f>IF(B1395="","",TRIM(LOWER(C1395)&amp;"|"&amp;LOWER(D1395)))</f>
        <v/>
      </c>
    </row>
    <row r="1396">
      <c r="A1396" s="11">
        <f>IF(B1396="","",TEXT(ROW()-3,"""DC-""0000"))</f>
        <v/>
      </c>
      <c r="B1396" s="5" t="n"/>
      <c r="C1396" s="5" t="n"/>
      <c r="D1396" s="5" t="n"/>
      <c r="E1396" s="5" t="n"/>
      <c r="F1396" s="5" t="n"/>
      <c r="G1396" s="5" t="n"/>
      <c r="H1396" s="8" t="n"/>
      <c r="I1396" s="8" t="n"/>
      <c r="J1396" s="8" t="n"/>
      <c r="K1396" s="11">
        <f>IF(B1396="","",MAX(0,IFERROR(I1396,0)*IFERROR(H1396,0)-IFERROR(J1396,0)))</f>
        <v/>
      </c>
      <c r="L1396" s="8" t="n"/>
      <c r="M1396" s="11">
        <f>IF(B1396="","",MAX(0,K1396-L1396))</f>
        <v/>
      </c>
      <c r="N1396" s="11">
        <f>IF(B1396="","",IF(L1396&gt;=K1396,"Paid",IF(L1396&gt;0,"Partial","Unpaid")))</f>
        <v/>
      </c>
      <c r="O1396" s="5" t="n"/>
      <c r="P1396" s="8" t="n"/>
      <c r="Q1396" s="8" t="n"/>
      <c r="R1396" s="11">
        <f>IF(B1396="","",IFERROR(K1396,0)+IFERROR(P1396,0)-IFERROR(Q1396,0))</f>
        <v/>
      </c>
      <c r="S1396" s="5" t="n"/>
      <c r="T1396" s="5" t="n"/>
      <c r="U1396" s="11">
        <f>IF(B1396="","",TRIM(LOWER(C1396)&amp;"|"&amp;LOWER(D1396)))</f>
        <v/>
      </c>
    </row>
    <row r="1397">
      <c r="A1397" s="11">
        <f>IF(B1397="","",TEXT(ROW()-3,"""DC-""0000"))</f>
        <v/>
      </c>
      <c r="B1397" s="5" t="n"/>
      <c r="C1397" s="5" t="n"/>
      <c r="D1397" s="5" t="n"/>
      <c r="E1397" s="5" t="n"/>
      <c r="F1397" s="5" t="n"/>
      <c r="G1397" s="5" t="n"/>
      <c r="H1397" s="8" t="n"/>
      <c r="I1397" s="8" t="n"/>
      <c r="J1397" s="8" t="n"/>
      <c r="K1397" s="11">
        <f>IF(B1397="","",MAX(0,IFERROR(I1397,0)*IFERROR(H1397,0)-IFERROR(J1397,0)))</f>
        <v/>
      </c>
      <c r="L1397" s="8" t="n"/>
      <c r="M1397" s="11">
        <f>IF(B1397="","",MAX(0,K1397-L1397))</f>
        <v/>
      </c>
      <c r="N1397" s="11">
        <f>IF(B1397="","",IF(L1397&gt;=K1397,"Paid",IF(L1397&gt;0,"Partial","Unpaid")))</f>
        <v/>
      </c>
      <c r="O1397" s="5" t="n"/>
      <c r="P1397" s="8" t="n"/>
      <c r="Q1397" s="8" t="n"/>
      <c r="R1397" s="11">
        <f>IF(B1397="","",IFERROR(K1397,0)+IFERROR(P1397,0)-IFERROR(Q1397,0))</f>
        <v/>
      </c>
      <c r="S1397" s="5" t="n"/>
      <c r="T1397" s="5" t="n"/>
      <c r="U1397" s="11">
        <f>IF(B1397="","",TRIM(LOWER(C1397)&amp;"|"&amp;LOWER(D1397)))</f>
        <v/>
      </c>
    </row>
    <row r="1398">
      <c r="A1398" s="11">
        <f>IF(B1398="","",TEXT(ROW()-3,"""DC-""0000"))</f>
        <v/>
      </c>
      <c r="B1398" s="5" t="n"/>
      <c r="C1398" s="5" t="n"/>
      <c r="D1398" s="5" t="n"/>
      <c r="E1398" s="5" t="n"/>
      <c r="F1398" s="5" t="n"/>
      <c r="G1398" s="5" t="n"/>
      <c r="H1398" s="8" t="n"/>
      <c r="I1398" s="8" t="n"/>
      <c r="J1398" s="8" t="n"/>
      <c r="K1398" s="11">
        <f>IF(B1398="","",MAX(0,IFERROR(I1398,0)*IFERROR(H1398,0)-IFERROR(J1398,0)))</f>
        <v/>
      </c>
      <c r="L1398" s="8" t="n"/>
      <c r="M1398" s="11">
        <f>IF(B1398="","",MAX(0,K1398-L1398))</f>
        <v/>
      </c>
      <c r="N1398" s="11">
        <f>IF(B1398="","",IF(L1398&gt;=K1398,"Paid",IF(L1398&gt;0,"Partial","Unpaid")))</f>
        <v/>
      </c>
      <c r="O1398" s="5" t="n"/>
      <c r="P1398" s="8" t="n"/>
      <c r="Q1398" s="8" t="n"/>
      <c r="R1398" s="11">
        <f>IF(B1398="","",IFERROR(K1398,0)+IFERROR(P1398,0)-IFERROR(Q1398,0))</f>
        <v/>
      </c>
      <c r="S1398" s="5" t="n"/>
      <c r="T1398" s="5" t="n"/>
      <c r="U1398" s="11">
        <f>IF(B1398="","",TRIM(LOWER(C1398)&amp;"|"&amp;LOWER(D1398)))</f>
        <v/>
      </c>
    </row>
    <row r="1399">
      <c r="A1399" s="11">
        <f>IF(B1399="","",TEXT(ROW()-3,"""DC-""0000"))</f>
        <v/>
      </c>
      <c r="B1399" s="5" t="n"/>
      <c r="C1399" s="5" t="n"/>
      <c r="D1399" s="5" t="n"/>
      <c r="E1399" s="5" t="n"/>
      <c r="F1399" s="5" t="n"/>
      <c r="G1399" s="5" t="n"/>
      <c r="H1399" s="8" t="n"/>
      <c r="I1399" s="8" t="n"/>
      <c r="J1399" s="8" t="n"/>
      <c r="K1399" s="11">
        <f>IF(B1399="","",MAX(0,IFERROR(I1399,0)*IFERROR(H1399,0)-IFERROR(J1399,0)))</f>
        <v/>
      </c>
      <c r="L1399" s="8" t="n"/>
      <c r="M1399" s="11">
        <f>IF(B1399="","",MAX(0,K1399-L1399))</f>
        <v/>
      </c>
      <c r="N1399" s="11">
        <f>IF(B1399="","",IF(L1399&gt;=K1399,"Paid",IF(L1399&gt;0,"Partial","Unpaid")))</f>
        <v/>
      </c>
      <c r="O1399" s="5" t="n"/>
      <c r="P1399" s="8" t="n"/>
      <c r="Q1399" s="8" t="n"/>
      <c r="R1399" s="11">
        <f>IF(B1399="","",IFERROR(K1399,0)+IFERROR(P1399,0)-IFERROR(Q1399,0))</f>
        <v/>
      </c>
      <c r="S1399" s="5" t="n"/>
      <c r="T1399" s="5" t="n"/>
      <c r="U1399" s="11">
        <f>IF(B1399="","",TRIM(LOWER(C1399)&amp;"|"&amp;LOWER(D1399)))</f>
        <v/>
      </c>
    </row>
    <row r="1400">
      <c r="A1400" s="11">
        <f>IF(B1400="","",TEXT(ROW()-3,"""DC-""0000"))</f>
        <v/>
      </c>
      <c r="B1400" s="5" t="n"/>
      <c r="C1400" s="5" t="n"/>
      <c r="D1400" s="5" t="n"/>
      <c r="E1400" s="5" t="n"/>
      <c r="F1400" s="5" t="n"/>
      <c r="G1400" s="5" t="n"/>
      <c r="H1400" s="8" t="n"/>
      <c r="I1400" s="8" t="n"/>
      <c r="J1400" s="8" t="n"/>
      <c r="K1400" s="11">
        <f>IF(B1400="","",MAX(0,IFERROR(I1400,0)*IFERROR(H1400,0)-IFERROR(J1400,0)))</f>
        <v/>
      </c>
      <c r="L1400" s="8" t="n"/>
      <c r="M1400" s="11">
        <f>IF(B1400="","",MAX(0,K1400-L1400))</f>
        <v/>
      </c>
      <c r="N1400" s="11">
        <f>IF(B1400="","",IF(L1400&gt;=K1400,"Paid",IF(L1400&gt;0,"Partial","Unpaid")))</f>
        <v/>
      </c>
      <c r="O1400" s="5" t="n"/>
      <c r="P1400" s="8" t="n"/>
      <c r="Q1400" s="8" t="n"/>
      <c r="R1400" s="11">
        <f>IF(B1400="","",IFERROR(K1400,0)+IFERROR(P1400,0)-IFERROR(Q1400,0))</f>
        <v/>
      </c>
      <c r="S1400" s="5" t="n"/>
      <c r="T1400" s="5" t="n"/>
      <c r="U1400" s="11">
        <f>IF(B1400="","",TRIM(LOWER(C1400)&amp;"|"&amp;LOWER(D1400)))</f>
        <v/>
      </c>
    </row>
    <row r="1401">
      <c r="A1401" s="11">
        <f>IF(B1401="","",TEXT(ROW()-3,"""DC-""0000"))</f>
        <v/>
      </c>
      <c r="B1401" s="5" t="n"/>
      <c r="C1401" s="5" t="n"/>
      <c r="D1401" s="5" t="n"/>
      <c r="E1401" s="5" t="n"/>
      <c r="F1401" s="5" t="n"/>
      <c r="G1401" s="5" t="n"/>
      <c r="H1401" s="8" t="n"/>
      <c r="I1401" s="8" t="n"/>
      <c r="J1401" s="8" t="n"/>
      <c r="K1401" s="11">
        <f>IF(B1401="","",MAX(0,IFERROR(I1401,0)*IFERROR(H1401,0)-IFERROR(J1401,0)))</f>
        <v/>
      </c>
      <c r="L1401" s="8" t="n"/>
      <c r="M1401" s="11">
        <f>IF(B1401="","",MAX(0,K1401-L1401))</f>
        <v/>
      </c>
      <c r="N1401" s="11">
        <f>IF(B1401="","",IF(L1401&gt;=K1401,"Paid",IF(L1401&gt;0,"Partial","Unpaid")))</f>
        <v/>
      </c>
      <c r="O1401" s="5" t="n"/>
      <c r="P1401" s="8" t="n"/>
      <c r="Q1401" s="8" t="n"/>
      <c r="R1401" s="11">
        <f>IF(B1401="","",IFERROR(K1401,0)+IFERROR(P1401,0)-IFERROR(Q1401,0))</f>
        <v/>
      </c>
      <c r="S1401" s="5" t="n"/>
      <c r="T1401" s="5" t="n"/>
      <c r="U1401" s="11">
        <f>IF(B1401="","",TRIM(LOWER(C1401)&amp;"|"&amp;LOWER(D1401)))</f>
        <v/>
      </c>
    </row>
    <row r="1402">
      <c r="A1402" s="11">
        <f>IF(B1402="","",TEXT(ROW()-3,"""DC-""0000"))</f>
        <v/>
      </c>
      <c r="B1402" s="5" t="n"/>
      <c r="C1402" s="5" t="n"/>
      <c r="D1402" s="5" t="n"/>
      <c r="E1402" s="5" t="n"/>
      <c r="F1402" s="5" t="n"/>
      <c r="G1402" s="5" t="n"/>
      <c r="H1402" s="8" t="n"/>
      <c r="I1402" s="8" t="n"/>
      <c r="J1402" s="8" t="n"/>
      <c r="K1402" s="11">
        <f>IF(B1402="","",MAX(0,IFERROR(I1402,0)*IFERROR(H1402,0)-IFERROR(J1402,0)))</f>
        <v/>
      </c>
      <c r="L1402" s="8" t="n"/>
      <c r="M1402" s="11">
        <f>IF(B1402="","",MAX(0,K1402-L1402))</f>
        <v/>
      </c>
      <c r="N1402" s="11">
        <f>IF(B1402="","",IF(L1402&gt;=K1402,"Paid",IF(L1402&gt;0,"Partial","Unpaid")))</f>
        <v/>
      </c>
      <c r="O1402" s="5" t="n"/>
      <c r="P1402" s="8" t="n"/>
      <c r="Q1402" s="8" t="n"/>
      <c r="R1402" s="11">
        <f>IF(B1402="","",IFERROR(K1402,0)+IFERROR(P1402,0)-IFERROR(Q1402,0))</f>
        <v/>
      </c>
      <c r="S1402" s="5" t="n"/>
      <c r="T1402" s="5" t="n"/>
      <c r="U1402" s="11">
        <f>IF(B1402="","",TRIM(LOWER(C1402)&amp;"|"&amp;LOWER(D1402)))</f>
        <v/>
      </c>
    </row>
    <row r="1403">
      <c r="A1403" s="11">
        <f>IF(B1403="","",TEXT(ROW()-3,"""DC-""0000"))</f>
        <v/>
      </c>
      <c r="B1403" s="5" t="n"/>
      <c r="C1403" s="5" t="n"/>
      <c r="D1403" s="5" t="n"/>
      <c r="E1403" s="5" t="n"/>
      <c r="F1403" s="5" t="n"/>
      <c r="G1403" s="5" t="n"/>
      <c r="H1403" s="8" t="n"/>
      <c r="I1403" s="8" t="n"/>
      <c r="J1403" s="8" t="n"/>
      <c r="K1403" s="11">
        <f>IF(B1403="","",MAX(0,IFERROR(I1403,0)*IFERROR(H1403,0)-IFERROR(J1403,0)))</f>
        <v/>
      </c>
      <c r="L1403" s="8" t="n"/>
      <c r="M1403" s="11">
        <f>IF(B1403="","",MAX(0,K1403-L1403))</f>
        <v/>
      </c>
      <c r="N1403" s="11">
        <f>IF(B1403="","",IF(L1403&gt;=K1403,"Paid",IF(L1403&gt;0,"Partial","Unpaid")))</f>
        <v/>
      </c>
      <c r="O1403" s="5" t="n"/>
      <c r="P1403" s="8" t="n"/>
      <c r="Q1403" s="8" t="n"/>
      <c r="R1403" s="11">
        <f>IF(B1403="","",IFERROR(K1403,0)+IFERROR(P1403,0)-IFERROR(Q1403,0))</f>
        <v/>
      </c>
      <c r="S1403" s="5" t="n"/>
      <c r="T1403" s="5" t="n"/>
      <c r="U1403" s="11">
        <f>IF(B1403="","",TRIM(LOWER(C1403)&amp;"|"&amp;LOWER(D1403)))</f>
        <v/>
      </c>
    </row>
    <row r="1404">
      <c r="A1404" s="11">
        <f>IF(B1404="","",TEXT(ROW()-3,"""DC-""0000"))</f>
        <v/>
      </c>
      <c r="B1404" s="5" t="n"/>
      <c r="C1404" s="5" t="n"/>
      <c r="D1404" s="5" t="n"/>
      <c r="E1404" s="5" t="n"/>
      <c r="F1404" s="5" t="n"/>
      <c r="G1404" s="5" t="n"/>
      <c r="H1404" s="8" t="n"/>
      <c r="I1404" s="8" t="n"/>
      <c r="J1404" s="8" t="n"/>
      <c r="K1404" s="11">
        <f>IF(B1404="","",MAX(0,IFERROR(I1404,0)*IFERROR(H1404,0)-IFERROR(J1404,0)))</f>
        <v/>
      </c>
      <c r="L1404" s="8" t="n"/>
      <c r="M1404" s="11">
        <f>IF(B1404="","",MAX(0,K1404-L1404))</f>
        <v/>
      </c>
      <c r="N1404" s="11">
        <f>IF(B1404="","",IF(L1404&gt;=K1404,"Paid",IF(L1404&gt;0,"Partial","Unpaid")))</f>
        <v/>
      </c>
      <c r="O1404" s="5" t="n"/>
      <c r="P1404" s="8" t="n"/>
      <c r="Q1404" s="8" t="n"/>
      <c r="R1404" s="11">
        <f>IF(B1404="","",IFERROR(K1404,0)+IFERROR(P1404,0)-IFERROR(Q1404,0))</f>
        <v/>
      </c>
      <c r="S1404" s="5" t="n"/>
      <c r="T1404" s="5" t="n"/>
      <c r="U1404" s="11">
        <f>IF(B1404="","",TRIM(LOWER(C1404)&amp;"|"&amp;LOWER(D1404)))</f>
        <v/>
      </c>
    </row>
    <row r="1405">
      <c r="A1405" s="11">
        <f>IF(B1405="","",TEXT(ROW()-3,"""DC-""0000"))</f>
        <v/>
      </c>
      <c r="B1405" s="5" t="n"/>
      <c r="C1405" s="5" t="n"/>
      <c r="D1405" s="5" t="n"/>
      <c r="E1405" s="5" t="n"/>
      <c r="F1405" s="5" t="n"/>
      <c r="G1405" s="5" t="n"/>
      <c r="H1405" s="8" t="n"/>
      <c r="I1405" s="8" t="n"/>
      <c r="J1405" s="8" t="n"/>
      <c r="K1405" s="11">
        <f>IF(B1405="","",MAX(0,IFERROR(I1405,0)*IFERROR(H1405,0)-IFERROR(J1405,0)))</f>
        <v/>
      </c>
      <c r="L1405" s="8" t="n"/>
      <c r="M1405" s="11">
        <f>IF(B1405="","",MAX(0,K1405-L1405))</f>
        <v/>
      </c>
      <c r="N1405" s="11">
        <f>IF(B1405="","",IF(L1405&gt;=K1405,"Paid",IF(L1405&gt;0,"Partial","Unpaid")))</f>
        <v/>
      </c>
      <c r="O1405" s="5" t="n"/>
      <c r="P1405" s="8" t="n"/>
      <c r="Q1405" s="8" t="n"/>
      <c r="R1405" s="11">
        <f>IF(B1405="","",IFERROR(K1405,0)+IFERROR(P1405,0)-IFERROR(Q1405,0))</f>
        <v/>
      </c>
      <c r="S1405" s="5" t="n"/>
      <c r="T1405" s="5" t="n"/>
      <c r="U1405" s="11">
        <f>IF(B1405="","",TRIM(LOWER(C1405)&amp;"|"&amp;LOWER(D1405)))</f>
        <v/>
      </c>
    </row>
    <row r="1406">
      <c r="A1406" s="11">
        <f>IF(B1406="","",TEXT(ROW()-3,"""DC-""0000"))</f>
        <v/>
      </c>
      <c r="B1406" s="5" t="n"/>
      <c r="C1406" s="5" t="n"/>
      <c r="D1406" s="5" t="n"/>
      <c r="E1406" s="5" t="n"/>
      <c r="F1406" s="5" t="n"/>
      <c r="G1406" s="5" t="n"/>
      <c r="H1406" s="8" t="n"/>
      <c r="I1406" s="8" t="n"/>
      <c r="J1406" s="8" t="n"/>
      <c r="K1406" s="11">
        <f>IF(B1406="","",MAX(0,IFERROR(I1406,0)*IFERROR(H1406,0)-IFERROR(J1406,0)))</f>
        <v/>
      </c>
      <c r="L1406" s="8" t="n"/>
      <c r="M1406" s="11">
        <f>IF(B1406="","",MAX(0,K1406-L1406))</f>
        <v/>
      </c>
      <c r="N1406" s="11">
        <f>IF(B1406="","",IF(L1406&gt;=K1406,"Paid",IF(L1406&gt;0,"Partial","Unpaid")))</f>
        <v/>
      </c>
      <c r="O1406" s="5" t="n"/>
      <c r="P1406" s="8" t="n"/>
      <c r="Q1406" s="8" t="n"/>
      <c r="R1406" s="11">
        <f>IF(B1406="","",IFERROR(K1406,0)+IFERROR(P1406,0)-IFERROR(Q1406,0))</f>
        <v/>
      </c>
      <c r="S1406" s="5" t="n"/>
      <c r="T1406" s="5" t="n"/>
      <c r="U1406" s="11">
        <f>IF(B1406="","",TRIM(LOWER(C1406)&amp;"|"&amp;LOWER(D1406)))</f>
        <v/>
      </c>
    </row>
    <row r="1407">
      <c r="A1407" s="11">
        <f>IF(B1407="","",TEXT(ROW()-3,"""DC-""0000"))</f>
        <v/>
      </c>
      <c r="B1407" s="5" t="n"/>
      <c r="C1407" s="5" t="n"/>
      <c r="D1407" s="5" t="n"/>
      <c r="E1407" s="5" t="n"/>
      <c r="F1407" s="5" t="n"/>
      <c r="G1407" s="5" t="n"/>
      <c r="H1407" s="8" t="n"/>
      <c r="I1407" s="8" t="n"/>
      <c r="J1407" s="8" t="n"/>
      <c r="K1407" s="11">
        <f>IF(B1407="","",MAX(0,IFERROR(I1407,0)*IFERROR(H1407,0)-IFERROR(J1407,0)))</f>
        <v/>
      </c>
      <c r="L1407" s="8" t="n"/>
      <c r="M1407" s="11">
        <f>IF(B1407="","",MAX(0,K1407-L1407))</f>
        <v/>
      </c>
      <c r="N1407" s="11">
        <f>IF(B1407="","",IF(L1407&gt;=K1407,"Paid",IF(L1407&gt;0,"Partial","Unpaid")))</f>
        <v/>
      </c>
      <c r="O1407" s="5" t="n"/>
      <c r="P1407" s="8" t="n"/>
      <c r="Q1407" s="8" t="n"/>
      <c r="R1407" s="11">
        <f>IF(B1407="","",IFERROR(K1407,0)+IFERROR(P1407,0)-IFERROR(Q1407,0))</f>
        <v/>
      </c>
      <c r="S1407" s="5" t="n"/>
      <c r="T1407" s="5" t="n"/>
      <c r="U1407" s="11">
        <f>IF(B1407="","",TRIM(LOWER(C1407)&amp;"|"&amp;LOWER(D1407)))</f>
        <v/>
      </c>
    </row>
    <row r="1408">
      <c r="A1408" s="11">
        <f>IF(B1408="","",TEXT(ROW()-3,"""DC-""0000"))</f>
        <v/>
      </c>
      <c r="B1408" s="5" t="n"/>
      <c r="C1408" s="5" t="n"/>
      <c r="D1408" s="5" t="n"/>
      <c r="E1408" s="5" t="n"/>
      <c r="F1408" s="5" t="n"/>
      <c r="G1408" s="5" t="n"/>
      <c r="H1408" s="8" t="n"/>
      <c r="I1408" s="8" t="n"/>
      <c r="J1408" s="8" t="n"/>
      <c r="K1408" s="11">
        <f>IF(B1408="","",MAX(0,IFERROR(I1408,0)*IFERROR(H1408,0)-IFERROR(J1408,0)))</f>
        <v/>
      </c>
      <c r="L1408" s="8" t="n"/>
      <c r="M1408" s="11">
        <f>IF(B1408="","",MAX(0,K1408-L1408))</f>
        <v/>
      </c>
      <c r="N1408" s="11">
        <f>IF(B1408="","",IF(L1408&gt;=K1408,"Paid",IF(L1408&gt;0,"Partial","Unpaid")))</f>
        <v/>
      </c>
      <c r="O1408" s="5" t="n"/>
      <c r="P1408" s="8" t="n"/>
      <c r="Q1408" s="8" t="n"/>
      <c r="R1408" s="11">
        <f>IF(B1408="","",IFERROR(K1408,0)+IFERROR(P1408,0)-IFERROR(Q1408,0))</f>
        <v/>
      </c>
      <c r="S1408" s="5" t="n"/>
      <c r="T1408" s="5" t="n"/>
      <c r="U1408" s="11">
        <f>IF(B1408="","",TRIM(LOWER(C1408)&amp;"|"&amp;LOWER(D1408)))</f>
        <v/>
      </c>
    </row>
    <row r="1409">
      <c r="A1409" s="11">
        <f>IF(B1409="","",TEXT(ROW()-3,"""DC-""0000"))</f>
        <v/>
      </c>
      <c r="B1409" s="5" t="n"/>
      <c r="C1409" s="5" t="n"/>
      <c r="D1409" s="5" t="n"/>
      <c r="E1409" s="5" t="n"/>
      <c r="F1409" s="5" t="n"/>
      <c r="G1409" s="5" t="n"/>
      <c r="H1409" s="8" t="n"/>
      <c r="I1409" s="8" t="n"/>
      <c r="J1409" s="8" t="n"/>
      <c r="K1409" s="11">
        <f>IF(B1409="","",MAX(0,IFERROR(I1409,0)*IFERROR(H1409,0)-IFERROR(J1409,0)))</f>
        <v/>
      </c>
      <c r="L1409" s="8" t="n"/>
      <c r="M1409" s="11">
        <f>IF(B1409="","",MAX(0,K1409-L1409))</f>
        <v/>
      </c>
      <c r="N1409" s="11">
        <f>IF(B1409="","",IF(L1409&gt;=K1409,"Paid",IF(L1409&gt;0,"Partial","Unpaid")))</f>
        <v/>
      </c>
      <c r="O1409" s="5" t="n"/>
      <c r="P1409" s="8" t="n"/>
      <c r="Q1409" s="8" t="n"/>
      <c r="R1409" s="11">
        <f>IF(B1409="","",IFERROR(K1409,0)+IFERROR(P1409,0)-IFERROR(Q1409,0))</f>
        <v/>
      </c>
      <c r="S1409" s="5" t="n"/>
      <c r="T1409" s="5" t="n"/>
      <c r="U1409" s="11">
        <f>IF(B1409="","",TRIM(LOWER(C1409)&amp;"|"&amp;LOWER(D1409)))</f>
        <v/>
      </c>
    </row>
    <row r="1410">
      <c r="A1410" s="11">
        <f>IF(B1410="","",TEXT(ROW()-3,"""DC-""0000"))</f>
        <v/>
      </c>
      <c r="B1410" s="5" t="n"/>
      <c r="C1410" s="5" t="n"/>
      <c r="D1410" s="5" t="n"/>
      <c r="E1410" s="5" t="n"/>
      <c r="F1410" s="5" t="n"/>
      <c r="G1410" s="5" t="n"/>
      <c r="H1410" s="8" t="n"/>
      <c r="I1410" s="8" t="n"/>
      <c r="J1410" s="8" t="n"/>
      <c r="K1410" s="11">
        <f>IF(B1410="","",MAX(0,IFERROR(I1410,0)*IFERROR(H1410,0)-IFERROR(J1410,0)))</f>
        <v/>
      </c>
      <c r="L1410" s="8" t="n"/>
      <c r="M1410" s="11">
        <f>IF(B1410="","",MAX(0,K1410-L1410))</f>
        <v/>
      </c>
      <c r="N1410" s="11">
        <f>IF(B1410="","",IF(L1410&gt;=K1410,"Paid",IF(L1410&gt;0,"Partial","Unpaid")))</f>
        <v/>
      </c>
      <c r="O1410" s="5" t="n"/>
      <c r="P1410" s="8" t="n"/>
      <c r="Q1410" s="8" t="n"/>
      <c r="R1410" s="11">
        <f>IF(B1410="","",IFERROR(K1410,0)+IFERROR(P1410,0)-IFERROR(Q1410,0))</f>
        <v/>
      </c>
      <c r="S1410" s="5" t="n"/>
      <c r="T1410" s="5" t="n"/>
      <c r="U1410" s="11">
        <f>IF(B1410="","",TRIM(LOWER(C1410)&amp;"|"&amp;LOWER(D1410)))</f>
        <v/>
      </c>
    </row>
    <row r="1411">
      <c r="A1411" s="11">
        <f>IF(B1411="","",TEXT(ROW()-3,"""DC-""0000"))</f>
        <v/>
      </c>
      <c r="B1411" s="5" t="n"/>
      <c r="C1411" s="5" t="n"/>
      <c r="D1411" s="5" t="n"/>
      <c r="E1411" s="5" t="n"/>
      <c r="F1411" s="5" t="n"/>
      <c r="G1411" s="5" t="n"/>
      <c r="H1411" s="8" t="n"/>
      <c r="I1411" s="8" t="n"/>
      <c r="J1411" s="8" t="n"/>
      <c r="K1411" s="11">
        <f>IF(B1411="","",MAX(0,IFERROR(I1411,0)*IFERROR(H1411,0)-IFERROR(J1411,0)))</f>
        <v/>
      </c>
      <c r="L1411" s="8" t="n"/>
      <c r="M1411" s="11">
        <f>IF(B1411="","",MAX(0,K1411-L1411))</f>
        <v/>
      </c>
      <c r="N1411" s="11">
        <f>IF(B1411="","",IF(L1411&gt;=K1411,"Paid",IF(L1411&gt;0,"Partial","Unpaid")))</f>
        <v/>
      </c>
      <c r="O1411" s="5" t="n"/>
      <c r="P1411" s="8" t="n"/>
      <c r="Q1411" s="8" t="n"/>
      <c r="R1411" s="11">
        <f>IF(B1411="","",IFERROR(K1411,0)+IFERROR(P1411,0)-IFERROR(Q1411,0))</f>
        <v/>
      </c>
      <c r="S1411" s="5" t="n"/>
      <c r="T1411" s="5" t="n"/>
      <c r="U1411" s="11">
        <f>IF(B1411="","",TRIM(LOWER(C1411)&amp;"|"&amp;LOWER(D1411)))</f>
        <v/>
      </c>
    </row>
    <row r="1412">
      <c r="A1412" s="11">
        <f>IF(B1412="","",TEXT(ROW()-3,"""DC-""0000"))</f>
        <v/>
      </c>
      <c r="B1412" s="5" t="n"/>
      <c r="C1412" s="5" t="n"/>
      <c r="D1412" s="5" t="n"/>
      <c r="E1412" s="5" t="n"/>
      <c r="F1412" s="5" t="n"/>
      <c r="G1412" s="5" t="n"/>
      <c r="H1412" s="8" t="n"/>
      <c r="I1412" s="8" t="n"/>
      <c r="J1412" s="8" t="n"/>
      <c r="K1412" s="11">
        <f>IF(B1412="","",MAX(0,IFERROR(I1412,0)*IFERROR(H1412,0)-IFERROR(J1412,0)))</f>
        <v/>
      </c>
      <c r="L1412" s="8" t="n"/>
      <c r="M1412" s="11">
        <f>IF(B1412="","",MAX(0,K1412-L1412))</f>
        <v/>
      </c>
      <c r="N1412" s="11">
        <f>IF(B1412="","",IF(L1412&gt;=K1412,"Paid",IF(L1412&gt;0,"Partial","Unpaid")))</f>
        <v/>
      </c>
      <c r="O1412" s="5" t="n"/>
      <c r="P1412" s="8" t="n"/>
      <c r="Q1412" s="8" t="n"/>
      <c r="R1412" s="11">
        <f>IF(B1412="","",IFERROR(K1412,0)+IFERROR(P1412,0)-IFERROR(Q1412,0))</f>
        <v/>
      </c>
      <c r="S1412" s="5" t="n"/>
      <c r="T1412" s="5" t="n"/>
      <c r="U1412" s="11">
        <f>IF(B1412="","",TRIM(LOWER(C1412)&amp;"|"&amp;LOWER(D1412)))</f>
        <v/>
      </c>
    </row>
    <row r="1413">
      <c r="A1413" s="11">
        <f>IF(B1413="","",TEXT(ROW()-3,"""DC-""0000"))</f>
        <v/>
      </c>
      <c r="B1413" s="5" t="n"/>
      <c r="C1413" s="5" t="n"/>
      <c r="D1413" s="5" t="n"/>
      <c r="E1413" s="5" t="n"/>
      <c r="F1413" s="5" t="n"/>
      <c r="G1413" s="5" t="n"/>
      <c r="H1413" s="8" t="n"/>
      <c r="I1413" s="8" t="n"/>
      <c r="J1413" s="8" t="n"/>
      <c r="K1413" s="11">
        <f>IF(B1413="","",MAX(0,IFERROR(I1413,0)*IFERROR(H1413,0)-IFERROR(J1413,0)))</f>
        <v/>
      </c>
      <c r="L1413" s="8" t="n"/>
      <c r="M1413" s="11">
        <f>IF(B1413="","",MAX(0,K1413-L1413))</f>
        <v/>
      </c>
      <c r="N1413" s="11">
        <f>IF(B1413="","",IF(L1413&gt;=K1413,"Paid",IF(L1413&gt;0,"Partial","Unpaid")))</f>
        <v/>
      </c>
      <c r="O1413" s="5" t="n"/>
      <c r="P1413" s="8" t="n"/>
      <c r="Q1413" s="8" t="n"/>
      <c r="R1413" s="11">
        <f>IF(B1413="","",IFERROR(K1413,0)+IFERROR(P1413,0)-IFERROR(Q1413,0))</f>
        <v/>
      </c>
      <c r="S1413" s="5" t="n"/>
      <c r="T1413" s="5" t="n"/>
      <c r="U1413" s="11">
        <f>IF(B1413="","",TRIM(LOWER(C1413)&amp;"|"&amp;LOWER(D1413)))</f>
        <v/>
      </c>
    </row>
    <row r="1414">
      <c r="A1414" s="11">
        <f>IF(B1414="","",TEXT(ROW()-3,"""DC-""0000"))</f>
        <v/>
      </c>
      <c r="B1414" s="5" t="n"/>
      <c r="C1414" s="5" t="n"/>
      <c r="D1414" s="5" t="n"/>
      <c r="E1414" s="5" t="n"/>
      <c r="F1414" s="5" t="n"/>
      <c r="G1414" s="5" t="n"/>
      <c r="H1414" s="8" t="n"/>
      <c r="I1414" s="8" t="n"/>
      <c r="J1414" s="8" t="n"/>
      <c r="K1414" s="11">
        <f>IF(B1414="","",MAX(0,IFERROR(I1414,0)*IFERROR(H1414,0)-IFERROR(J1414,0)))</f>
        <v/>
      </c>
      <c r="L1414" s="8" t="n"/>
      <c r="M1414" s="11">
        <f>IF(B1414="","",MAX(0,K1414-L1414))</f>
        <v/>
      </c>
      <c r="N1414" s="11">
        <f>IF(B1414="","",IF(L1414&gt;=K1414,"Paid",IF(L1414&gt;0,"Partial","Unpaid")))</f>
        <v/>
      </c>
      <c r="O1414" s="5" t="n"/>
      <c r="P1414" s="8" t="n"/>
      <c r="Q1414" s="8" t="n"/>
      <c r="R1414" s="11">
        <f>IF(B1414="","",IFERROR(K1414,0)+IFERROR(P1414,0)-IFERROR(Q1414,0))</f>
        <v/>
      </c>
      <c r="S1414" s="5" t="n"/>
      <c r="T1414" s="5" t="n"/>
      <c r="U1414" s="11">
        <f>IF(B1414="","",TRIM(LOWER(C1414)&amp;"|"&amp;LOWER(D1414)))</f>
        <v/>
      </c>
    </row>
    <row r="1415">
      <c r="A1415" s="11">
        <f>IF(B1415="","",TEXT(ROW()-3,"""DC-""0000"))</f>
        <v/>
      </c>
      <c r="B1415" s="5" t="n"/>
      <c r="C1415" s="5" t="n"/>
      <c r="D1415" s="5" t="n"/>
      <c r="E1415" s="5" t="n"/>
      <c r="F1415" s="5" t="n"/>
      <c r="G1415" s="5" t="n"/>
      <c r="H1415" s="8" t="n"/>
      <c r="I1415" s="8" t="n"/>
      <c r="J1415" s="8" t="n"/>
      <c r="K1415" s="11">
        <f>IF(B1415="","",MAX(0,IFERROR(I1415,0)*IFERROR(H1415,0)-IFERROR(J1415,0)))</f>
        <v/>
      </c>
      <c r="L1415" s="8" t="n"/>
      <c r="M1415" s="11">
        <f>IF(B1415="","",MAX(0,K1415-L1415))</f>
        <v/>
      </c>
      <c r="N1415" s="11">
        <f>IF(B1415="","",IF(L1415&gt;=K1415,"Paid",IF(L1415&gt;0,"Partial","Unpaid")))</f>
        <v/>
      </c>
      <c r="O1415" s="5" t="n"/>
      <c r="P1415" s="8" t="n"/>
      <c r="Q1415" s="8" t="n"/>
      <c r="R1415" s="11">
        <f>IF(B1415="","",IFERROR(K1415,0)+IFERROR(P1415,0)-IFERROR(Q1415,0))</f>
        <v/>
      </c>
      <c r="S1415" s="5" t="n"/>
      <c r="T1415" s="5" t="n"/>
      <c r="U1415" s="11">
        <f>IF(B1415="","",TRIM(LOWER(C1415)&amp;"|"&amp;LOWER(D1415)))</f>
        <v/>
      </c>
    </row>
    <row r="1416">
      <c r="A1416" s="11">
        <f>IF(B1416="","",TEXT(ROW()-3,"""DC-""0000"))</f>
        <v/>
      </c>
      <c r="B1416" s="5" t="n"/>
      <c r="C1416" s="5" t="n"/>
      <c r="D1416" s="5" t="n"/>
      <c r="E1416" s="5" t="n"/>
      <c r="F1416" s="5" t="n"/>
      <c r="G1416" s="5" t="n"/>
      <c r="H1416" s="8" t="n"/>
      <c r="I1416" s="8" t="n"/>
      <c r="J1416" s="8" t="n"/>
      <c r="K1416" s="11">
        <f>IF(B1416="","",MAX(0,IFERROR(I1416,0)*IFERROR(H1416,0)-IFERROR(J1416,0)))</f>
        <v/>
      </c>
      <c r="L1416" s="8" t="n"/>
      <c r="M1416" s="11">
        <f>IF(B1416="","",MAX(0,K1416-L1416))</f>
        <v/>
      </c>
      <c r="N1416" s="11">
        <f>IF(B1416="","",IF(L1416&gt;=K1416,"Paid",IF(L1416&gt;0,"Partial","Unpaid")))</f>
        <v/>
      </c>
      <c r="O1416" s="5" t="n"/>
      <c r="P1416" s="8" t="n"/>
      <c r="Q1416" s="8" t="n"/>
      <c r="R1416" s="11">
        <f>IF(B1416="","",IFERROR(K1416,0)+IFERROR(P1416,0)-IFERROR(Q1416,0))</f>
        <v/>
      </c>
      <c r="S1416" s="5" t="n"/>
      <c r="T1416" s="5" t="n"/>
      <c r="U1416" s="11">
        <f>IF(B1416="","",TRIM(LOWER(C1416)&amp;"|"&amp;LOWER(D1416)))</f>
        <v/>
      </c>
    </row>
    <row r="1417">
      <c r="A1417" s="11">
        <f>IF(B1417="","",TEXT(ROW()-3,"""DC-""0000"))</f>
        <v/>
      </c>
      <c r="B1417" s="5" t="n"/>
      <c r="C1417" s="5" t="n"/>
      <c r="D1417" s="5" t="n"/>
      <c r="E1417" s="5" t="n"/>
      <c r="F1417" s="5" t="n"/>
      <c r="G1417" s="5" t="n"/>
      <c r="H1417" s="8" t="n"/>
      <c r="I1417" s="8" t="n"/>
      <c r="J1417" s="8" t="n"/>
      <c r="K1417" s="11">
        <f>IF(B1417="","",MAX(0,IFERROR(I1417,0)*IFERROR(H1417,0)-IFERROR(J1417,0)))</f>
        <v/>
      </c>
      <c r="L1417" s="8" t="n"/>
      <c r="M1417" s="11">
        <f>IF(B1417="","",MAX(0,K1417-L1417))</f>
        <v/>
      </c>
      <c r="N1417" s="11">
        <f>IF(B1417="","",IF(L1417&gt;=K1417,"Paid",IF(L1417&gt;0,"Partial","Unpaid")))</f>
        <v/>
      </c>
      <c r="O1417" s="5" t="n"/>
      <c r="P1417" s="8" t="n"/>
      <c r="Q1417" s="8" t="n"/>
      <c r="R1417" s="11">
        <f>IF(B1417="","",IFERROR(K1417,0)+IFERROR(P1417,0)-IFERROR(Q1417,0))</f>
        <v/>
      </c>
      <c r="S1417" s="5" t="n"/>
      <c r="T1417" s="5" t="n"/>
      <c r="U1417" s="11">
        <f>IF(B1417="","",TRIM(LOWER(C1417)&amp;"|"&amp;LOWER(D1417)))</f>
        <v/>
      </c>
    </row>
    <row r="1418">
      <c r="A1418" s="11">
        <f>IF(B1418="","",TEXT(ROW()-3,"""DC-""0000"))</f>
        <v/>
      </c>
      <c r="B1418" s="5" t="n"/>
      <c r="C1418" s="5" t="n"/>
      <c r="D1418" s="5" t="n"/>
      <c r="E1418" s="5" t="n"/>
      <c r="F1418" s="5" t="n"/>
      <c r="G1418" s="5" t="n"/>
      <c r="H1418" s="8" t="n"/>
      <c r="I1418" s="8" t="n"/>
      <c r="J1418" s="8" t="n"/>
      <c r="K1418" s="11">
        <f>IF(B1418="","",MAX(0,IFERROR(I1418,0)*IFERROR(H1418,0)-IFERROR(J1418,0)))</f>
        <v/>
      </c>
      <c r="L1418" s="8" t="n"/>
      <c r="M1418" s="11">
        <f>IF(B1418="","",MAX(0,K1418-L1418))</f>
        <v/>
      </c>
      <c r="N1418" s="11">
        <f>IF(B1418="","",IF(L1418&gt;=K1418,"Paid",IF(L1418&gt;0,"Partial","Unpaid")))</f>
        <v/>
      </c>
      <c r="O1418" s="5" t="n"/>
      <c r="P1418" s="8" t="n"/>
      <c r="Q1418" s="8" t="n"/>
      <c r="R1418" s="11">
        <f>IF(B1418="","",IFERROR(K1418,0)+IFERROR(P1418,0)-IFERROR(Q1418,0))</f>
        <v/>
      </c>
      <c r="S1418" s="5" t="n"/>
      <c r="T1418" s="5" t="n"/>
      <c r="U1418" s="11">
        <f>IF(B1418="","",TRIM(LOWER(C1418)&amp;"|"&amp;LOWER(D1418)))</f>
        <v/>
      </c>
    </row>
    <row r="1419">
      <c r="A1419" s="11">
        <f>IF(B1419="","",TEXT(ROW()-3,"""DC-""0000"))</f>
        <v/>
      </c>
      <c r="B1419" s="5" t="n"/>
      <c r="C1419" s="5" t="n"/>
      <c r="D1419" s="5" t="n"/>
      <c r="E1419" s="5" t="n"/>
      <c r="F1419" s="5" t="n"/>
      <c r="G1419" s="5" t="n"/>
      <c r="H1419" s="8" t="n"/>
      <c r="I1419" s="8" t="n"/>
      <c r="J1419" s="8" t="n"/>
      <c r="K1419" s="11">
        <f>IF(B1419="","",MAX(0,IFERROR(I1419,0)*IFERROR(H1419,0)-IFERROR(J1419,0)))</f>
        <v/>
      </c>
      <c r="L1419" s="8" t="n"/>
      <c r="M1419" s="11">
        <f>IF(B1419="","",MAX(0,K1419-L1419))</f>
        <v/>
      </c>
      <c r="N1419" s="11">
        <f>IF(B1419="","",IF(L1419&gt;=K1419,"Paid",IF(L1419&gt;0,"Partial","Unpaid")))</f>
        <v/>
      </c>
      <c r="O1419" s="5" t="n"/>
      <c r="P1419" s="8" t="n"/>
      <c r="Q1419" s="8" t="n"/>
      <c r="R1419" s="11">
        <f>IF(B1419="","",IFERROR(K1419,0)+IFERROR(P1419,0)-IFERROR(Q1419,0))</f>
        <v/>
      </c>
      <c r="S1419" s="5" t="n"/>
      <c r="T1419" s="5" t="n"/>
      <c r="U1419" s="11">
        <f>IF(B1419="","",TRIM(LOWER(C1419)&amp;"|"&amp;LOWER(D1419)))</f>
        <v/>
      </c>
    </row>
    <row r="1420">
      <c r="A1420" s="11">
        <f>IF(B1420="","",TEXT(ROW()-3,"""DC-""0000"))</f>
        <v/>
      </c>
      <c r="B1420" s="5" t="n"/>
      <c r="C1420" s="5" t="n"/>
      <c r="D1420" s="5" t="n"/>
      <c r="E1420" s="5" t="n"/>
      <c r="F1420" s="5" t="n"/>
      <c r="G1420" s="5" t="n"/>
      <c r="H1420" s="8" t="n"/>
      <c r="I1420" s="8" t="n"/>
      <c r="J1420" s="8" t="n"/>
      <c r="K1420" s="11">
        <f>IF(B1420="","",MAX(0,IFERROR(I1420,0)*IFERROR(H1420,0)-IFERROR(J1420,0)))</f>
        <v/>
      </c>
      <c r="L1420" s="8" t="n"/>
      <c r="M1420" s="11">
        <f>IF(B1420="","",MAX(0,K1420-L1420))</f>
        <v/>
      </c>
      <c r="N1420" s="11">
        <f>IF(B1420="","",IF(L1420&gt;=K1420,"Paid",IF(L1420&gt;0,"Partial","Unpaid")))</f>
        <v/>
      </c>
      <c r="O1420" s="5" t="n"/>
      <c r="P1420" s="8" t="n"/>
      <c r="Q1420" s="8" t="n"/>
      <c r="R1420" s="11">
        <f>IF(B1420="","",IFERROR(K1420,0)+IFERROR(P1420,0)-IFERROR(Q1420,0))</f>
        <v/>
      </c>
      <c r="S1420" s="5" t="n"/>
      <c r="T1420" s="5" t="n"/>
      <c r="U1420" s="11">
        <f>IF(B1420="","",TRIM(LOWER(C1420)&amp;"|"&amp;LOWER(D1420)))</f>
        <v/>
      </c>
    </row>
    <row r="1421">
      <c r="A1421" s="11">
        <f>IF(B1421="","",TEXT(ROW()-3,"""DC-""0000"))</f>
        <v/>
      </c>
      <c r="B1421" s="5" t="n"/>
      <c r="C1421" s="5" t="n"/>
      <c r="D1421" s="5" t="n"/>
      <c r="E1421" s="5" t="n"/>
      <c r="F1421" s="5" t="n"/>
      <c r="G1421" s="5" t="n"/>
      <c r="H1421" s="8" t="n"/>
      <c r="I1421" s="8" t="n"/>
      <c r="J1421" s="8" t="n"/>
      <c r="K1421" s="11">
        <f>IF(B1421="","",MAX(0,IFERROR(I1421,0)*IFERROR(H1421,0)-IFERROR(J1421,0)))</f>
        <v/>
      </c>
      <c r="L1421" s="8" t="n"/>
      <c r="M1421" s="11">
        <f>IF(B1421="","",MAX(0,K1421-L1421))</f>
        <v/>
      </c>
      <c r="N1421" s="11">
        <f>IF(B1421="","",IF(L1421&gt;=K1421,"Paid",IF(L1421&gt;0,"Partial","Unpaid")))</f>
        <v/>
      </c>
      <c r="O1421" s="5" t="n"/>
      <c r="P1421" s="8" t="n"/>
      <c r="Q1421" s="8" t="n"/>
      <c r="R1421" s="11">
        <f>IF(B1421="","",IFERROR(K1421,0)+IFERROR(P1421,0)-IFERROR(Q1421,0))</f>
        <v/>
      </c>
      <c r="S1421" s="5" t="n"/>
      <c r="T1421" s="5" t="n"/>
      <c r="U1421" s="11">
        <f>IF(B1421="","",TRIM(LOWER(C1421)&amp;"|"&amp;LOWER(D1421)))</f>
        <v/>
      </c>
    </row>
    <row r="1422">
      <c r="A1422" s="11">
        <f>IF(B1422="","",TEXT(ROW()-3,"""DC-""0000"))</f>
        <v/>
      </c>
      <c r="B1422" s="5" t="n"/>
      <c r="C1422" s="5" t="n"/>
      <c r="D1422" s="5" t="n"/>
      <c r="E1422" s="5" t="n"/>
      <c r="F1422" s="5" t="n"/>
      <c r="G1422" s="5" t="n"/>
      <c r="H1422" s="8" t="n"/>
      <c r="I1422" s="8" t="n"/>
      <c r="J1422" s="8" t="n"/>
      <c r="K1422" s="11">
        <f>IF(B1422="","",MAX(0,IFERROR(I1422,0)*IFERROR(H1422,0)-IFERROR(J1422,0)))</f>
        <v/>
      </c>
      <c r="L1422" s="8" t="n"/>
      <c r="M1422" s="11">
        <f>IF(B1422="","",MAX(0,K1422-L1422))</f>
        <v/>
      </c>
      <c r="N1422" s="11">
        <f>IF(B1422="","",IF(L1422&gt;=K1422,"Paid",IF(L1422&gt;0,"Partial","Unpaid")))</f>
        <v/>
      </c>
      <c r="O1422" s="5" t="n"/>
      <c r="P1422" s="8" t="n"/>
      <c r="Q1422" s="8" t="n"/>
      <c r="R1422" s="11">
        <f>IF(B1422="","",IFERROR(K1422,0)+IFERROR(P1422,0)-IFERROR(Q1422,0))</f>
        <v/>
      </c>
      <c r="S1422" s="5" t="n"/>
      <c r="T1422" s="5" t="n"/>
      <c r="U1422" s="11">
        <f>IF(B1422="","",TRIM(LOWER(C1422)&amp;"|"&amp;LOWER(D1422)))</f>
        <v/>
      </c>
    </row>
    <row r="1423">
      <c r="A1423" s="11">
        <f>IF(B1423="","",TEXT(ROW()-3,"""DC-""0000"))</f>
        <v/>
      </c>
      <c r="B1423" s="5" t="n"/>
      <c r="C1423" s="5" t="n"/>
      <c r="D1423" s="5" t="n"/>
      <c r="E1423" s="5" t="n"/>
      <c r="F1423" s="5" t="n"/>
      <c r="G1423" s="5" t="n"/>
      <c r="H1423" s="8" t="n"/>
      <c r="I1423" s="8" t="n"/>
      <c r="J1423" s="8" t="n"/>
      <c r="K1423" s="11">
        <f>IF(B1423="","",MAX(0,IFERROR(I1423,0)*IFERROR(H1423,0)-IFERROR(J1423,0)))</f>
        <v/>
      </c>
      <c r="L1423" s="8" t="n"/>
      <c r="M1423" s="11">
        <f>IF(B1423="","",MAX(0,K1423-L1423))</f>
        <v/>
      </c>
      <c r="N1423" s="11">
        <f>IF(B1423="","",IF(L1423&gt;=K1423,"Paid",IF(L1423&gt;0,"Partial","Unpaid")))</f>
        <v/>
      </c>
      <c r="O1423" s="5" t="n"/>
      <c r="P1423" s="8" t="n"/>
      <c r="Q1423" s="8" t="n"/>
      <c r="R1423" s="11">
        <f>IF(B1423="","",IFERROR(K1423,0)+IFERROR(P1423,0)-IFERROR(Q1423,0))</f>
        <v/>
      </c>
      <c r="S1423" s="5" t="n"/>
      <c r="T1423" s="5" t="n"/>
      <c r="U1423" s="11">
        <f>IF(B1423="","",TRIM(LOWER(C1423)&amp;"|"&amp;LOWER(D1423)))</f>
        <v/>
      </c>
    </row>
    <row r="1424">
      <c r="A1424" s="11">
        <f>IF(B1424="","",TEXT(ROW()-3,"""DC-""0000"))</f>
        <v/>
      </c>
      <c r="B1424" s="5" t="n"/>
      <c r="C1424" s="5" t="n"/>
      <c r="D1424" s="5" t="n"/>
      <c r="E1424" s="5" t="n"/>
      <c r="F1424" s="5" t="n"/>
      <c r="G1424" s="5" t="n"/>
      <c r="H1424" s="8" t="n"/>
      <c r="I1424" s="8" t="n"/>
      <c r="J1424" s="8" t="n"/>
      <c r="K1424" s="11">
        <f>IF(B1424="","",MAX(0,IFERROR(I1424,0)*IFERROR(H1424,0)-IFERROR(J1424,0)))</f>
        <v/>
      </c>
      <c r="L1424" s="8" t="n"/>
      <c r="M1424" s="11">
        <f>IF(B1424="","",MAX(0,K1424-L1424))</f>
        <v/>
      </c>
      <c r="N1424" s="11">
        <f>IF(B1424="","",IF(L1424&gt;=K1424,"Paid",IF(L1424&gt;0,"Partial","Unpaid")))</f>
        <v/>
      </c>
      <c r="O1424" s="5" t="n"/>
      <c r="P1424" s="8" t="n"/>
      <c r="Q1424" s="8" t="n"/>
      <c r="R1424" s="11">
        <f>IF(B1424="","",IFERROR(K1424,0)+IFERROR(P1424,0)-IFERROR(Q1424,0))</f>
        <v/>
      </c>
      <c r="S1424" s="5" t="n"/>
      <c r="T1424" s="5" t="n"/>
      <c r="U1424" s="11">
        <f>IF(B1424="","",TRIM(LOWER(C1424)&amp;"|"&amp;LOWER(D1424)))</f>
        <v/>
      </c>
    </row>
    <row r="1425">
      <c r="A1425" s="11">
        <f>IF(B1425="","",TEXT(ROW()-3,"""DC-""0000"))</f>
        <v/>
      </c>
      <c r="B1425" s="5" t="n"/>
      <c r="C1425" s="5" t="n"/>
      <c r="D1425" s="5" t="n"/>
      <c r="E1425" s="5" t="n"/>
      <c r="F1425" s="5" t="n"/>
      <c r="G1425" s="5" t="n"/>
      <c r="H1425" s="8" t="n"/>
      <c r="I1425" s="8" t="n"/>
      <c r="J1425" s="8" t="n"/>
      <c r="K1425" s="11">
        <f>IF(B1425="","",MAX(0,IFERROR(I1425,0)*IFERROR(H1425,0)-IFERROR(J1425,0)))</f>
        <v/>
      </c>
      <c r="L1425" s="8" t="n"/>
      <c r="M1425" s="11">
        <f>IF(B1425="","",MAX(0,K1425-L1425))</f>
        <v/>
      </c>
      <c r="N1425" s="11">
        <f>IF(B1425="","",IF(L1425&gt;=K1425,"Paid",IF(L1425&gt;0,"Partial","Unpaid")))</f>
        <v/>
      </c>
      <c r="O1425" s="5" t="n"/>
      <c r="P1425" s="8" t="n"/>
      <c r="Q1425" s="8" t="n"/>
      <c r="R1425" s="11">
        <f>IF(B1425="","",IFERROR(K1425,0)+IFERROR(P1425,0)-IFERROR(Q1425,0))</f>
        <v/>
      </c>
      <c r="S1425" s="5" t="n"/>
      <c r="T1425" s="5" t="n"/>
      <c r="U1425" s="11">
        <f>IF(B1425="","",TRIM(LOWER(C1425)&amp;"|"&amp;LOWER(D1425)))</f>
        <v/>
      </c>
    </row>
    <row r="1426">
      <c r="A1426" s="11">
        <f>IF(B1426="","",TEXT(ROW()-3,"""DC-""0000"))</f>
        <v/>
      </c>
      <c r="B1426" s="5" t="n"/>
      <c r="C1426" s="5" t="n"/>
      <c r="D1426" s="5" t="n"/>
      <c r="E1426" s="5" t="n"/>
      <c r="F1426" s="5" t="n"/>
      <c r="G1426" s="5" t="n"/>
      <c r="H1426" s="8" t="n"/>
      <c r="I1426" s="8" t="n"/>
      <c r="J1426" s="8" t="n"/>
      <c r="K1426" s="11">
        <f>IF(B1426="","",MAX(0,IFERROR(I1426,0)*IFERROR(H1426,0)-IFERROR(J1426,0)))</f>
        <v/>
      </c>
      <c r="L1426" s="8" t="n"/>
      <c r="M1426" s="11">
        <f>IF(B1426="","",MAX(0,K1426-L1426))</f>
        <v/>
      </c>
      <c r="N1426" s="11">
        <f>IF(B1426="","",IF(L1426&gt;=K1426,"Paid",IF(L1426&gt;0,"Partial","Unpaid")))</f>
        <v/>
      </c>
      <c r="O1426" s="5" t="n"/>
      <c r="P1426" s="8" t="n"/>
      <c r="Q1426" s="8" t="n"/>
      <c r="R1426" s="11">
        <f>IF(B1426="","",IFERROR(K1426,0)+IFERROR(P1426,0)-IFERROR(Q1426,0))</f>
        <v/>
      </c>
      <c r="S1426" s="5" t="n"/>
      <c r="T1426" s="5" t="n"/>
      <c r="U1426" s="11">
        <f>IF(B1426="","",TRIM(LOWER(C1426)&amp;"|"&amp;LOWER(D1426)))</f>
        <v/>
      </c>
    </row>
    <row r="1427">
      <c r="A1427" s="11">
        <f>IF(B1427="","",TEXT(ROW()-3,"""DC-""0000"))</f>
        <v/>
      </c>
      <c r="B1427" s="5" t="n"/>
      <c r="C1427" s="5" t="n"/>
      <c r="D1427" s="5" t="n"/>
      <c r="E1427" s="5" t="n"/>
      <c r="F1427" s="5" t="n"/>
      <c r="G1427" s="5" t="n"/>
      <c r="H1427" s="8" t="n"/>
      <c r="I1427" s="8" t="n"/>
      <c r="J1427" s="8" t="n"/>
      <c r="K1427" s="11">
        <f>IF(B1427="","",MAX(0,IFERROR(I1427,0)*IFERROR(H1427,0)-IFERROR(J1427,0)))</f>
        <v/>
      </c>
      <c r="L1427" s="8" t="n"/>
      <c r="M1427" s="11">
        <f>IF(B1427="","",MAX(0,K1427-L1427))</f>
        <v/>
      </c>
      <c r="N1427" s="11">
        <f>IF(B1427="","",IF(L1427&gt;=K1427,"Paid",IF(L1427&gt;0,"Partial","Unpaid")))</f>
        <v/>
      </c>
      <c r="O1427" s="5" t="n"/>
      <c r="P1427" s="8" t="n"/>
      <c r="Q1427" s="8" t="n"/>
      <c r="R1427" s="11">
        <f>IF(B1427="","",IFERROR(K1427,0)+IFERROR(P1427,0)-IFERROR(Q1427,0))</f>
        <v/>
      </c>
      <c r="S1427" s="5" t="n"/>
      <c r="T1427" s="5" t="n"/>
      <c r="U1427" s="11">
        <f>IF(B1427="","",TRIM(LOWER(C1427)&amp;"|"&amp;LOWER(D1427)))</f>
        <v/>
      </c>
    </row>
    <row r="1428">
      <c r="A1428" s="11">
        <f>IF(B1428="","",TEXT(ROW()-3,"""DC-""0000"))</f>
        <v/>
      </c>
      <c r="B1428" s="5" t="n"/>
      <c r="C1428" s="5" t="n"/>
      <c r="D1428" s="5" t="n"/>
      <c r="E1428" s="5" t="n"/>
      <c r="F1428" s="5" t="n"/>
      <c r="G1428" s="5" t="n"/>
      <c r="H1428" s="8" t="n"/>
      <c r="I1428" s="8" t="n"/>
      <c r="J1428" s="8" t="n"/>
      <c r="K1428" s="11">
        <f>IF(B1428="","",MAX(0,IFERROR(I1428,0)*IFERROR(H1428,0)-IFERROR(J1428,0)))</f>
        <v/>
      </c>
      <c r="L1428" s="8" t="n"/>
      <c r="M1428" s="11">
        <f>IF(B1428="","",MAX(0,K1428-L1428))</f>
        <v/>
      </c>
      <c r="N1428" s="11">
        <f>IF(B1428="","",IF(L1428&gt;=K1428,"Paid",IF(L1428&gt;0,"Partial","Unpaid")))</f>
        <v/>
      </c>
      <c r="O1428" s="5" t="n"/>
      <c r="P1428" s="8" t="n"/>
      <c r="Q1428" s="8" t="n"/>
      <c r="R1428" s="11">
        <f>IF(B1428="","",IFERROR(K1428,0)+IFERROR(P1428,0)-IFERROR(Q1428,0))</f>
        <v/>
      </c>
      <c r="S1428" s="5" t="n"/>
      <c r="T1428" s="5" t="n"/>
      <c r="U1428" s="11">
        <f>IF(B1428="","",TRIM(LOWER(C1428)&amp;"|"&amp;LOWER(D1428)))</f>
        <v/>
      </c>
    </row>
    <row r="1429">
      <c r="A1429" s="11">
        <f>IF(B1429="","",TEXT(ROW()-3,"""DC-""0000"))</f>
        <v/>
      </c>
      <c r="B1429" s="5" t="n"/>
      <c r="C1429" s="5" t="n"/>
      <c r="D1429" s="5" t="n"/>
      <c r="E1429" s="5" t="n"/>
      <c r="F1429" s="5" t="n"/>
      <c r="G1429" s="5" t="n"/>
      <c r="H1429" s="8" t="n"/>
      <c r="I1429" s="8" t="n"/>
      <c r="J1429" s="8" t="n"/>
      <c r="K1429" s="11">
        <f>IF(B1429="","",MAX(0,IFERROR(I1429,0)*IFERROR(H1429,0)-IFERROR(J1429,0)))</f>
        <v/>
      </c>
      <c r="L1429" s="8" t="n"/>
      <c r="M1429" s="11">
        <f>IF(B1429="","",MAX(0,K1429-L1429))</f>
        <v/>
      </c>
      <c r="N1429" s="11">
        <f>IF(B1429="","",IF(L1429&gt;=K1429,"Paid",IF(L1429&gt;0,"Partial","Unpaid")))</f>
        <v/>
      </c>
      <c r="O1429" s="5" t="n"/>
      <c r="P1429" s="8" t="n"/>
      <c r="Q1429" s="8" t="n"/>
      <c r="R1429" s="11">
        <f>IF(B1429="","",IFERROR(K1429,0)+IFERROR(P1429,0)-IFERROR(Q1429,0))</f>
        <v/>
      </c>
      <c r="S1429" s="5" t="n"/>
      <c r="T1429" s="5" t="n"/>
      <c r="U1429" s="11">
        <f>IF(B1429="","",TRIM(LOWER(C1429)&amp;"|"&amp;LOWER(D1429)))</f>
        <v/>
      </c>
    </row>
    <row r="1430">
      <c r="A1430" s="11">
        <f>IF(B1430="","",TEXT(ROW()-3,"""DC-""0000"))</f>
        <v/>
      </c>
      <c r="B1430" s="5" t="n"/>
      <c r="C1430" s="5" t="n"/>
      <c r="D1430" s="5" t="n"/>
      <c r="E1430" s="5" t="n"/>
      <c r="F1430" s="5" t="n"/>
      <c r="G1430" s="5" t="n"/>
      <c r="H1430" s="8" t="n"/>
      <c r="I1430" s="8" t="n"/>
      <c r="J1430" s="8" t="n"/>
      <c r="K1430" s="11">
        <f>IF(B1430="","",MAX(0,IFERROR(I1430,0)*IFERROR(H1430,0)-IFERROR(J1430,0)))</f>
        <v/>
      </c>
      <c r="L1430" s="8" t="n"/>
      <c r="M1430" s="11">
        <f>IF(B1430="","",MAX(0,K1430-L1430))</f>
        <v/>
      </c>
      <c r="N1430" s="11">
        <f>IF(B1430="","",IF(L1430&gt;=K1430,"Paid",IF(L1430&gt;0,"Partial","Unpaid")))</f>
        <v/>
      </c>
      <c r="O1430" s="5" t="n"/>
      <c r="P1430" s="8" t="n"/>
      <c r="Q1430" s="8" t="n"/>
      <c r="R1430" s="11">
        <f>IF(B1430="","",IFERROR(K1430,0)+IFERROR(P1430,0)-IFERROR(Q1430,0))</f>
        <v/>
      </c>
      <c r="S1430" s="5" t="n"/>
      <c r="T1430" s="5" t="n"/>
      <c r="U1430" s="11">
        <f>IF(B1430="","",TRIM(LOWER(C1430)&amp;"|"&amp;LOWER(D1430)))</f>
        <v/>
      </c>
    </row>
    <row r="1431">
      <c r="A1431" s="11">
        <f>IF(B1431="","",TEXT(ROW()-3,"""DC-""0000"))</f>
        <v/>
      </c>
      <c r="B1431" s="5" t="n"/>
      <c r="C1431" s="5" t="n"/>
      <c r="D1431" s="5" t="n"/>
      <c r="E1431" s="5" t="n"/>
      <c r="F1431" s="5" t="n"/>
      <c r="G1431" s="5" t="n"/>
      <c r="H1431" s="8" t="n"/>
      <c r="I1431" s="8" t="n"/>
      <c r="J1431" s="8" t="n"/>
      <c r="K1431" s="11">
        <f>IF(B1431="","",MAX(0,IFERROR(I1431,0)*IFERROR(H1431,0)-IFERROR(J1431,0)))</f>
        <v/>
      </c>
      <c r="L1431" s="8" t="n"/>
      <c r="M1431" s="11">
        <f>IF(B1431="","",MAX(0,K1431-L1431))</f>
        <v/>
      </c>
      <c r="N1431" s="11">
        <f>IF(B1431="","",IF(L1431&gt;=K1431,"Paid",IF(L1431&gt;0,"Partial","Unpaid")))</f>
        <v/>
      </c>
      <c r="O1431" s="5" t="n"/>
      <c r="P1431" s="8" t="n"/>
      <c r="Q1431" s="8" t="n"/>
      <c r="R1431" s="11">
        <f>IF(B1431="","",IFERROR(K1431,0)+IFERROR(P1431,0)-IFERROR(Q1431,0))</f>
        <v/>
      </c>
      <c r="S1431" s="5" t="n"/>
      <c r="T1431" s="5" t="n"/>
      <c r="U1431" s="11">
        <f>IF(B1431="","",TRIM(LOWER(C1431)&amp;"|"&amp;LOWER(D1431)))</f>
        <v/>
      </c>
    </row>
    <row r="1432">
      <c r="A1432" s="11">
        <f>IF(B1432="","",TEXT(ROW()-3,"""DC-""0000"))</f>
        <v/>
      </c>
      <c r="B1432" s="5" t="n"/>
      <c r="C1432" s="5" t="n"/>
      <c r="D1432" s="5" t="n"/>
      <c r="E1432" s="5" t="n"/>
      <c r="F1432" s="5" t="n"/>
      <c r="G1432" s="5" t="n"/>
      <c r="H1432" s="8" t="n"/>
      <c r="I1432" s="8" t="n"/>
      <c r="J1432" s="8" t="n"/>
      <c r="K1432" s="11">
        <f>IF(B1432="","",MAX(0,IFERROR(I1432,0)*IFERROR(H1432,0)-IFERROR(J1432,0)))</f>
        <v/>
      </c>
      <c r="L1432" s="8" t="n"/>
      <c r="M1432" s="11">
        <f>IF(B1432="","",MAX(0,K1432-L1432))</f>
        <v/>
      </c>
      <c r="N1432" s="11">
        <f>IF(B1432="","",IF(L1432&gt;=K1432,"Paid",IF(L1432&gt;0,"Partial","Unpaid")))</f>
        <v/>
      </c>
      <c r="O1432" s="5" t="n"/>
      <c r="P1432" s="8" t="n"/>
      <c r="Q1432" s="8" t="n"/>
      <c r="R1432" s="11">
        <f>IF(B1432="","",IFERROR(K1432,0)+IFERROR(P1432,0)-IFERROR(Q1432,0))</f>
        <v/>
      </c>
      <c r="S1432" s="5" t="n"/>
      <c r="T1432" s="5" t="n"/>
      <c r="U1432" s="11">
        <f>IF(B1432="","",TRIM(LOWER(C1432)&amp;"|"&amp;LOWER(D1432)))</f>
        <v/>
      </c>
    </row>
    <row r="1433">
      <c r="A1433" s="11">
        <f>IF(B1433="","",TEXT(ROW()-3,"""DC-""0000"))</f>
        <v/>
      </c>
      <c r="B1433" s="5" t="n"/>
      <c r="C1433" s="5" t="n"/>
      <c r="D1433" s="5" t="n"/>
      <c r="E1433" s="5" t="n"/>
      <c r="F1433" s="5" t="n"/>
      <c r="G1433" s="5" t="n"/>
      <c r="H1433" s="8" t="n"/>
      <c r="I1433" s="8" t="n"/>
      <c r="J1433" s="8" t="n"/>
      <c r="K1433" s="11">
        <f>IF(B1433="","",MAX(0,IFERROR(I1433,0)*IFERROR(H1433,0)-IFERROR(J1433,0)))</f>
        <v/>
      </c>
      <c r="L1433" s="8" t="n"/>
      <c r="M1433" s="11">
        <f>IF(B1433="","",MAX(0,K1433-L1433))</f>
        <v/>
      </c>
      <c r="N1433" s="11">
        <f>IF(B1433="","",IF(L1433&gt;=K1433,"Paid",IF(L1433&gt;0,"Partial","Unpaid")))</f>
        <v/>
      </c>
      <c r="O1433" s="5" t="n"/>
      <c r="P1433" s="8" t="n"/>
      <c r="Q1433" s="8" t="n"/>
      <c r="R1433" s="11">
        <f>IF(B1433="","",IFERROR(K1433,0)+IFERROR(P1433,0)-IFERROR(Q1433,0))</f>
        <v/>
      </c>
      <c r="S1433" s="5" t="n"/>
      <c r="T1433" s="5" t="n"/>
      <c r="U1433" s="11">
        <f>IF(B1433="","",TRIM(LOWER(C1433)&amp;"|"&amp;LOWER(D1433)))</f>
        <v/>
      </c>
    </row>
    <row r="1434">
      <c r="A1434" s="11">
        <f>IF(B1434="","",TEXT(ROW()-3,"""DC-""0000"))</f>
        <v/>
      </c>
      <c r="B1434" s="5" t="n"/>
      <c r="C1434" s="5" t="n"/>
      <c r="D1434" s="5" t="n"/>
      <c r="E1434" s="5" t="n"/>
      <c r="F1434" s="5" t="n"/>
      <c r="G1434" s="5" t="n"/>
      <c r="H1434" s="8" t="n"/>
      <c r="I1434" s="8" t="n"/>
      <c r="J1434" s="8" t="n"/>
      <c r="K1434" s="11">
        <f>IF(B1434="","",MAX(0,IFERROR(I1434,0)*IFERROR(H1434,0)-IFERROR(J1434,0)))</f>
        <v/>
      </c>
      <c r="L1434" s="8" t="n"/>
      <c r="M1434" s="11">
        <f>IF(B1434="","",MAX(0,K1434-L1434))</f>
        <v/>
      </c>
      <c r="N1434" s="11">
        <f>IF(B1434="","",IF(L1434&gt;=K1434,"Paid",IF(L1434&gt;0,"Partial","Unpaid")))</f>
        <v/>
      </c>
      <c r="O1434" s="5" t="n"/>
      <c r="P1434" s="8" t="n"/>
      <c r="Q1434" s="8" t="n"/>
      <c r="R1434" s="11">
        <f>IF(B1434="","",IFERROR(K1434,0)+IFERROR(P1434,0)-IFERROR(Q1434,0))</f>
        <v/>
      </c>
      <c r="S1434" s="5" t="n"/>
      <c r="T1434" s="5" t="n"/>
      <c r="U1434" s="11">
        <f>IF(B1434="","",TRIM(LOWER(C1434)&amp;"|"&amp;LOWER(D1434)))</f>
        <v/>
      </c>
    </row>
    <row r="1435">
      <c r="A1435" s="11">
        <f>IF(B1435="","",TEXT(ROW()-3,"""DC-""0000"))</f>
        <v/>
      </c>
      <c r="B1435" s="5" t="n"/>
      <c r="C1435" s="5" t="n"/>
      <c r="D1435" s="5" t="n"/>
      <c r="E1435" s="5" t="n"/>
      <c r="F1435" s="5" t="n"/>
      <c r="G1435" s="5" t="n"/>
      <c r="H1435" s="8" t="n"/>
      <c r="I1435" s="8" t="n"/>
      <c r="J1435" s="8" t="n"/>
      <c r="K1435" s="11">
        <f>IF(B1435="","",MAX(0,IFERROR(I1435,0)*IFERROR(H1435,0)-IFERROR(J1435,0)))</f>
        <v/>
      </c>
      <c r="L1435" s="8" t="n"/>
      <c r="M1435" s="11">
        <f>IF(B1435="","",MAX(0,K1435-L1435))</f>
        <v/>
      </c>
      <c r="N1435" s="11">
        <f>IF(B1435="","",IF(L1435&gt;=K1435,"Paid",IF(L1435&gt;0,"Partial","Unpaid")))</f>
        <v/>
      </c>
      <c r="O1435" s="5" t="n"/>
      <c r="P1435" s="8" t="n"/>
      <c r="Q1435" s="8" t="n"/>
      <c r="R1435" s="11">
        <f>IF(B1435="","",IFERROR(K1435,0)+IFERROR(P1435,0)-IFERROR(Q1435,0))</f>
        <v/>
      </c>
      <c r="S1435" s="5" t="n"/>
      <c r="T1435" s="5" t="n"/>
      <c r="U1435" s="11">
        <f>IF(B1435="","",TRIM(LOWER(C1435)&amp;"|"&amp;LOWER(D1435)))</f>
        <v/>
      </c>
    </row>
    <row r="1436">
      <c r="A1436" s="11">
        <f>IF(B1436="","",TEXT(ROW()-3,"""DC-""0000"))</f>
        <v/>
      </c>
      <c r="B1436" s="5" t="n"/>
      <c r="C1436" s="5" t="n"/>
      <c r="D1436" s="5" t="n"/>
      <c r="E1436" s="5" t="n"/>
      <c r="F1436" s="5" t="n"/>
      <c r="G1436" s="5" t="n"/>
      <c r="H1436" s="8" t="n"/>
      <c r="I1436" s="8" t="n"/>
      <c r="J1436" s="8" t="n"/>
      <c r="K1436" s="11">
        <f>IF(B1436="","",MAX(0,IFERROR(I1436,0)*IFERROR(H1436,0)-IFERROR(J1436,0)))</f>
        <v/>
      </c>
      <c r="L1436" s="8" t="n"/>
      <c r="M1436" s="11">
        <f>IF(B1436="","",MAX(0,K1436-L1436))</f>
        <v/>
      </c>
      <c r="N1436" s="11">
        <f>IF(B1436="","",IF(L1436&gt;=K1436,"Paid",IF(L1436&gt;0,"Partial","Unpaid")))</f>
        <v/>
      </c>
      <c r="O1436" s="5" t="n"/>
      <c r="P1436" s="8" t="n"/>
      <c r="Q1436" s="8" t="n"/>
      <c r="R1436" s="11">
        <f>IF(B1436="","",IFERROR(K1436,0)+IFERROR(P1436,0)-IFERROR(Q1436,0))</f>
        <v/>
      </c>
      <c r="S1436" s="5" t="n"/>
      <c r="T1436" s="5" t="n"/>
      <c r="U1436" s="11">
        <f>IF(B1436="","",TRIM(LOWER(C1436)&amp;"|"&amp;LOWER(D1436)))</f>
        <v/>
      </c>
    </row>
    <row r="1437">
      <c r="A1437" s="11">
        <f>IF(B1437="","",TEXT(ROW()-3,"""DC-""0000"))</f>
        <v/>
      </c>
      <c r="B1437" s="5" t="n"/>
      <c r="C1437" s="5" t="n"/>
      <c r="D1437" s="5" t="n"/>
      <c r="E1437" s="5" t="n"/>
      <c r="F1437" s="5" t="n"/>
      <c r="G1437" s="5" t="n"/>
      <c r="H1437" s="8" t="n"/>
      <c r="I1437" s="8" t="n"/>
      <c r="J1437" s="8" t="n"/>
      <c r="K1437" s="11">
        <f>IF(B1437="","",MAX(0,IFERROR(I1437,0)*IFERROR(H1437,0)-IFERROR(J1437,0)))</f>
        <v/>
      </c>
      <c r="L1437" s="8" t="n"/>
      <c r="M1437" s="11">
        <f>IF(B1437="","",MAX(0,K1437-L1437))</f>
        <v/>
      </c>
      <c r="N1437" s="11">
        <f>IF(B1437="","",IF(L1437&gt;=K1437,"Paid",IF(L1437&gt;0,"Partial","Unpaid")))</f>
        <v/>
      </c>
      <c r="O1437" s="5" t="n"/>
      <c r="P1437" s="8" t="n"/>
      <c r="Q1437" s="8" t="n"/>
      <c r="R1437" s="11">
        <f>IF(B1437="","",IFERROR(K1437,0)+IFERROR(P1437,0)-IFERROR(Q1437,0))</f>
        <v/>
      </c>
      <c r="S1437" s="5" t="n"/>
      <c r="T1437" s="5" t="n"/>
      <c r="U1437" s="11">
        <f>IF(B1437="","",TRIM(LOWER(C1437)&amp;"|"&amp;LOWER(D1437)))</f>
        <v/>
      </c>
    </row>
    <row r="1438">
      <c r="A1438" s="11">
        <f>IF(B1438="","",TEXT(ROW()-3,"""DC-""0000"))</f>
        <v/>
      </c>
      <c r="B1438" s="5" t="n"/>
      <c r="C1438" s="5" t="n"/>
      <c r="D1438" s="5" t="n"/>
      <c r="E1438" s="5" t="n"/>
      <c r="F1438" s="5" t="n"/>
      <c r="G1438" s="5" t="n"/>
      <c r="H1438" s="8" t="n"/>
      <c r="I1438" s="8" t="n"/>
      <c r="J1438" s="8" t="n"/>
      <c r="K1438" s="11">
        <f>IF(B1438="","",MAX(0,IFERROR(I1438,0)*IFERROR(H1438,0)-IFERROR(J1438,0)))</f>
        <v/>
      </c>
      <c r="L1438" s="8" t="n"/>
      <c r="M1438" s="11">
        <f>IF(B1438="","",MAX(0,K1438-L1438))</f>
        <v/>
      </c>
      <c r="N1438" s="11">
        <f>IF(B1438="","",IF(L1438&gt;=K1438,"Paid",IF(L1438&gt;0,"Partial","Unpaid")))</f>
        <v/>
      </c>
      <c r="O1438" s="5" t="n"/>
      <c r="P1438" s="8" t="n"/>
      <c r="Q1438" s="8" t="n"/>
      <c r="R1438" s="11">
        <f>IF(B1438="","",IFERROR(K1438,0)+IFERROR(P1438,0)-IFERROR(Q1438,0))</f>
        <v/>
      </c>
      <c r="S1438" s="5" t="n"/>
      <c r="T1438" s="5" t="n"/>
      <c r="U1438" s="11">
        <f>IF(B1438="","",TRIM(LOWER(C1438)&amp;"|"&amp;LOWER(D1438)))</f>
        <v/>
      </c>
    </row>
    <row r="1439">
      <c r="A1439" s="11">
        <f>IF(B1439="","",TEXT(ROW()-3,"""DC-""0000"))</f>
        <v/>
      </c>
      <c r="B1439" s="5" t="n"/>
      <c r="C1439" s="5" t="n"/>
      <c r="D1439" s="5" t="n"/>
      <c r="E1439" s="5" t="n"/>
      <c r="F1439" s="5" t="n"/>
      <c r="G1439" s="5" t="n"/>
      <c r="H1439" s="8" t="n"/>
      <c r="I1439" s="8" t="n"/>
      <c r="J1439" s="8" t="n"/>
      <c r="K1439" s="11">
        <f>IF(B1439="","",MAX(0,IFERROR(I1439,0)*IFERROR(H1439,0)-IFERROR(J1439,0)))</f>
        <v/>
      </c>
      <c r="L1439" s="8" t="n"/>
      <c r="M1439" s="11">
        <f>IF(B1439="","",MAX(0,K1439-L1439))</f>
        <v/>
      </c>
      <c r="N1439" s="11">
        <f>IF(B1439="","",IF(L1439&gt;=K1439,"Paid",IF(L1439&gt;0,"Partial","Unpaid")))</f>
        <v/>
      </c>
      <c r="O1439" s="5" t="n"/>
      <c r="P1439" s="8" t="n"/>
      <c r="Q1439" s="8" t="n"/>
      <c r="R1439" s="11">
        <f>IF(B1439="","",IFERROR(K1439,0)+IFERROR(P1439,0)-IFERROR(Q1439,0))</f>
        <v/>
      </c>
      <c r="S1439" s="5" t="n"/>
      <c r="T1439" s="5" t="n"/>
      <c r="U1439" s="11">
        <f>IF(B1439="","",TRIM(LOWER(C1439)&amp;"|"&amp;LOWER(D1439)))</f>
        <v/>
      </c>
    </row>
    <row r="1440">
      <c r="A1440" s="11">
        <f>IF(B1440="","",TEXT(ROW()-3,"""DC-""0000"))</f>
        <v/>
      </c>
      <c r="B1440" s="5" t="n"/>
      <c r="C1440" s="5" t="n"/>
      <c r="D1440" s="5" t="n"/>
      <c r="E1440" s="5" t="n"/>
      <c r="F1440" s="5" t="n"/>
      <c r="G1440" s="5" t="n"/>
      <c r="H1440" s="8" t="n"/>
      <c r="I1440" s="8" t="n"/>
      <c r="J1440" s="8" t="n"/>
      <c r="K1440" s="11">
        <f>IF(B1440="","",MAX(0,IFERROR(I1440,0)*IFERROR(H1440,0)-IFERROR(J1440,0)))</f>
        <v/>
      </c>
      <c r="L1440" s="8" t="n"/>
      <c r="M1440" s="11">
        <f>IF(B1440="","",MAX(0,K1440-L1440))</f>
        <v/>
      </c>
      <c r="N1440" s="11">
        <f>IF(B1440="","",IF(L1440&gt;=K1440,"Paid",IF(L1440&gt;0,"Partial","Unpaid")))</f>
        <v/>
      </c>
      <c r="O1440" s="5" t="n"/>
      <c r="P1440" s="8" t="n"/>
      <c r="Q1440" s="8" t="n"/>
      <c r="R1440" s="11">
        <f>IF(B1440="","",IFERROR(K1440,0)+IFERROR(P1440,0)-IFERROR(Q1440,0))</f>
        <v/>
      </c>
      <c r="S1440" s="5" t="n"/>
      <c r="T1440" s="5" t="n"/>
      <c r="U1440" s="11">
        <f>IF(B1440="","",TRIM(LOWER(C1440)&amp;"|"&amp;LOWER(D1440)))</f>
        <v/>
      </c>
    </row>
    <row r="1441">
      <c r="A1441" s="11">
        <f>IF(B1441="","",TEXT(ROW()-3,"""DC-""0000"))</f>
        <v/>
      </c>
      <c r="B1441" s="5" t="n"/>
      <c r="C1441" s="5" t="n"/>
      <c r="D1441" s="5" t="n"/>
      <c r="E1441" s="5" t="n"/>
      <c r="F1441" s="5" t="n"/>
      <c r="G1441" s="5" t="n"/>
      <c r="H1441" s="8" t="n"/>
      <c r="I1441" s="8" t="n"/>
      <c r="J1441" s="8" t="n"/>
      <c r="K1441" s="11">
        <f>IF(B1441="","",MAX(0,IFERROR(I1441,0)*IFERROR(H1441,0)-IFERROR(J1441,0)))</f>
        <v/>
      </c>
      <c r="L1441" s="8" t="n"/>
      <c r="M1441" s="11">
        <f>IF(B1441="","",MAX(0,K1441-L1441))</f>
        <v/>
      </c>
      <c r="N1441" s="11">
        <f>IF(B1441="","",IF(L1441&gt;=K1441,"Paid",IF(L1441&gt;0,"Partial","Unpaid")))</f>
        <v/>
      </c>
      <c r="O1441" s="5" t="n"/>
      <c r="P1441" s="8" t="n"/>
      <c r="Q1441" s="8" t="n"/>
      <c r="R1441" s="11">
        <f>IF(B1441="","",IFERROR(K1441,0)+IFERROR(P1441,0)-IFERROR(Q1441,0))</f>
        <v/>
      </c>
      <c r="S1441" s="5" t="n"/>
      <c r="T1441" s="5" t="n"/>
      <c r="U1441" s="11">
        <f>IF(B1441="","",TRIM(LOWER(C1441)&amp;"|"&amp;LOWER(D1441)))</f>
        <v/>
      </c>
    </row>
    <row r="1442">
      <c r="A1442" s="11">
        <f>IF(B1442="","",TEXT(ROW()-3,"""DC-""0000"))</f>
        <v/>
      </c>
      <c r="B1442" s="5" t="n"/>
      <c r="C1442" s="5" t="n"/>
      <c r="D1442" s="5" t="n"/>
      <c r="E1442" s="5" t="n"/>
      <c r="F1442" s="5" t="n"/>
      <c r="G1442" s="5" t="n"/>
      <c r="H1442" s="8" t="n"/>
      <c r="I1442" s="8" t="n"/>
      <c r="J1442" s="8" t="n"/>
      <c r="K1442" s="11">
        <f>IF(B1442="","",MAX(0,IFERROR(I1442,0)*IFERROR(H1442,0)-IFERROR(J1442,0)))</f>
        <v/>
      </c>
      <c r="L1442" s="8" t="n"/>
      <c r="M1442" s="11">
        <f>IF(B1442="","",MAX(0,K1442-L1442))</f>
        <v/>
      </c>
      <c r="N1442" s="11">
        <f>IF(B1442="","",IF(L1442&gt;=K1442,"Paid",IF(L1442&gt;0,"Partial","Unpaid")))</f>
        <v/>
      </c>
      <c r="O1442" s="5" t="n"/>
      <c r="P1442" s="8" t="n"/>
      <c r="Q1442" s="8" t="n"/>
      <c r="R1442" s="11">
        <f>IF(B1442="","",IFERROR(K1442,0)+IFERROR(P1442,0)-IFERROR(Q1442,0))</f>
        <v/>
      </c>
      <c r="S1442" s="5" t="n"/>
      <c r="T1442" s="5" t="n"/>
      <c r="U1442" s="11">
        <f>IF(B1442="","",TRIM(LOWER(C1442)&amp;"|"&amp;LOWER(D1442)))</f>
        <v/>
      </c>
    </row>
    <row r="1443">
      <c r="A1443" s="11">
        <f>IF(B1443="","",TEXT(ROW()-3,"""DC-""0000"))</f>
        <v/>
      </c>
      <c r="B1443" s="5" t="n"/>
      <c r="C1443" s="5" t="n"/>
      <c r="D1443" s="5" t="n"/>
      <c r="E1443" s="5" t="n"/>
      <c r="F1443" s="5" t="n"/>
      <c r="G1443" s="5" t="n"/>
      <c r="H1443" s="8" t="n"/>
      <c r="I1443" s="8" t="n"/>
      <c r="J1443" s="8" t="n"/>
      <c r="K1443" s="11">
        <f>IF(B1443="","",MAX(0,IFERROR(I1443,0)*IFERROR(H1443,0)-IFERROR(J1443,0)))</f>
        <v/>
      </c>
      <c r="L1443" s="8" t="n"/>
      <c r="M1443" s="11">
        <f>IF(B1443="","",MAX(0,K1443-L1443))</f>
        <v/>
      </c>
      <c r="N1443" s="11">
        <f>IF(B1443="","",IF(L1443&gt;=K1443,"Paid",IF(L1443&gt;0,"Partial","Unpaid")))</f>
        <v/>
      </c>
      <c r="O1443" s="5" t="n"/>
      <c r="P1443" s="8" t="n"/>
      <c r="Q1443" s="8" t="n"/>
      <c r="R1443" s="11">
        <f>IF(B1443="","",IFERROR(K1443,0)+IFERROR(P1443,0)-IFERROR(Q1443,0))</f>
        <v/>
      </c>
      <c r="S1443" s="5" t="n"/>
      <c r="T1443" s="5" t="n"/>
      <c r="U1443" s="11">
        <f>IF(B1443="","",TRIM(LOWER(C1443)&amp;"|"&amp;LOWER(D1443)))</f>
        <v/>
      </c>
    </row>
    <row r="1444">
      <c r="A1444" s="11">
        <f>IF(B1444="","",TEXT(ROW()-3,"""DC-""0000"))</f>
        <v/>
      </c>
      <c r="B1444" s="5" t="n"/>
      <c r="C1444" s="5" t="n"/>
      <c r="D1444" s="5" t="n"/>
      <c r="E1444" s="5" t="n"/>
      <c r="F1444" s="5" t="n"/>
      <c r="G1444" s="5" t="n"/>
      <c r="H1444" s="8" t="n"/>
      <c r="I1444" s="8" t="n"/>
      <c r="J1444" s="8" t="n"/>
      <c r="K1444" s="11">
        <f>IF(B1444="","",MAX(0,IFERROR(I1444,0)*IFERROR(H1444,0)-IFERROR(J1444,0)))</f>
        <v/>
      </c>
      <c r="L1444" s="8" t="n"/>
      <c r="M1444" s="11">
        <f>IF(B1444="","",MAX(0,K1444-L1444))</f>
        <v/>
      </c>
      <c r="N1444" s="11">
        <f>IF(B1444="","",IF(L1444&gt;=K1444,"Paid",IF(L1444&gt;0,"Partial","Unpaid")))</f>
        <v/>
      </c>
      <c r="O1444" s="5" t="n"/>
      <c r="P1444" s="8" t="n"/>
      <c r="Q1444" s="8" t="n"/>
      <c r="R1444" s="11">
        <f>IF(B1444="","",IFERROR(K1444,0)+IFERROR(P1444,0)-IFERROR(Q1444,0))</f>
        <v/>
      </c>
      <c r="S1444" s="5" t="n"/>
      <c r="T1444" s="5" t="n"/>
      <c r="U1444" s="11">
        <f>IF(B1444="","",TRIM(LOWER(C1444)&amp;"|"&amp;LOWER(D1444)))</f>
        <v/>
      </c>
    </row>
    <row r="1445">
      <c r="A1445" s="11">
        <f>IF(B1445="","",TEXT(ROW()-3,"""DC-""0000"))</f>
        <v/>
      </c>
      <c r="B1445" s="5" t="n"/>
      <c r="C1445" s="5" t="n"/>
      <c r="D1445" s="5" t="n"/>
      <c r="E1445" s="5" t="n"/>
      <c r="F1445" s="5" t="n"/>
      <c r="G1445" s="5" t="n"/>
      <c r="H1445" s="8" t="n"/>
      <c r="I1445" s="8" t="n"/>
      <c r="J1445" s="8" t="n"/>
      <c r="K1445" s="11">
        <f>IF(B1445="","",MAX(0,IFERROR(I1445,0)*IFERROR(H1445,0)-IFERROR(J1445,0)))</f>
        <v/>
      </c>
      <c r="L1445" s="8" t="n"/>
      <c r="M1445" s="11">
        <f>IF(B1445="","",MAX(0,K1445-L1445))</f>
        <v/>
      </c>
      <c r="N1445" s="11">
        <f>IF(B1445="","",IF(L1445&gt;=K1445,"Paid",IF(L1445&gt;0,"Partial","Unpaid")))</f>
        <v/>
      </c>
      <c r="O1445" s="5" t="n"/>
      <c r="P1445" s="8" t="n"/>
      <c r="Q1445" s="8" t="n"/>
      <c r="R1445" s="11">
        <f>IF(B1445="","",IFERROR(K1445,0)+IFERROR(P1445,0)-IFERROR(Q1445,0))</f>
        <v/>
      </c>
      <c r="S1445" s="5" t="n"/>
      <c r="T1445" s="5" t="n"/>
      <c r="U1445" s="11">
        <f>IF(B1445="","",TRIM(LOWER(C1445)&amp;"|"&amp;LOWER(D1445)))</f>
        <v/>
      </c>
    </row>
    <row r="1446">
      <c r="A1446" s="11">
        <f>IF(B1446="","",TEXT(ROW()-3,"""DC-""0000"))</f>
        <v/>
      </c>
      <c r="B1446" s="5" t="n"/>
      <c r="C1446" s="5" t="n"/>
      <c r="D1446" s="5" t="n"/>
      <c r="E1446" s="5" t="n"/>
      <c r="F1446" s="5" t="n"/>
      <c r="G1446" s="5" t="n"/>
      <c r="H1446" s="8" t="n"/>
      <c r="I1446" s="8" t="n"/>
      <c r="J1446" s="8" t="n"/>
      <c r="K1446" s="11">
        <f>IF(B1446="","",MAX(0,IFERROR(I1446,0)*IFERROR(H1446,0)-IFERROR(J1446,0)))</f>
        <v/>
      </c>
      <c r="L1446" s="8" t="n"/>
      <c r="M1446" s="11">
        <f>IF(B1446="","",MAX(0,K1446-L1446))</f>
        <v/>
      </c>
      <c r="N1446" s="11">
        <f>IF(B1446="","",IF(L1446&gt;=K1446,"Paid",IF(L1446&gt;0,"Partial","Unpaid")))</f>
        <v/>
      </c>
      <c r="O1446" s="5" t="n"/>
      <c r="P1446" s="8" t="n"/>
      <c r="Q1446" s="8" t="n"/>
      <c r="R1446" s="11">
        <f>IF(B1446="","",IFERROR(K1446,0)+IFERROR(P1446,0)-IFERROR(Q1446,0))</f>
        <v/>
      </c>
      <c r="S1446" s="5" t="n"/>
      <c r="T1446" s="5" t="n"/>
      <c r="U1446" s="11">
        <f>IF(B1446="","",TRIM(LOWER(C1446)&amp;"|"&amp;LOWER(D1446)))</f>
        <v/>
      </c>
    </row>
    <row r="1447">
      <c r="A1447" s="11">
        <f>IF(B1447="","",TEXT(ROW()-3,"""DC-""0000"))</f>
        <v/>
      </c>
      <c r="B1447" s="5" t="n"/>
      <c r="C1447" s="5" t="n"/>
      <c r="D1447" s="5" t="n"/>
      <c r="E1447" s="5" t="n"/>
      <c r="F1447" s="5" t="n"/>
      <c r="G1447" s="5" t="n"/>
      <c r="H1447" s="8" t="n"/>
      <c r="I1447" s="8" t="n"/>
      <c r="J1447" s="8" t="n"/>
      <c r="K1447" s="11">
        <f>IF(B1447="","",MAX(0,IFERROR(I1447,0)*IFERROR(H1447,0)-IFERROR(J1447,0)))</f>
        <v/>
      </c>
      <c r="L1447" s="8" t="n"/>
      <c r="M1447" s="11">
        <f>IF(B1447="","",MAX(0,K1447-L1447))</f>
        <v/>
      </c>
      <c r="N1447" s="11">
        <f>IF(B1447="","",IF(L1447&gt;=K1447,"Paid",IF(L1447&gt;0,"Partial","Unpaid")))</f>
        <v/>
      </c>
      <c r="O1447" s="5" t="n"/>
      <c r="P1447" s="8" t="n"/>
      <c r="Q1447" s="8" t="n"/>
      <c r="R1447" s="11">
        <f>IF(B1447="","",IFERROR(K1447,0)+IFERROR(P1447,0)-IFERROR(Q1447,0))</f>
        <v/>
      </c>
      <c r="S1447" s="5" t="n"/>
      <c r="T1447" s="5" t="n"/>
      <c r="U1447" s="11">
        <f>IF(B1447="","",TRIM(LOWER(C1447)&amp;"|"&amp;LOWER(D1447)))</f>
        <v/>
      </c>
    </row>
    <row r="1448">
      <c r="A1448" s="11">
        <f>IF(B1448="","",TEXT(ROW()-3,"""DC-""0000"))</f>
        <v/>
      </c>
      <c r="B1448" s="5" t="n"/>
      <c r="C1448" s="5" t="n"/>
      <c r="D1448" s="5" t="n"/>
      <c r="E1448" s="5" t="n"/>
      <c r="F1448" s="5" t="n"/>
      <c r="G1448" s="5" t="n"/>
      <c r="H1448" s="8" t="n"/>
      <c r="I1448" s="8" t="n"/>
      <c r="J1448" s="8" t="n"/>
      <c r="K1448" s="11">
        <f>IF(B1448="","",MAX(0,IFERROR(I1448,0)*IFERROR(H1448,0)-IFERROR(J1448,0)))</f>
        <v/>
      </c>
      <c r="L1448" s="8" t="n"/>
      <c r="M1448" s="11">
        <f>IF(B1448="","",MAX(0,K1448-L1448))</f>
        <v/>
      </c>
      <c r="N1448" s="11">
        <f>IF(B1448="","",IF(L1448&gt;=K1448,"Paid",IF(L1448&gt;0,"Partial","Unpaid")))</f>
        <v/>
      </c>
      <c r="O1448" s="5" t="n"/>
      <c r="P1448" s="8" t="n"/>
      <c r="Q1448" s="8" t="n"/>
      <c r="R1448" s="11">
        <f>IF(B1448="","",IFERROR(K1448,0)+IFERROR(P1448,0)-IFERROR(Q1448,0))</f>
        <v/>
      </c>
      <c r="S1448" s="5" t="n"/>
      <c r="T1448" s="5" t="n"/>
      <c r="U1448" s="11">
        <f>IF(B1448="","",TRIM(LOWER(C1448)&amp;"|"&amp;LOWER(D1448)))</f>
        <v/>
      </c>
    </row>
    <row r="1449">
      <c r="A1449" s="11">
        <f>IF(B1449="","",TEXT(ROW()-3,"""DC-""0000"))</f>
        <v/>
      </c>
      <c r="B1449" s="5" t="n"/>
      <c r="C1449" s="5" t="n"/>
      <c r="D1449" s="5" t="n"/>
      <c r="E1449" s="5" t="n"/>
      <c r="F1449" s="5" t="n"/>
      <c r="G1449" s="5" t="n"/>
      <c r="H1449" s="8" t="n"/>
      <c r="I1449" s="8" t="n"/>
      <c r="J1449" s="8" t="n"/>
      <c r="K1449" s="11">
        <f>IF(B1449="","",MAX(0,IFERROR(I1449,0)*IFERROR(H1449,0)-IFERROR(J1449,0)))</f>
        <v/>
      </c>
      <c r="L1449" s="8" t="n"/>
      <c r="M1449" s="11">
        <f>IF(B1449="","",MAX(0,K1449-L1449))</f>
        <v/>
      </c>
      <c r="N1449" s="11">
        <f>IF(B1449="","",IF(L1449&gt;=K1449,"Paid",IF(L1449&gt;0,"Partial","Unpaid")))</f>
        <v/>
      </c>
      <c r="O1449" s="5" t="n"/>
      <c r="P1449" s="8" t="n"/>
      <c r="Q1449" s="8" t="n"/>
      <c r="R1449" s="11">
        <f>IF(B1449="","",IFERROR(K1449,0)+IFERROR(P1449,0)-IFERROR(Q1449,0))</f>
        <v/>
      </c>
      <c r="S1449" s="5" t="n"/>
      <c r="T1449" s="5" t="n"/>
      <c r="U1449" s="11">
        <f>IF(B1449="","",TRIM(LOWER(C1449)&amp;"|"&amp;LOWER(D1449)))</f>
        <v/>
      </c>
    </row>
    <row r="1450">
      <c r="A1450" s="11">
        <f>IF(B1450="","",TEXT(ROW()-3,"""DC-""0000"))</f>
        <v/>
      </c>
      <c r="B1450" s="5" t="n"/>
      <c r="C1450" s="5" t="n"/>
      <c r="D1450" s="5" t="n"/>
      <c r="E1450" s="5" t="n"/>
      <c r="F1450" s="5" t="n"/>
      <c r="G1450" s="5" t="n"/>
      <c r="H1450" s="8" t="n"/>
      <c r="I1450" s="8" t="n"/>
      <c r="J1450" s="8" t="n"/>
      <c r="K1450" s="11">
        <f>IF(B1450="","",MAX(0,IFERROR(I1450,0)*IFERROR(H1450,0)-IFERROR(J1450,0)))</f>
        <v/>
      </c>
      <c r="L1450" s="8" t="n"/>
      <c r="M1450" s="11">
        <f>IF(B1450="","",MAX(0,K1450-L1450))</f>
        <v/>
      </c>
      <c r="N1450" s="11">
        <f>IF(B1450="","",IF(L1450&gt;=K1450,"Paid",IF(L1450&gt;0,"Partial","Unpaid")))</f>
        <v/>
      </c>
      <c r="O1450" s="5" t="n"/>
      <c r="P1450" s="8" t="n"/>
      <c r="Q1450" s="8" t="n"/>
      <c r="R1450" s="11">
        <f>IF(B1450="","",IFERROR(K1450,0)+IFERROR(P1450,0)-IFERROR(Q1450,0))</f>
        <v/>
      </c>
      <c r="S1450" s="5" t="n"/>
      <c r="T1450" s="5" t="n"/>
      <c r="U1450" s="11">
        <f>IF(B1450="","",TRIM(LOWER(C1450)&amp;"|"&amp;LOWER(D1450)))</f>
        <v/>
      </c>
    </row>
    <row r="1451">
      <c r="A1451" s="11">
        <f>IF(B1451="","",TEXT(ROW()-3,"""DC-""0000"))</f>
        <v/>
      </c>
      <c r="B1451" s="5" t="n"/>
      <c r="C1451" s="5" t="n"/>
      <c r="D1451" s="5" t="n"/>
      <c r="E1451" s="5" t="n"/>
      <c r="F1451" s="5" t="n"/>
      <c r="G1451" s="5" t="n"/>
      <c r="H1451" s="8" t="n"/>
      <c r="I1451" s="8" t="n"/>
      <c r="J1451" s="8" t="n"/>
      <c r="K1451" s="11">
        <f>IF(B1451="","",MAX(0,IFERROR(I1451,0)*IFERROR(H1451,0)-IFERROR(J1451,0)))</f>
        <v/>
      </c>
      <c r="L1451" s="8" t="n"/>
      <c r="M1451" s="11">
        <f>IF(B1451="","",MAX(0,K1451-L1451))</f>
        <v/>
      </c>
      <c r="N1451" s="11">
        <f>IF(B1451="","",IF(L1451&gt;=K1451,"Paid",IF(L1451&gt;0,"Partial","Unpaid")))</f>
        <v/>
      </c>
      <c r="O1451" s="5" t="n"/>
      <c r="P1451" s="8" t="n"/>
      <c r="Q1451" s="8" t="n"/>
      <c r="R1451" s="11">
        <f>IF(B1451="","",IFERROR(K1451,0)+IFERROR(P1451,0)-IFERROR(Q1451,0))</f>
        <v/>
      </c>
      <c r="S1451" s="5" t="n"/>
      <c r="T1451" s="5" t="n"/>
      <c r="U1451" s="11">
        <f>IF(B1451="","",TRIM(LOWER(C1451)&amp;"|"&amp;LOWER(D1451)))</f>
        <v/>
      </c>
    </row>
    <row r="1452">
      <c r="A1452" s="11">
        <f>IF(B1452="","",TEXT(ROW()-3,"""DC-""0000"))</f>
        <v/>
      </c>
      <c r="B1452" s="5" t="n"/>
      <c r="C1452" s="5" t="n"/>
      <c r="D1452" s="5" t="n"/>
      <c r="E1452" s="5" t="n"/>
      <c r="F1452" s="5" t="n"/>
      <c r="G1452" s="5" t="n"/>
      <c r="H1452" s="8" t="n"/>
      <c r="I1452" s="8" t="n"/>
      <c r="J1452" s="8" t="n"/>
      <c r="K1452" s="11">
        <f>IF(B1452="","",MAX(0,IFERROR(I1452,0)*IFERROR(H1452,0)-IFERROR(J1452,0)))</f>
        <v/>
      </c>
      <c r="L1452" s="8" t="n"/>
      <c r="M1452" s="11">
        <f>IF(B1452="","",MAX(0,K1452-L1452))</f>
        <v/>
      </c>
      <c r="N1452" s="11">
        <f>IF(B1452="","",IF(L1452&gt;=K1452,"Paid",IF(L1452&gt;0,"Partial","Unpaid")))</f>
        <v/>
      </c>
      <c r="O1452" s="5" t="n"/>
      <c r="P1452" s="8" t="n"/>
      <c r="Q1452" s="8" t="n"/>
      <c r="R1452" s="11">
        <f>IF(B1452="","",IFERROR(K1452,0)+IFERROR(P1452,0)-IFERROR(Q1452,0))</f>
        <v/>
      </c>
      <c r="S1452" s="5" t="n"/>
      <c r="T1452" s="5" t="n"/>
      <c r="U1452" s="11">
        <f>IF(B1452="","",TRIM(LOWER(C1452)&amp;"|"&amp;LOWER(D1452)))</f>
        <v/>
      </c>
    </row>
    <row r="1453">
      <c r="A1453" s="11">
        <f>IF(B1453="","",TEXT(ROW()-3,"""DC-""0000"))</f>
        <v/>
      </c>
      <c r="B1453" s="5" t="n"/>
      <c r="C1453" s="5" t="n"/>
      <c r="D1453" s="5" t="n"/>
      <c r="E1453" s="5" t="n"/>
      <c r="F1453" s="5" t="n"/>
      <c r="G1453" s="5" t="n"/>
      <c r="H1453" s="8" t="n"/>
      <c r="I1453" s="8" t="n"/>
      <c r="J1453" s="8" t="n"/>
      <c r="K1453" s="11">
        <f>IF(B1453="","",MAX(0,IFERROR(I1453,0)*IFERROR(H1453,0)-IFERROR(J1453,0)))</f>
        <v/>
      </c>
      <c r="L1453" s="8" t="n"/>
      <c r="M1453" s="11">
        <f>IF(B1453="","",MAX(0,K1453-L1453))</f>
        <v/>
      </c>
      <c r="N1453" s="11">
        <f>IF(B1453="","",IF(L1453&gt;=K1453,"Paid",IF(L1453&gt;0,"Partial","Unpaid")))</f>
        <v/>
      </c>
      <c r="O1453" s="5" t="n"/>
      <c r="P1453" s="8" t="n"/>
      <c r="Q1453" s="8" t="n"/>
      <c r="R1453" s="11">
        <f>IF(B1453="","",IFERROR(K1453,0)+IFERROR(P1453,0)-IFERROR(Q1453,0))</f>
        <v/>
      </c>
      <c r="S1453" s="5" t="n"/>
      <c r="T1453" s="5" t="n"/>
      <c r="U1453" s="11">
        <f>IF(B1453="","",TRIM(LOWER(C1453)&amp;"|"&amp;LOWER(D1453)))</f>
        <v/>
      </c>
    </row>
    <row r="1454">
      <c r="A1454" s="11">
        <f>IF(B1454="","",TEXT(ROW()-3,"""DC-""0000"))</f>
        <v/>
      </c>
      <c r="B1454" s="5" t="n"/>
      <c r="C1454" s="5" t="n"/>
      <c r="D1454" s="5" t="n"/>
      <c r="E1454" s="5" t="n"/>
      <c r="F1454" s="5" t="n"/>
      <c r="G1454" s="5" t="n"/>
      <c r="H1454" s="8" t="n"/>
      <c r="I1454" s="8" t="n"/>
      <c r="J1454" s="8" t="n"/>
      <c r="K1454" s="11">
        <f>IF(B1454="","",MAX(0,IFERROR(I1454,0)*IFERROR(H1454,0)-IFERROR(J1454,0)))</f>
        <v/>
      </c>
      <c r="L1454" s="8" t="n"/>
      <c r="M1454" s="11">
        <f>IF(B1454="","",MAX(0,K1454-L1454))</f>
        <v/>
      </c>
      <c r="N1454" s="11">
        <f>IF(B1454="","",IF(L1454&gt;=K1454,"Paid",IF(L1454&gt;0,"Partial","Unpaid")))</f>
        <v/>
      </c>
      <c r="O1454" s="5" t="n"/>
      <c r="P1454" s="8" t="n"/>
      <c r="Q1454" s="8" t="n"/>
      <c r="R1454" s="11">
        <f>IF(B1454="","",IFERROR(K1454,0)+IFERROR(P1454,0)-IFERROR(Q1454,0))</f>
        <v/>
      </c>
      <c r="S1454" s="5" t="n"/>
      <c r="T1454" s="5" t="n"/>
      <c r="U1454" s="11">
        <f>IF(B1454="","",TRIM(LOWER(C1454)&amp;"|"&amp;LOWER(D1454)))</f>
        <v/>
      </c>
    </row>
    <row r="1455">
      <c r="A1455" s="11">
        <f>IF(B1455="","",TEXT(ROW()-3,"""DC-""0000"))</f>
        <v/>
      </c>
      <c r="B1455" s="5" t="n"/>
      <c r="C1455" s="5" t="n"/>
      <c r="D1455" s="5" t="n"/>
      <c r="E1455" s="5" t="n"/>
      <c r="F1455" s="5" t="n"/>
      <c r="G1455" s="5" t="n"/>
      <c r="H1455" s="8" t="n"/>
      <c r="I1455" s="8" t="n"/>
      <c r="J1455" s="8" t="n"/>
      <c r="K1455" s="11">
        <f>IF(B1455="","",MAX(0,IFERROR(I1455,0)*IFERROR(H1455,0)-IFERROR(J1455,0)))</f>
        <v/>
      </c>
      <c r="L1455" s="8" t="n"/>
      <c r="M1455" s="11">
        <f>IF(B1455="","",MAX(0,K1455-L1455))</f>
        <v/>
      </c>
      <c r="N1455" s="11">
        <f>IF(B1455="","",IF(L1455&gt;=K1455,"Paid",IF(L1455&gt;0,"Partial","Unpaid")))</f>
        <v/>
      </c>
      <c r="O1455" s="5" t="n"/>
      <c r="P1455" s="8" t="n"/>
      <c r="Q1455" s="8" t="n"/>
      <c r="R1455" s="11">
        <f>IF(B1455="","",IFERROR(K1455,0)+IFERROR(P1455,0)-IFERROR(Q1455,0))</f>
        <v/>
      </c>
      <c r="S1455" s="5" t="n"/>
      <c r="T1455" s="5" t="n"/>
      <c r="U1455" s="11">
        <f>IF(B1455="","",TRIM(LOWER(C1455)&amp;"|"&amp;LOWER(D1455)))</f>
        <v/>
      </c>
    </row>
    <row r="1456">
      <c r="A1456" s="11">
        <f>IF(B1456="","",TEXT(ROW()-3,"""DC-""0000"))</f>
        <v/>
      </c>
      <c r="B1456" s="5" t="n"/>
      <c r="C1456" s="5" t="n"/>
      <c r="D1456" s="5" t="n"/>
      <c r="E1456" s="5" t="n"/>
      <c r="F1456" s="5" t="n"/>
      <c r="G1456" s="5" t="n"/>
      <c r="H1456" s="8" t="n"/>
      <c r="I1456" s="8" t="n"/>
      <c r="J1456" s="8" t="n"/>
      <c r="K1456" s="11">
        <f>IF(B1456="","",MAX(0,IFERROR(I1456,0)*IFERROR(H1456,0)-IFERROR(J1456,0)))</f>
        <v/>
      </c>
      <c r="L1456" s="8" t="n"/>
      <c r="M1456" s="11">
        <f>IF(B1456="","",MAX(0,K1456-L1456))</f>
        <v/>
      </c>
      <c r="N1456" s="11">
        <f>IF(B1456="","",IF(L1456&gt;=K1456,"Paid",IF(L1456&gt;0,"Partial","Unpaid")))</f>
        <v/>
      </c>
      <c r="O1456" s="5" t="n"/>
      <c r="P1456" s="8" t="n"/>
      <c r="Q1456" s="8" t="n"/>
      <c r="R1456" s="11">
        <f>IF(B1456="","",IFERROR(K1456,0)+IFERROR(P1456,0)-IFERROR(Q1456,0))</f>
        <v/>
      </c>
      <c r="S1456" s="5" t="n"/>
      <c r="T1456" s="5" t="n"/>
      <c r="U1456" s="11">
        <f>IF(B1456="","",TRIM(LOWER(C1456)&amp;"|"&amp;LOWER(D1456)))</f>
        <v/>
      </c>
    </row>
    <row r="1457">
      <c r="A1457" s="11">
        <f>IF(B1457="","",TEXT(ROW()-3,"""DC-""0000"))</f>
        <v/>
      </c>
      <c r="B1457" s="5" t="n"/>
      <c r="C1457" s="5" t="n"/>
      <c r="D1457" s="5" t="n"/>
      <c r="E1457" s="5" t="n"/>
      <c r="F1457" s="5" t="n"/>
      <c r="G1457" s="5" t="n"/>
      <c r="H1457" s="8" t="n"/>
      <c r="I1457" s="8" t="n"/>
      <c r="J1457" s="8" t="n"/>
      <c r="K1457" s="11">
        <f>IF(B1457="","",MAX(0,IFERROR(I1457,0)*IFERROR(H1457,0)-IFERROR(J1457,0)))</f>
        <v/>
      </c>
      <c r="L1457" s="8" t="n"/>
      <c r="M1457" s="11">
        <f>IF(B1457="","",MAX(0,K1457-L1457))</f>
        <v/>
      </c>
      <c r="N1457" s="11">
        <f>IF(B1457="","",IF(L1457&gt;=K1457,"Paid",IF(L1457&gt;0,"Partial","Unpaid")))</f>
        <v/>
      </c>
      <c r="O1457" s="5" t="n"/>
      <c r="P1457" s="8" t="n"/>
      <c r="Q1457" s="8" t="n"/>
      <c r="R1457" s="11">
        <f>IF(B1457="","",IFERROR(K1457,0)+IFERROR(P1457,0)-IFERROR(Q1457,0))</f>
        <v/>
      </c>
      <c r="S1457" s="5" t="n"/>
      <c r="T1457" s="5" t="n"/>
      <c r="U1457" s="11">
        <f>IF(B1457="","",TRIM(LOWER(C1457)&amp;"|"&amp;LOWER(D1457)))</f>
        <v/>
      </c>
    </row>
    <row r="1458">
      <c r="A1458" s="11">
        <f>IF(B1458="","",TEXT(ROW()-3,"""DC-""0000"))</f>
        <v/>
      </c>
      <c r="B1458" s="5" t="n"/>
      <c r="C1458" s="5" t="n"/>
      <c r="D1458" s="5" t="n"/>
      <c r="E1458" s="5" t="n"/>
      <c r="F1458" s="5" t="n"/>
      <c r="G1458" s="5" t="n"/>
      <c r="H1458" s="8" t="n"/>
      <c r="I1458" s="8" t="n"/>
      <c r="J1458" s="8" t="n"/>
      <c r="K1458" s="11">
        <f>IF(B1458="","",MAX(0,IFERROR(I1458,0)*IFERROR(H1458,0)-IFERROR(J1458,0)))</f>
        <v/>
      </c>
      <c r="L1458" s="8" t="n"/>
      <c r="M1458" s="11">
        <f>IF(B1458="","",MAX(0,K1458-L1458))</f>
        <v/>
      </c>
      <c r="N1458" s="11">
        <f>IF(B1458="","",IF(L1458&gt;=K1458,"Paid",IF(L1458&gt;0,"Partial","Unpaid")))</f>
        <v/>
      </c>
      <c r="O1458" s="5" t="n"/>
      <c r="P1458" s="8" t="n"/>
      <c r="Q1458" s="8" t="n"/>
      <c r="R1458" s="11">
        <f>IF(B1458="","",IFERROR(K1458,0)+IFERROR(P1458,0)-IFERROR(Q1458,0))</f>
        <v/>
      </c>
      <c r="S1458" s="5" t="n"/>
      <c r="T1458" s="5" t="n"/>
      <c r="U1458" s="11">
        <f>IF(B1458="","",TRIM(LOWER(C1458)&amp;"|"&amp;LOWER(D1458)))</f>
        <v/>
      </c>
    </row>
    <row r="1459">
      <c r="A1459" s="11">
        <f>IF(B1459="","",TEXT(ROW()-3,"""DC-""0000"))</f>
        <v/>
      </c>
      <c r="B1459" s="5" t="n"/>
      <c r="C1459" s="5" t="n"/>
      <c r="D1459" s="5" t="n"/>
      <c r="E1459" s="5" t="n"/>
      <c r="F1459" s="5" t="n"/>
      <c r="G1459" s="5" t="n"/>
      <c r="H1459" s="8" t="n"/>
      <c r="I1459" s="8" t="n"/>
      <c r="J1459" s="8" t="n"/>
      <c r="K1459" s="11">
        <f>IF(B1459="","",MAX(0,IFERROR(I1459,0)*IFERROR(H1459,0)-IFERROR(J1459,0)))</f>
        <v/>
      </c>
      <c r="L1459" s="8" t="n"/>
      <c r="M1459" s="11">
        <f>IF(B1459="","",MAX(0,K1459-L1459))</f>
        <v/>
      </c>
      <c r="N1459" s="11">
        <f>IF(B1459="","",IF(L1459&gt;=K1459,"Paid",IF(L1459&gt;0,"Partial","Unpaid")))</f>
        <v/>
      </c>
      <c r="O1459" s="5" t="n"/>
      <c r="P1459" s="8" t="n"/>
      <c r="Q1459" s="8" t="n"/>
      <c r="R1459" s="11">
        <f>IF(B1459="","",IFERROR(K1459,0)+IFERROR(P1459,0)-IFERROR(Q1459,0))</f>
        <v/>
      </c>
      <c r="S1459" s="5" t="n"/>
      <c r="T1459" s="5" t="n"/>
      <c r="U1459" s="11">
        <f>IF(B1459="","",TRIM(LOWER(C1459)&amp;"|"&amp;LOWER(D1459)))</f>
        <v/>
      </c>
    </row>
    <row r="1460">
      <c r="A1460" s="11">
        <f>IF(B1460="","",TEXT(ROW()-3,"""DC-""0000"))</f>
        <v/>
      </c>
      <c r="B1460" s="5" t="n"/>
      <c r="C1460" s="5" t="n"/>
      <c r="D1460" s="5" t="n"/>
      <c r="E1460" s="5" t="n"/>
      <c r="F1460" s="5" t="n"/>
      <c r="G1460" s="5" t="n"/>
      <c r="H1460" s="8" t="n"/>
      <c r="I1460" s="8" t="n"/>
      <c r="J1460" s="8" t="n"/>
      <c r="K1460" s="11">
        <f>IF(B1460="","",MAX(0,IFERROR(I1460,0)*IFERROR(H1460,0)-IFERROR(J1460,0)))</f>
        <v/>
      </c>
      <c r="L1460" s="8" t="n"/>
      <c r="M1460" s="11">
        <f>IF(B1460="","",MAX(0,K1460-L1460))</f>
        <v/>
      </c>
      <c r="N1460" s="11">
        <f>IF(B1460="","",IF(L1460&gt;=K1460,"Paid",IF(L1460&gt;0,"Partial","Unpaid")))</f>
        <v/>
      </c>
      <c r="O1460" s="5" t="n"/>
      <c r="P1460" s="8" t="n"/>
      <c r="Q1460" s="8" t="n"/>
      <c r="R1460" s="11">
        <f>IF(B1460="","",IFERROR(K1460,0)+IFERROR(P1460,0)-IFERROR(Q1460,0))</f>
        <v/>
      </c>
      <c r="S1460" s="5" t="n"/>
      <c r="T1460" s="5" t="n"/>
      <c r="U1460" s="11">
        <f>IF(B1460="","",TRIM(LOWER(C1460)&amp;"|"&amp;LOWER(D1460)))</f>
        <v/>
      </c>
    </row>
    <row r="1461">
      <c r="A1461" s="11">
        <f>IF(B1461="","",TEXT(ROW()-3,"""DC-""0000"))</f>
        <v/>
      </c>
      <c r="B1461" s="5" t="n"/>
      <c r="C1461" s="5" t="n"/>
      <c r="D1461" s="5" t="n"/>
      <c r="E1461" s="5" t="n"/>
      <c r="F1461" s="5" t="n"/>
      <c r="G1461" s="5" t="n"/>
      <c r="H1461" s="8" t="n"/>
      <c r="I1461" s="8" t="n"/>
      <c r="J1461" s="8" t="n"/>
      <c r="K1461" s="11">
        <f>IF(B1461="","",MAX(0,IFERROR(I1461,0)*IFERROR(H1461,0)-IFERROR(J1461,0)))</f>
        <v/>
      </c>
      <c r="L1461" s="8" t="n"/>
      <c r="M1461" s="11">
        <f>IF(B1461="","",MAX(0,K1461-L1461))</f>
        <v/>
      </c>
      <c r="N1461" s="11">
        <f>IF(B1461="","",IF(L1461&gt;=K1461,"Paid",IF(L1461&gt;0,"Partial","Unpaid")))</f>
        <v/>
      </c>
      <c r="O1461" s="5" t="n"/>
      <c r="P1461" s="8" t="n"/>
      <c r="Q1461" s="8" t="n"/>
      <c r="R1461" s="11">
        <f>IF(B1461="","",IFERROR(K1461,0)+IFERROR(P1461,0)-IFERROR(Q1461,0))</f>
        <v/>
      </c>
      <c r="S1461" s="5" t="n"/>
      <c r="T1461" s="5" t="n"/>
      <c r="U1461" s="11">
        <f>IF(B1461="","",TRIM(LOWER(C1461)&amp;"|"&amp;LOWER(D1461)))</f>
        <v/>
      </c>
    </row>
    <row r="1462">
      <c r="A1462" s="11">
        <f>IF(B1462="","",TEXT(ROW()-3,"""DC-""0000"))</f>
        <v/>
      </c>
      <c r="B1462" s="5" t="n"/>
      <c r="C1462" s="5" t="n"/>
      <c r="D1462" s="5" t="n"/>
      <c r="E1462" s="5" t="n"/>
      <c r="F1462" s="5" t="n"/>
      <c r="G1462" s="5" t="n"/>
      <c r="H1462" s="8" t="n"/>
      <c r="I1462" s="8" t="n"/>
      <c r="J1462" s="8" t="n"/>
      <c r="K1462" s="11">
        <f>IF(B1462="","",MAX(0,IFERROR(I1462,0)*IFERROR(H1462,0)-IFERROR(J1462,0)))</f>
        <v/>
      </c>
      <c r="L1462" s="8" t="n"/>
      <c r="M1462" s="11">
        <f>IF(B1462="","",MAX(0,K1462-L1462))</f>
        <v/>
      </c>
      <c r="N1462" s="11">
        <f>IF(B1462="","",IF(L1462&gt;=K1462,"Paid",IF(L1462&gt;0,"Partial","Unpaid")))</f>
        <v/>
      </c>
      <c r="O1462" s="5" t="n"/>
      <c r="P1462" s="8" t="n"/>
      <c r="Q1462" s="8" t="n"/>
      <c r="R1462" s="11">
        <f>IF(B1462="","",IFERROR(K1462,0)+IFERROR(P1462,0)-IFERROR(Q1462,0))</f>
        <v/>
      </c>
      <c r="S1462" s="5" t="n"/>
      <c r="T1462" s="5" t="n"/>
      <c r="U1462" s="11">
        <f>IF(B1462="","",TRIM(LOWER(C1462)&amp;"|"&amp;LOWER(D1462)))</f>
        <v/>
      </c>
    </row>
    <row r="1463">
      <c r="A1463" s="11">
        <f>IF(B1463="","",TEXT(ROW()-3,"""DC-""0000"))</f>
        <v/>
      </c>
      <c r="B1463" s="5" t="n"/>
      <c r="C1463" s="5" t="n"/>
      <c r="D1463" s="5" t="n"/>
      <c r="E1463" s="5" t="n"/>
      <c r="F1463" s="5" t="n"/>
      <c r="G1463" s="5" t="n"/>
      <c r="H1463" s="8" t="n"/>
      <c r="I1463" s="8" t="n"/>
      <c r="J1463" s="8" t="n"/>
      <c r="K1463" s="11">
        <f>IF(B1463="","",MAX(0,IFERROR(I1463,0)*IFERROR(H1463,0)-IFERROR(J1463,0)))</f>
        <v/>
      </c>
      <c r="L1463" s="8" t="n"/>
      <c r="M1463" s="11">
        <f>IF(B1463="","",MAX(0,K1463-L1463))</f>
        <v/>
      </c>
      <c r="N1463" s="11">
        <f>IF(B1463="","",IF(L1463&gt;=K1463,"Paid",IF(L1463&gt;0,"Partial","Unpaid")))</f>
        <v/>
      </c>
      <c r="O1463" s="5" t="n"/>
      <c r="P1463" s="8" t="n"/>
      <c r="Q1463" s="8" t="n"/>
      <c r="R1463" s="11">
        <f>IF(B1463="","",IFERROR(K1463,0)+IFERROR(P1463,0)-IFERROR(Q1463,0))</f>
        <v/>
      </c>
      <c r="S1463" s="5" t="n"/>
      <c r="T1463" s="5" t="n"/>
      <c r="U1463" s="11">
        <f>IF(B1463="","",TRIM(LOWER(C1463)&amp;"|"&amp;LOWER(D1463)))</f>
        <v/>
      </c>
    </row>
    <row r="1464">
      <c r="A1464" s="11">
        <f>IF(B1464="","",TEXT(ROW()-3,"""DC-""0000"))</f>
        <v/>
      </c>
      <c r="B1464" s="5" t="n"/>
      <c r="C1464" s="5" t="n"/>
      <c r="D1464" s="5" t="n"/>
      <c r="E1464" s="5" t="n"/>
      <c r="F1464" s="5" t="n"/>
      <c r="G1464" s="5" t="n"/>
      <c r="H1464" s="8" t="n"/>
      <c r="I1464" s="8" t="n"/>
      <c r="J1464" s="8" t="n"/>
      <c r="K1464" s="11">
        <f>IF(B1464="","",MAX(0,IFERROR(I1464,0)*IFERROR(H1464,0)-IFERROR(J1464,0)))</f>
        <v/>
      </c>
      <c r="L1464" s="8" t="n"/>
      <c r="M1464" s="11">
        <f>IF(B1464="","",MAX(0,K1464-L1464))</f>
        <v/>
      </c>
      <c r="N1464" s="11">
        <f>IF(B1464="","",IF(L1464&gt;=K1464,"Paid",IF(L1464&gt;0,"Partial","Unpaid")))</f>
        <v/>
      </c>
      <c r="O1464" s="5" t="n"/>
      <c r="P1464" s="8" t="n"/>
      <c r="Q1464" s="8" t="n"/>
      <c r="R1464" s="11">
        <f>IF(B1464="","",IFERROR(K1464,0)+IFERROR(P1464,0)-IFERROR(Q1464,0))</f>
        <v/>
      </c>
      <c r="S1464" s="5" t="n"/>
      <c r="T1464" s="5" t="n"/>
      <c r="U1464" s="11">
        <f>IF(B1464="","",TRIM(LOWER(C1464)&amp;"|"&amp;LOWER(D1464)))</f>
        <v/>
      </c>
    </row>
    <row r="1465">
      <c r="A1465" s="11">
        <f>IF(B1465="","",TEXT(ROW()-3,"""DC-""0000"))</f>
        <v/>
      </c>
      <c r="B1465" s="5" t="n"/>
      <c r="C1465" s="5" t="n"/>
      <c r="D1465" s="5" t="n"/>
      <c r="E1465" s="5" t="n"/>
      <c r="F1465" s="5" t="n"/>
      <c r="G1465" s="5" t="n"/>
      <c r="H1465" s="8" t="n"/>
      <c r="I1465" s="8" t="n"/>
      <c r="J1465" s="8" t="n"/>
      <c r="K1465" s="11">
        <f>IF(B1465="","",MAX(0,IFERROR(I1465,0)*IFERROR(H1465,0)-IFERROR(J1465,0)))</f>
        <v/>
      </c>
      <c r="L1465" s="8" t="n"/>
      <c r="M1465" s="11">
        <f>IF(B1465="","",MAX(0,K1465-L1465))</f>
        <v/>
      </c>
      <c r="N1465" s="11">
        <f>IF(B1465="","",IF(L1465&gt;=K1465,"Paid",IF(L1465&gt;0,"Partial","Unpaid")))</f>
        <v/>
      </c>
      <c r="O1465" s="5" t="n"/>
      <c r="P1465" s="8" t="n"/>
      <c r="Q1465" s="8" t="n"/>
      <c r="R1465" s="11">
        <f>IF(B1465="","",IFERROR(K1465,0)+IFERROR(P1465,0)-IFERROR(Q1465,0))</f>
        <v/>
      </c>
      <c r="S1465" s="5" t="n"/>
      <c r="T1465" s="5" t="n"/>
      <c r="U1465" s="11">
        <f>IF(B1465="","",TRIM(LOWER(C1465)&amp;"|"&amp;LOWER(D1465)))</f>
        <v/>
      </c>
    </row>
    <row r="1466">
      <c r="A1466" s="11">
        <f>IF(B1466="","",TEXT(ROW()-3,"""DC-""0000"))</f>
        <v/>
      </c>
      <c r="B1466" s="5" t="n"/>
      <c r="C1466" s="5" t="n"/>
      <c r="D1466" s="5" t="n"/>
      <c r="E1466" s="5" t="n"/>
      <c r="F1466" s="5" t="n"/>
      <c r="G1466" s="5" t="n"/>
      <c r="H1466" s="8" t="n"/>
      <c r="I1466" s="8" t="n"/>
      <c r="J1466" s="8" t="n"/>
      <c r="K1466" s="11">
        <f>IF(B1466="","",MAX(0,IFERROR(I1466,0)*IFERROR(H1466,0)-IFERROR(J1466,0)))</f>
        <v/>
      </c>
      <c r="L1466" s="8" t="n"/>
      <c r="M1466" s="11">
        <f>IF(B1466="","",MAX(0,K1466-L1466))</f>
        <v/>
      </c>
      <c r="N1466" s="11">
        <f>IF(B1466="","",IF(L1466&gt;=K1466,"Paid",IF(L1466&gt;0,"Partial","Unpaid")))</f>
        <v/>
      </c>
      <c r="O1466" s="5" t="n"/>
      <c r="P1466" s="8" t="n"/>
      <c r="Q1466" s="8" t="n"/>
      <c r="R1466" s="11">
        <f>IF(B1466="","",IFERROR(K1466,0)+IFERROR(P1466,0)-IFERROR(Q1466,0))</f>
        <v/>
      </c>
      <c r="S1466" s="5" t="n"/>
      <c r="T1466" s="5" t="n"/>
      <c r="U1466" s="11">
        <f>IF(B1466="","",TRIM(LOWER(C1466)&amp;"|"&amp;LOWER(D1466)))</f>
        <v/>
      </c>
    </row>
    <row r="1467">
      <c r="A1467" s="11">
        <f>IF(B1467="","",TEXT(ROW()-3,"""DC-""0000"))</f>
        <v/>
      </c>
      <c r="B1467" s="5" t="n"/>
      <c r="C1467" s="5" t="n"/>
      <c r="D1467" s="5" t="n"/>
      <c r="E1467" s="5" t="n"/>
      <c r="F1467" s="5" t="n"/>
      <c r="G1467" s="5" t="n"/>
      <c r="H1467" s="8" t="n"/>
      <c r="I1467" s="8" t="n"/>
      <c r="J1467" s="8" t="n"/>
      <c r="K1467" s="11">
        <f>IF(B1467="","",MAX(0,IFERROR(I1467,0)*IFERROR(H1467,0)-IFERROR(J1467,0)))</f>
        <v/>
      </c>
      <c r="L1467" s="8" t="n"/>
      <c r="M1467" s="11">
        <f>IF(B1467="","",MAX(0,K1467-L1467))</f>
        <v/>
      </c>
      <c r="N1467" s="11">
        <f>IF(B1467="","",IF(L1467&gt;=K1467,"Paid",IF(L1467&gt;0,"Partial","Unpaid")))</f>
        <v/>
      </c>
      <c r="O1467" s="5" t="n"/>
      <c r="P1467" s="8" t="n"/>
      <c r="Q1467" s="8" t="n"/>
      <c r="R1467" s="11">
        <f>IF(B1467="","",IFERROR(K1467,0)+IFERROR(P1467,0)-IFERROR(Q1467,0))</f>
        <v/>
      </c>
      <c r="S1467" s="5" t="n"/>
      <c r="T1467" s="5" t="n"/>
      <c r="U1467" s="11">
        <f>IF(B1467="","",TRIM(LOWER(C1467)&amp;"|"&amp;LOWER(D1467)))</f>
        <v/>
      </c>
    </row>
    <row r="1468">
      <c r="A1468" s="11">
        <f>IF(B1468="","",TEXT(ROW()-3,"""DC-""0000"))</f>
        <v/>
      </c>
      <c r="B1468" s="5" t="n"/>
      <c r="C1468" s="5" t="n"/>
      <c r="D1468" s="5" t="n"/>
      <c r="E1468" s="5" t="n"/>
      <c r="F1468" s="5" t="n"/>
      <c r="G1468" s="5" t="n"/>
      <c r="H1468" s="8" t="n"/>
      <c r="I1468" s="8" t="n"/>
      <c r="J1468" s="8" t="n"/>
      <c r="K1468" s="11">
        <f>IF(B1468="","",MAX(0,IFERROR(I1468,0)*IFERROR(H1468,0)-IFERROR(J1468,0)))</f>
        <v/>
      </c>
      <c r="L1468" s="8" t="n"/>
      <c r="M1468" s="11">
        <f>IF(B1468="","",MAX(0,K1468-L1468))</f>
        <v/>
      </c>
      <c r="N1468" s="11">
        <f>IF(B1468="","",IF(L1468&gt;=K1468,"Paid",IF(L1468&gt;0,"Partial","Unpaid")))</f>
        <v/>
      </c>
      <c r="O1468" s="5" t="n"/>
      <c r="P1468" s="8" t="n"/>
      <c r="Q1468" s="8" t="n"/>
      <c r="R1468" s="11">
        <f>IF(B1468="","",IFERROR(K1468,0)+IFERROR(P1468,0)-IFERROR(Q1468,0))</f>
        <v/>
      </c>
      <c r="S1468" s="5" t="n"/>
      <c r="T1468" s="5" t="n"/>
      <c r="U1468" s="11">
        <f>IF(B1468="","",TRIM(LOWER(C1468)&amp;"|"&amp;LOWER(D1468)))</f>
        <v/>
      </c>
    </row>
    <row r="1469">
      <c r="A1469" s="11">
        <f>IF(B1469="","",TEXT(ROW()-3,"""DC-""0000"))</f>
        <v/>
      </c>
      <c r="B1469" s="5" t="n"/>
      <c r="C1469" s="5" t="n"/>
      <c r="D1469" s="5" t="n"/>
      <c r="E1469" s="5" t="n"/>
      <c r="F1469" s="5" t="n"/>
      <c r="G1469" s="5" t="n"/>
      <c r="H1469" s="8" t="n"/>
      <c r="I1469" s="8" t="n"/>
      <c r="J1469" s="8" t="n"/>
      <c r="K1469" s="11">
        <f>IF(B1469="","",MAX(0,IFERROR(I1469,0)*IFERROR(H1469,0)-IFERROR(J1469,0)))</f>
        <v/>
      </c>
      <c r="L1469" s="8" t="n"/>
      <c r="M1469" s="11">
        <f>IF(B1469="","",MAX(0,K1469-L1469))</f>
        <v/>
      </c>
      <c r="N1469" s="11">
        <f>IF(B1469="","",IF(L1469&gt;=K1469,"Paid",IF(L1469&gt;0,"Partial","Unpaid")))</f>
        <v/>
      </c>
      <c r="O1469" s="5" t="n"/>
      <c r="P1469" s="8" t="n"/>
      <c r="Q1469" s="8" t="n"/>
      <c r="R1469" s="11">
        <f>IF(B1469="","",IFERROR(K1469,0)+IFERROR(P1469,0)-IFERROR(Q1469,0))</f>
        <v/>
      </c>
      <c r="S1469" s="5" t="n"/>
      <c r="T1469" s="5" t="n"/>
      <c r="U1469" s="11">
        <f>IF(B1469="","",TRIM(LOWER(C1469)&amp;"|"&amp;LOWER(D1469)))</f>
        <v/>
      </c>
    </row>
    <row r="1470">
      <c r="A1470" s="11">
        <f>IF(B1470="","",TEXT(ROW()-3,"""DC-""0000"))</f>
        <v/>
      </c>
      <c r="B1470" s="5" t="n"/>
      <c r="C1470" s="5" t="n"/>
      <c r="D1470" s="5" t="n"/>
      <c r="E1470" s="5" t="n"/>
      <c r="F1470" s="5" t="n"/>
      <c r="G1470" s="5" t="n"/>
      <c r="H1470" s="8" t="n"/>
      <c r="I1470" s="8" t="n"/>
      <c r="J1470" s="8" t="n"/>
      <c r="K1470" s="11">
        <f>IF(B1470="","",MAX(0,IFERROR(I1470,0)*IFERROR(H1470,0)-IFERROR(J1470,0)))</f>
        <v/>
      </c>
      <c r="L1470" s="8" t="n"/>
      <c r="M1470" s="11">
        <f>IF(B1470="","",MAX(0,K1470-L1470))</f>
        <v/>
      </c>
      <c r="N1470" s="11">
        <f>IF(B1470="","",IF(L1470&gt;=K1470,"Paid",IF(L1470&gt;0,"Partial","Unpaid")))</f>
        <v/>
      </c>
      <c r="O1470" s="5" t="n"/>
      <c r="P1470" s="8" t="n"/>
      <c r="Q1470" s="8" t="n"/>
      <c r="R1470" s="11">
        <f>IF(B1470="","",IFERROR(K1470,0)+IFERROR(P1470,0)-IFERROR(Q1470,0))</f>
        <v/>
      </c>
      <c r="S1470" s="5" t="n"/>
      <c r="T1470" s="5" t="n"/>
      <c r="U1470" s="11">
        <f>IF(B1470="","",TRIM(LOWER(C1470)&amp;"|"&amp;LOWER(D1470)))</f>
        <v/>
      </c>
    </row>
    <row r="1471">
      <c r="A1471" s="11">
        <f>IF(B1471="","",TEXT(ROW()-3,"""DC-""0000"))</f>
        <v/>
      </c>
      <c r="B1471" s="5" t="n"/>
      <c r="C1471" s="5" t="n"/>
      <c r="D1471" s="5" t="n"/>
      <c r="E1471" s="5" t="n"/>
      <c r="F1471" s="5" t="n"/>
      <c r="G1471" s="5" t="n"/>
      <c r="H1471" s="8" t="n"/>
      <c r="I1471" s="8" t="n"/>
      <c r="J1471" s="8" t="n"/>
      <c r="K1471" s="11">
        <f>IF(B1471="","",MAX(0,IFERROR(I1471,0)*IFERROR(H1471,0)-IFERROR(J1471,0)))</f>
        <v/>
      </c>
      <c r="L1471" s="8" t="n"/>
      <c r="M1471" s="11">
        <f>IF(B1471="","",MAX(0,K1471-L1471))</f>
        <v/>
      </c>
      <c r="N1471" s="11">
        <f>IF(B1471="","",IF(L1471&gt;=K1471,"Paid",IF(L1471&gt;0,"Partial","Unpaid")))</f>
        <v/>
      </c>
      <c r="O1471" s="5" t="n"/>
      <c r="P1471" s="8" t="n"/>
      <c r="Q1471" s="8" t="n"/>
      <c r="R1471" s="11">
        <f>IF(B1471="","",IFERROR(K1471,0)+IFERROR(P1471,0)-IFERROR(Q1471,0))</f>
        <v/>
      </c>
      <c r="S1471" s="5" t="n"/>
      <c r="T1471" s="5" t="n"/>
      <c r="U1471" s="11">
        <f>IF(B1471="","",TRIM(LOWER(C1471)&amp;"|"&amp;LOWER(D1471)))</f>
        <v/>
      </c>
    </row>
    <row r="1472">
      <c r="A1472" s="11">
        <f>IF(B1472="","",TEXT(ROW()-3,"""DC-""0000"))</f>
        <v/>
      </c>
      <c r="B1472" s="5" t="n"/>
      <c r="C1472" s="5" t="n"/>
      <c r="D1472" s="5" t="n"/>
      <c r="E1472" s="5" t="n"/>
      <c r="F1472" s="5" t="n"/>
      <c r="G1472" s="5" t="n"/>
      <c r="H1472" s="8" t="n"/>
      <c r="I1472" s="8" t="n"/>
      <c r="J1472" s="8" t="n"/>
      <c r="K1472" s="11">
        <f>IF(B1472="","",MAX(0,IFERROR(I1472,0)*IFERROR(H1472,0)-IFERROR(J1472,0)))</f>
        <v/>
      </c>
      <c r="L1472" s="8" t="n"/>
      <c r="M1472" s="11">
        <f>IF(B1472="","",MAX(0,K1472-L1472))</f>
        <v/>
      </c>
      <c r="N1472" s="11">
        <f>IF(B1472="","",IF(L1472&gt;=K1472,"Paid",IF(L1472&gt;0,"Partial","Unpaid")))</f>
        <v/>
      </c>
      <c r="O1472" s="5" t="n"/>
      <c r="P1472" s="8" t="n"/>
      <c r="Q1472" s="8" t="n"/>
      <c r="R1472" s="11">
        <f>IF(B1472="","",IFERROR(K1472,0)+IFERROR(P1472,0)-IFERROR(Q1472,0))</f>
        <v/>
      </c>
      <c r="S1472" s="5" t="n"/>
      <c r="T1472" s="5" t="n"/>
      <c r="U1472" s="11">
        <f>IF(B1472="","",TRIM(LOWER(C1472)&amp;"|"&amp;LOWER(D1472)))</f>
        <v/>
      </c>
    </row>
    <row r="1473">
      <c r="A1473" s="11">
        <f>IF(B1473="","",TEXT(ROW()-3,"""DC-""0000"))</f>
        <v/>
      </c>
      <c r="B1473" s="5" t="n"/>
      <c r="C1473" s="5" t="n"/>
      <c r="D1473" s="5" t="n"/>
      <c r="E1473" s="5" t="n"/>
      <c r="F1473" s="5" t="n"/>
      <c r="G1473" s="5" t="n"/>
      <c r="H1473" s="8" t="n"/>
      <c r="I1473" s="8" t="n"/>
      <c r="J1473" s="8" t="n"/>
      <c r="K1473" s="11">
        <f>IF(B1473="","",MAX(0,IFERROR(I1473,0)*IFERROR(H1473,0)-IFERROR(J1473,0)))</f>
        <v/>
      </c>
      <c r="L1473" s="8" t="n"/>
      <c r="M1473" s="11">
        <f>IF(B1473="","",MAX(0,K1473-L1473))</f>
        <v/>
      </c>
      <c r="N1473" s="11">
        <f>IF(B1473="","",IF(L1473&gt;=K1473,"Paid",IF(L1473&gt;0,"Partial","Unpaid")))</f>
        <v/>
      </c>
      <c r="O1473" s="5" t="n"/>
      <c r="P1473" s="8" t="n"/>
      <c r="Q1473" s="8" t="n"/>
      <c r="R1473" s="11">
        <f>IF(B1473="","",IFERROR(K1473,0)+IFERROR(P1473,0)-IFERROR(Q1473,0))</f>
        <v/>
      </c>
      <c r="S1473" s="5" t="n"/>
      <c r="T1473" s="5" t="n"/>
      <c r="U1473" s="11">
        <f>IF(B1473="","",TRIM(LOWER(C1473)&amp;"|"&amp;LOWER(D1473)))</f>
        <v/>
      </c>
    </row>
    <row r="1474">
      <c r="A1474" s="11">
        <f>IF(B1474="","",TEXT(ROW()-3,"""DC-""0000"))</f>
        <v/>
      </c>
      <c r="B1474" s="5" t="n"/>
      <c r="C1474" s="5" t="n"/>
      <c r="D1474" s="5" t="n"/>
      <c r="E1474" s="5" t="n"/>
      <c r="F1474" s="5" t="n"/>
      <c r="G1474" s="5" t="n"/>
      <c r="H1474" s="8" t="n"/>
      <c r="I1474" s="8" t="n"/>
      <c r="J1474" s="8" t="n"/>
      <c r="K1474" s="11">
        <f>IF(B1474="","",MAX(0,IFERROR(I1474,0)*IFERROR(H1474,0)-IFERROR(J1474,0)))</f>
        <v/>
      </c>
      <c r="L1474" s="8" t="n"/>
      <c r="M1474" s="11">
        <f>IF(B1474="","",MAX(0,K1474-L1474))</f>
        <v/>
      </c>
      <c r="N1474" s="11">
        <f>IF(B1474="","",IF(L1474&gt;=K1474,"Paid",IF(L1474&gt;0,"Partial","Unpaid")))</f>
        <v/>
      </c>
      <c r="O1474" s="5" t="n"/>
      <c r="P1474" s="8" t="n"/>
      <c r="Q1474" s="8" t="n"/>
      <c r="R1474" s="11">
        <f>IF(B1474="","",IFERROR(K1474,0)+IFERROR(P1474,0)-IFERROR(Q1474,0))</f>
        <v/>
      </c>
      <c r="S1474" s="5" t="n"/>
      <c r="T1474" s="5" t="n"/>
      <c r="U1474" s="11">
        <f>IF(B1474="","",TRIM(LOWER(C1474)&amp;"|"&amp;LOWER(D1474)))</f>
        <v/>
      </c>
    </row>
    <row r="1475">
      <c r="A1475" s="11">
        <f>IF(B1475="","",TEXT(ROW()-3,"""DC-""0000"))</f>
        <v/>
      </c>
      <c r="B1475" s="5" t="n"/>
      <c r="C1475" s="5" t="n"/>
      <c r="D1475" s="5" t="n"/>
      <c r="E1475" s="5" t="n"/>
      <c r="F1475" s="5" t="n"/>
      <c r="G1475" s="5" t="n"/>
      <c r="H1475" s="8" t="n"/>
      <c r="I1475" s="8" t="n"/>
      <c r="J1475" s="8" t="n"/>
      <c r="K1475" s="11">
        <f>IF(B1475="","",MAX(0,IFERROR(I1475,0)*IFERROR(H1475,0)-IFERROR(J1475,0)))</f>
        <v/>
      </c>
      <c r="L1475" s="8" t="n"/>
      <c r="M1475" s="11">
        <f>IF(B1475="","",MAX(0,K1475-L1475))</f>
        <v/>
      </c>
      <c r="N1475" s="11">
        <f>IF(B1475="","",IF(L1475&gt;=K1475,"Paid",IF(L1475&gt;0,"Partial","Unpaid")))</f>
        <v/>
      </c>
      <c r="O1475" s="5" t="n"/>
      <c r="P1475" s="8" t="n"/>
      <c r="Q1475" s="8" t="n"/>
      <c r="R1475" s="11">
        <f>IF(B1475="","",IFERROR(K1475,0)+IFERROR(P1475,0)-IFERROR(Q1475,0))</f>
        <v/>
      </c>
      <c r="S1475" s="5" t="n"/>
      <c r="T1475" s="5" t="n"/>
      <c r="U1475" s="11">
        <f>IF(B1475="","",TRIM(LOWER(C1475)&amp;"|"&amp;LOWER(D1475)))</f>
        <v/>
      </c>
    </row>
    <row r="1476">
      <c r="A1476" s="11">
        <f>IF(B1476="","",TEXT(ROW()-3,"""DC-""0000"))</f>
        <v/>
      </c>
      <c r="B1476" s="5" t="n"/>
      <c r="C1476" s="5" t="n"/>
      <c r="D1476" s="5" t="n"/>
      <c r="E1476" s="5" t="n"/>
      <c r="F1476" s="5" t="n"/>
      <c r="G1476" s="5" t="n"/>
      <c r="H1476" s="8" t="n"/>
      <c r="I1476" s="8" t="n"/>
      <c r="J1476" s="8" t="n"/>
      <c r="K1476" s="11">
        <f>IF(B1476="","",MAX(0,IFERROR(I1476,0)*IFERROR(H1476,0)-IFERROR(J1476,0)))</f>
        <v/>
      </c>
      <c r="L1476" s="8" t="n"/>
      <c r="M1476" s="11">
        <f>IF(B1476="","",MAX(0,K1476-L1476))</f>
        <v/>
      </c>
      <c r="N1476" s="11">
        <f>IF(B1476="","",IF(L1476&gt;=K1476,"Paid",IF(L1476&gt;0,"Partial","Unpaid")))</f>
        <v/>
      </c>
      <c r="O1476" s="5" t="n"/>
      <c r="P1476" s="8" t="n"/>
      <c r="Q1476" s="8" t="n"/>
      <c r="R1476" s="11">
        <f>IF(B1476="","",IFERROR(K1476,0)+IFERROR(P1476,0)-IFERROR(Q1476,0))</f>
        <v/>
      </c>
      <c r="S1476" s="5" t="n"/>
      <c r="T1476" s="5" t="n"/>
      <c r="U1476" s="11">
        <f>IF(B1476="","",TRIM(LOWER(C1476)&amp;"|"&amp;LOWER(D1476)))</f>
        <v/>
      </c>
    </row>
    <row r="1477">
      <c r="A1477" s="11">
        <f>IF(B1477="","",TEXT(ROW()-3,"""DC-""0000"))</f>
        <v/>
      </c>
      <c r="B1477" s="5" t="n"/>
      <c r="C1477" s="5" t="n"/>
      <c r="D1477" s="5" t="n"/>
      <c r="E1477" s="5" t="n"/>
      <c r="F1477" s="5" t="n"/>
      <c r="G1477" s="5" t="n"/>
      <c r="H1477" s="8" t="n"/>
      <c r="I1477" s="8" t="n"/>
      <c r="J1477" s="8" t="n"/>
      <c r="K1477" s="11">
        <f>IF(B1477="","",MAX(0,IFERROR(I1477,0)*IFERROR(H1477,0)-IFERROR(J1477,0)))</f>
        <v/>
      </c>
      <c r="L1477" s="8" t="n"/>
      <c r="M1477" s="11">
        <f>IF(B1477="","",MAX(0,K1477-L1477))</f>
        <v/>
      </c>
      <c r="N1477" s="11">
        <f>IF(B1477="","",IF(L1477&gt;=K1477,"Paid",IF(L1477&gt;0,"Partial","Unpaid")))</f>
        <v/>
      </c>
      <c r="O1477" s="5" t="n"/>
      <c r="P1477" s="8" t="n"/>
      <c r="Q1477" s="8" t="n"/>
      <c r="R1477" s="11">
        <f>IF(B1477="","",IFERROR(K1477,0)+IFERROR(P1477,0)-IFERROR(Q1477,0))</f>
        <v/>
      </c>
      <c r="S1477" s="5" t="n"/>
      <c r="T1477" s="5" t="n"/>
      <c r="U1477" s="11">
        <f>IF(B1477="","",TRIM(LOWER(C1477)&amp;"|"&amp;LOWER(D1477)))</f>
        <v/>
      </c>
    </row>
    <row r="1478">
      <c r="A1478" s="11">
        <f>IF(B1478="","",TEXT(ROW()-3,"""DC-""0000"))</f>
        <v/>
      </c>
      <c r="B1478" s="5" t="n"/>
      <c r="C1478" s="5" t="n"/>
      <c r="D1478" s="5" t="n"/>
      <c r="E1478" s="5" t="n"/>
      <c r="F1478" s="5" t="n"/>
      <c r="G1478" s="5" t="n"/>
      <c r="H1478" s="8" t="n"/>
      <c r="I1478" s="8" t="n"/>
      <c r="J1478" s="8" t="n"/>
      <c r="K1478" s="11">
        <f>IF(B1478="","",MAX(0,IFERROR(I1478,0)*IFERROR(H1478,0)-IFERROR(J1478,0)))</f>
        <v/>
      </c>
      <c r="L1478" s="8" t="n"/>
      <c r="M1478" s="11">
        <f>IF(B1478="","",MAX(0,K1478-L1478))</f>
        <v/>
      </c>
      <c r="N1478" s="11">
        <f>IF(B1478="","",IF(L1478&gt;=K1478,"Paid",IF(L1478&gt;0,"Partial","Unpaid")))</f>
        <v/>
      </c>
      <c r="O1478" s="5" t="n"/>
      <c r="P1478" s="8" t="n"/>
      <c r="Q1478" s="8" t="n"/>
      <c r="R1478" s="11">
        <f>IF(B1478="","",IFERROR(K1478,0)+IFERROR(P1478,0)-IFERROR(Q1478,0))</f>
        <v/>
      </c>
      <c r="S1478" s="5" t="n"/>
      <c r="T1478" s="5" t="n"/>
      <c r="U1478" s="11">
        <f>IF(B1478="","",TRIM(LOWER(C1478)&amp;"|"&amp;LOWER(D1478)))</f>
        <v/>
      </c>
    </row>
    <row r="1479">
      <c r="A1479" s="11">
        <f>IF(B1479="","",TEXT(ROW()-3,"""DC-""0000"))</f>
        <v/>
      </c>
      <c r="B1479" s="5" t="n"/>
      <c r="C1479" s="5" t="n"/>
      <c r="D1479" s="5" t="n"/>
      <c r="E1479" s="5" t="n"/>
      <c r="F1479" s="5" t="n"/>
      <c r="G1479" s="5" t="n"/>
      <c r="H1479" s="8" t="n"/>
      <c r="I1479" s="8" t="n"/>
      <c r="J1479" s="8" t="n"/>
      <c r="K1479" s="11">
        <f>IF(B1479="","",MAX(0,IFERROR(I1479,0)*IFERROR(H1479,0)-IFERROR(J1479,0)))</f>
        <v/>
      </c>
      <c r="L1479" s="8" t="n"/>
      <c r="M1479" s="11">
        <f>IF(B1479="","",MAX(0,K1479-L1479))</f>
        <v/>
      </c>
      <c r="N1479" s="11">
        <f>IF(B1479="","",IF(L1479&gt;=K1479,"Paid",IF(L1479&gt;0,"Partial","Unpaid")))</f>
        <v/>
      </c>
      <c r="O1479" s="5" t="n"/>
      <c r="P1479" s="8" t="n"/>
      <c r="Q1479" s="8" t="n"/>
      <c r="R1479" s="11">
        <f>IF(B1479="","",IFERROR(K1479,0)+IFERROR(P1479,0)-IFERROR(Q1479,0))</f>
        <v/>
      </c>
      <c r="S1479" s="5" t="n"/>
      <c r="T1479" s="5" t="n"/>
      <c r="U1479" s="11">
        <f>IF(B1479="","",TRIM(LOWER(C1479)&amp;"|"&amp;LOWER(D1479)))</f>
        <v/>
      </c>
    </row>
    <row r="1480">
      <c r="A1480" s="11">
        <f>IF(B1480="","",TEXT(ROW()-3,"""DC-""0000"))</f>
        <v/>
      </c>
      <c r="B1480" s="5" t="n"/>
      <c r="C1480" s="5" t="n"/>
      <c r="D1480" s="5" t="n"/>
      <c r="E1480" s="5" t="n"/>
      <c r="F1480" s="5" t="n"/>
      <c r="G1480" s="5" t="n"/>
      <c r="H1480" s="8" t="n"/>
      <c r="I1480" s="8" t="n"/>
      <c r="J1480" s="8" t="n"/>
      <c r="K1480" s="11">
        <f>IF(B1480="","",MAX(0,IFERROR(I1480,0)*IFERROR(H1480,0)-IFERROR(J1480,0)))</f>
        <v/>
      </c>
      <c r="L1480" s="8" t="n"/>
      <c r="M1480" s="11">
        <f>IF(B1480="","",MAX(0,K1480-L1480))</f>
        <v/>
      </c>
      <c r="N1480" s="11">
        <f>IF(B1480="","",IF(L1480&gt;=K1480,"Paid",IF(L1480&gt;0,"Partial","Unpaid")))</f>
        <v/>
      </c>
      <c r="O1480" s="5" t="n"/>
      <c r="P1480" s="8" t="n"/>
      <c r="Q1480" s="8" t="n"/>
      <c r="R1480" s="11">
        <f>IF(B1480="","",IFERROR(K1480,0)+IFERROR(P1480,0)-IFERROR(Q1480,0))</f>
        <v/>
      </c>
      <c r="S1480" s="5" t="n"/>
      <c r="T1480" s="5" t="n"/>
      <c r="U1480" s="11">
        <f>IF(B1480="","",TRIM(LOWER(C1480)&amp;"|"&amp;LOWER(D1480)))</f>
        <v/>
      </c>
    </row>
    <row r="1481">
      <c r="A1481" s="11">
        <f>IF(B1481="","",TEXT(ROW()-3,"""DC-""0000"))</f>
        <v/>
      </c>
      <c r="B1481" s="5" t="n"/>
      <c r="C1481" s="5" t="n"/>
      <c r="D1481" s="5" t="n"/>
      <c r="E1481" s="5" t="n"/>
      <c r="F1481" s="5" t="n"/>
      <c r="G1481" s="5" t="n"/>
      <c r="H1481" s="8" t="n"/>
      <c r="I1481" s="8" t="n"/>
      <c r="J1481" s="8" t="n"/>
      <c r="K1481" s="11">
        <f>IF(B1481="","",MAX(0,IFERROR(I1481,0)*IFERROR(H1481,0)-IFERROR(J1481,0)))</f>
        <v/>
      </c>
      <c r="L1481" s="8" t="n"/>
      <c r="M1481" s="11">
        <f>IF(B1481="","",MAX(0,K1481-L1481))</f>
        <v/>
      </c>
      <c r="N1481" s="11">
        <f>IF(B1481="","",IF(L1481&gt;=K1481,"Paid",IF(L1481&gt;0,"Partial","Unpaid")))</f>
        <v/>
      </c>
      <c r="O1481" s="5" t="n"/>
      <c r="P1481" s="8" t="n"/>
      <c r="Q1481" s="8" t="n"/>
      <c r="R1481" s="11">
        <f>IF(B1481="","",IFERROR(K1481,0)+IFERROR(P1481,0)-IFERROR(Q1481,0))</f>
        <v/>
      </c>
      <c r="S1481" s="5" t="n"/>
      <c r="T1481" s="5" t="n"/>
      <c r="U1481" s="11">
        <f>IF(B1481="","",TRIM(LOWER(C1481)&amp;"|"&amp;LOWER(D1481)))</f>
        <v/>
      </c>
    </row>
    <row r="1482">
      <c r="A1482" s="11">
        <f>IF(B1482="","",TEXT(ROW()-3,"""DC-""0000"))</f>
        <v/>
      </c>
      <c r="B1482" s="5" t="n"/>
      <c r="C1482" s="5" t="n"/>
      <c r="D1482" s="5" t="n"/>
      <c r="E1482" s="5" t="n"/>
      <c r="F1482" s="5" t="n"/>
      <c r="G1482" s="5" t="n"/>
      <c r="H1482" s="8" t="n"/>
      <c r="I1482" s="8" t="n"/>
      <c r="J1482" s="8" t="n"/>
      <c r="K1482" s="11">
        <f>IF(B1482="","",MAX(0,IFERROR(I1482,0)*IFERROR(H1482,0)-IFERROR(J1482,0)))</f>
        <v/>
      </c>
      <c r="L1482" s="8" t="n"/>
      <c r="M1482" s="11">
        <f>IF(B1482="","",MAX(0,K1482-L1482))</f>
        <v/>
      </c>
      <c r="N1482" s="11">
        <f>IF(B1482="","",IF(L1482&gt;=K1482,"Paid",IF(L1482&gt;0,"Partial","Unpaid")))</f>
        <v/>
      </c>
      <c r="O1482" s="5" t="n"/>
      <c r="P1482" s="8" t="n"/>
      <c r="Q1482" s="8" t="n"/>
      <c r="R1482" s="11">
        <f>IF(B1482="","",IFERROR(K1482,0)+IFERROR(P1482,0)-IFERROR(Q1482,0))</f>
        <v/>
      </c>
      <c r="S1482" s="5" t="n"/>
      <c r="T1482" s="5" t="n"/>
      <c r="U1482" s="11">
        <f>IF(B1482="","",TRIM(LOWER(C1482)&amp;"|"&amp;LOWER(D1482)))</f>
        <v/>
      </c>
    </row>
    <row r="1483">
      <c r="A1483" s="11">
        <f>IF(B1483="","",TEXT(ROW()-3,"""DC-""0000"))</f>
        <v/>
      </c>
      <c r="B1483" s="5" t="n"/>
      <c r="C1483" s="5" t="n"/>
      <c r="D1483" s="5" t="n"/>
      <c r="E1483" s="5" t="n"/>
      <c r="F1483" s="5" t="n"/>
      <c r="G1483" s="5" t="n"/>
      <c r="H1483" s="8" t="n"/>
      <c r="I1483" s="8" t="n"/>
      <c r="J1483" s="8" t="n"/>
      <c r="K1483" s="11">
        <f>IF(B1483="","",MAX(0,IFERROR(I1483,0)*IFERROR(H1483,0)-IFERROR(J1483,0)))</f>
        <v/>
      </c>
      <c r="L1483" s="8" t="n"/>
      <c r="M1483" s="11">
        <f>IF(B1483="","",MAX(0,K1483-L1483))</f>
        <v/>
      </c>
      <c r="N1483" s="11">
        <f>IF(B1483="","",IF(L1483&gt;=K1483,"Paid",IF(L1483&gt;0,"Partial","Unpaid")))</f>
        <v/>
      </c>
      <c r="O1483" s="5" t="n"/>
      <c r="P1483" s="8" t="n"/>
      <c r="Q1483" s="8" t="n"/>
      <c r="R1483" s="11">
        <f>IF(B1483="","",IFERROR(K1483,0)+IFERROR(P1483,0)-IFERROR(Q1483,0))</f>
        <v/>
      </c>
      <c r="S1483" s="5" t="n"/>
      <c r="T1483" s="5" t="n"/>
      <c r="U1483" s="11">
        <f>IF(B1483="","",TRIM(LOWER(C1483)&amp;"|"&amp;LOWER(D1483)))</f>
        <v/>
      </c>
    </row>
    <row r="1484">
      <c r="A1484" s="11">
        <f>IF(B1484="","",TEXT(ROW()-3,"""DC-""0000"))</f>
        <v/>
      </c>
      <c r="B1484" s="5" t="n"/>
      <c r="C1484" s="5" t="n"/>
      <c r="D1484" s="5" t="n"/>
      <c r="E1484" s="5" t="n"/>
      <c r="F1484" s="5" t="n"/>
      <c r="G1484" s="5" t="n"/>
      <c r="H1484" s="8" t="n"/>
      <c r="I1484" s="8" t="n"/>
      <c r="J1484" s="8" t="n"/>
      <c r="K1484" s="11">
        <f>IF(B1484="","",MAX(0,IFERROR(I1484,0)*IFERROR(H1484,0)-IFERROR(J1484,0)))</f>
        <v/>
      </c>
      <c r="L1484" s="8" t="n"/>
      <c r="M1484" s="11">
        <f>IF(B1484="","",MAX(0,K1484-L1484))</f>
        <v/>
      </c>
      <c r="N1484" s="11">
        <f>IF(B1484="","",IF(L1484&gt;=K1484,"Paid",IF(L1484&gt;0,"Partial","Unpaid")))</f>
        <v/>
      </c>
      <c r="O1484" s="5" t="n"/>
      <c r="P1484" s="8" t="n"/>
      <c r="Q1484" s="8" t="n"/>
      <c r="R1484" s="11">
        <f>IF(B1484="","",IFERROR(K1484,0)+IFERROR(P1484,0)-IFERROR(Q1484,0))</f>
        <v/>
      </c>
      <c r="S1484" s="5" t="n"/>
      <c r="T1484" s="5" t="n"/>
      <c r="U1484" s="11">
        <f>IF(B1484="","",TRIM(LOWER(C1484)&amp;"|"&amp;LOWER(D1484)))</f>
        <v/>
      </c>
    </row>
    <row r="1485">
      <c r="A1485" s="11">
        <f>IF(B1485="","",TEXT(ROW()-3,"""DC-""0000"))</f>
        <v/>
      </c>
      <c r="B1485" s="5" t="n"/>
      <c r="C1485" s="5" t="n"/>
      <c r="D1485" s="5" t="n"/>
      <c r="E1485" s="5" t="n"/>
      <c r="F1485" s="5" t="n"/>
      <c r="G1485" s="5" t="n"/>
      <c r="H1485" s="8" t="n"/>
      <c r="I1485" s="8" t="n"/>
      <c r="J1485" s="8" t="n"/>
      <c r="K1485" s="11">
        <f>IF(B1485="","",MAX(0,IFERROR(I1485,0)*IFERROR(H1485,0)-IFERROR(J1485,0)))</f>
        <v/>
      </c>
      <c r="L1485" s="8" t="n"/>
      <c r="M1485" s="11">
        <f>IF(B1485="","",MAX(0,K1485-L1485))</f>
        <v/>
      </c>
      <c r="N1485" s="11">
        <f>IF(B1485="","",IF(L1485&gt;=K1485,"Paid",IF(L1485&gt;0,"Partial","Unpaid")))</f>
        <v/>
      </c>
      <c r="O1485" s="5" t="n"/>
      <c r="P1485" s="8" t="n"/>
      <c r="Q1485" s="8" t="n"/>
      <c r="R1485" s="11">
        <f>IF(B1485="","",IFERROR(K1485,0)+IFERROR(P1485,0)-IFERROR(Q1485,0))</f>
        <v/>
      </c>
      <c r="S1485" s="5" t="n"/>
      <c r="T1485" s="5" t="n"/>
      <c r="U1485" s="11">
        <f>IF(B1485="","",TRIM(LOWER(C1485)&amp;"|"&amp;LOWER(D1485)))</f>
        <v/>
      </c>
    </row>
    <row r="1486">
      <c r="A1486" s="11">
        <f>IF(B1486="","",TEXT(ROW()-3,"""DC-""0000"))</f>
        <v/>
      </c>
      <c r="B1486" s="5" t="n"/>
      <c r="C1486" s="5" t="n"/>
      <c r="D1486" s="5" t="n"/>
      <c r="E1486" s="5" t="n"/>
      <c r="F1486" s="5" t="n"/>
      <c r="G1486" s="5" t="n"/>
      <c r="H1486" s="8" t="n"/>
      <c r="I1486" s="8" t="n"/>
      <c r="J1486" s="8" t="n"/>
      <c r="K1486" s="11">
        <f>IF(B1486="","",MAX(0,IFERROR(I1486,0)*IFERROR(H1486,0)-IFERROR(J1486,0)))</f>
        <v/>
      </c>
      <c r="L1486" s="8" t="n"/>
      <c r="M1486" s="11">
        <f>IF(B1486="","",MAX(0,K1486-L1486))</f>
        <v/>
      </c>
      <c r="N1486" s="11">
        <f>IF(B1486="","",IF(L1486&gt;=K1486,"Paid",IF(L1486&gt;0,"Partial","Unpaid")))</f>
        <v/>
      </c>
      <c r="O1486" s="5" t="n"/>
      <c r="P1486" s="8" t="n"/>
      <c r="Q1486" s="8" t="n"/>
      <c r="R1486" s="11">
        <f>IF(B1486="","",IFERROR(K1486,0)+IFERROR(P1486,0)-IFERROR(Q1486,0))</f>
        <v/>
      </c>
      <c r="S1486" s="5" t="n"/>
      <c r="T1486" s="5" t="n"/>
      <c r="U1486" s="11">
        <f>IF(B1486="","",TRIM(LOWER(C1486)&amp;"|"&amp;LOWER(D1486)))</f>
        <v/>
      </c>
    </row>
    <row r="1487">
      <c r="A1487" s="11">
        <f>IF(B1487="","",TEXT(ROW()-3,"""DC-""0000"))</f>
        <v/>
      </c>
      <c r="B1487" s="5" t="n"/>
      <c r="C1487" s="5" t="n"/>
      <c r="D1487" s="5" t="n"/>
      <c r="E1487" s="5" t="n"/>
      <c r="F1487" s="5" t="n"/>
      <c r="G1487" s="5" t="n"/>
      <c r="H1487" s="8" t="n"/>
      <c r="I1487" s="8" t="n"/>
      <c r="J1487" s="8" t="n"/>
      <c r="K1487" s="11">
        <f>IF(B1487="","",MAX(0,IFERROR(I1487,0)*IFERROR(H1487,0)-IFERROR(J1487,0)))</f>
        <v/>
      </c>
      <c r="L1487" s="8" t="n"/>
      <c r="M1487" s="11">
        <f>IF(B1487="","",MAX(0,K1487-L1487))</f>
        <v/>
      </c>
      <c r="N1487" s="11">
        <f>IF(B1487="","",IF(L1487&gt;=K1487,"Paid",IF(L1487&gt;0,"Partial","Unpaid")))</f>
        <v/>
      </c>
      <c r="O1487" s="5" t="n"/>
      <c r="P1487" s="8" t="n"/>
      <c r="Q1487" s="8" t="n"/>
      <c r="R1487" s="11">
        <f>IF(B1487="","",IFERROR(K1487,0)+IFERROR(P1487,0)-IFERROR(Q1487,0))</f>
        <v/>
      </c>
      <c r="S1487" s="5" t="n"/>
      <c r="T1487" s="5" t="n"/>
      <c r="U1487" s="11">
        <f>IF(B1487="","",TRIM(LOWER(C1487)&amp;"|"&amp;LOWER(D1487)))</f>
        <v/>
      </c>
    </row>
    <row r="1488">
      <c r="A1488" s="11">
        <f>IF(B1488="","",TEXT(ROW()-3,"""DC-""0000"))</f>
        <v/>
      </c>
      <c r="B1488" s="5" t="n"/>
      <c r="C1488" s="5" t="n"/>
      <c r="D1488" s="5" t="n"/>
      <c r="E1488" s="5" t="n"/>
      <c r="F1488" s="5" t="n"/>
      <c r="G1488" s="5" t="n"/>
      <c r="H1488" s="8" t="n"/>
      <c r="I1488" s="8" t="n"/>
      <c r="J1488" s="8" t="n"/>
      <c r="K1488" s="11">
        <f>IF(B1488="","",MAX(0,IFERROR(I1488,0)*IFERROR(H1488,0)-IFERROR(J1488,0)))</f>
        <v/>
      </c>
      <c r="L1488" s="8" t="n"/>
      <c r="M1488" s="11">
        <f>IF(B1488="","",MAX(0,K1488-L1488))</f>
        <v/>
      </c>
      <c r="N1488" s="11">
        <f>IF(B1488="","",IF(L1488&gt;=K1488,"Paid",IF(L1488&gt;0,"Partial","Unpaid")))</f>
        <v/>
      </c>
      <c r="O1488" s="5" t="n"/>
      <c r="P1488" s="8" t="n"/>
      <c r="Q1488" s="8" t="n"/>
      <c r="R1488" s="11">
        <f>IF(B1488="","",IFERROR(K1488,0)+IFERROR(P1488,0)-IFERROR(Q1488,0))</f>
        <v/>
      </c>
      <c r="S1488" s="5" t="n"/>
      <c r="T1488" s="5" t="n"/>
      <c r="U1488" s="11">
        <f>IF(B1488="","",TRIM(LOWER(C1488)&amp;"|"&amp;LOWER(D1488)))</f>
        <v/>
      </c>
    </row>
    <row r="1489">
      <c r="A1489" s="11">
        <f>IF(B1489="","",TEXT(ROW()-3,"""DC-""0000"))</f>
        <v/>
      </c>
      <c r="B1489" s="5" t="n"/>
      <c r="C1489" s="5" t="n"/>
      <c r="D1489" s="5" t="n"/>
      <c r="E1489" s="5" t="n"/>
      <c r="F1489" s="5" t="n"/>
      <c r="G1489" s="5" t="n"/>
      <c r="H1489" s="8" t="n"/>
      <c r="I1489" s="8" t="n"/>
      <c r="J1489" s="8" t="n"/>
      <c r="K1489" s="11">
        <f>IF(B1489="","",MAX(0,IFERROR(I1489,0)*IFERROR(H1489,0)-IFERROR(J1489,0)))</f>
        <v/>
      </c>
      <c r="L1489" s="8" t="n"/>
      <c r="M1489" s="11">
        <f>IF(B1489="","",MAX(0,K1489-L1489))</f>
        <v/>
      </c>
      <c r="N1489" s="11">
        <f>IF(B1489="","",IF(L1489&gt;=K1489,"Paid",IF(L1489&gt;0,"Partial","Unpaid")))</f>
        <v/>
      </c>
      <c r="O1489" s="5" t="n"/>
      <c r="P1489" s="8" t="n"/>
      <c r="Q1489" s="8" t="n"/>
      <c r="R1489" s="11">
        <f>IF(B1489="","",IFERROR(K1489,0)+IFERROR(P1489,0)-IFERROR(Q1489,0))</f>
        <v/>
      </c>
      <c r="S1489" s="5" t="n"/>
      <c r="T1489" s="5" t="n"/>
      <c r="U1489" s="11">
        <f>IF(B1489="","",TRIM(LOWER(C1489)&amp;"|"&amp;LOWER(D1489)))</f>
        <v/>
      </c>
    </row>
    <row r="1490">
      <c r="A1490" s="11">
        <f>IF(B1490="","",TEXT(ROW()-3,"""DC-""0000"))</f>
        <v/>
      </c>
      <c r="B1490" s="5" t="n"/>
      <c r="C1490" s="5" t="n"/>
      <c r="D1490" s="5" t="n"/>
      <c r="E1490" s="5" t="n"/>
      <c r="F1490" s="5" t="n"/>
      <c r="G1490" s="5" t="n"/>
      <c r="H1490" s="8" t="n"/>
      <c r="I1490" s="8" t="n"/>
      <c r="J1490" s="8" t="n"/>
      <c r="K1490" s="11">
        <f>IF(B1490="","",MAX(0,IFERROR(I1490,0)*IFERROR(H1490,0)-IFERROR(J1490,0)))</f>
        <v/>
      </c>
      <c r="L1490" s="8" t="n"/>
      <c r="M1490" s="11">
        <f>IF(B1490="","",MAX(0,K1490-L1490))</f>
        <v/>
      </c>
      <c r="N1490" s="11">
        <f>IF(B1490="","",IF(L1490&gt;=K1490,"Paid",IF(L1490&gt;0,"Partial","Unpaid")))</f>
        <v/>
      </c>
      <c r="O1490" s="5" t="n"/>
      <c r="P1490" s="8" t="n"/>
      <c r="Q1490" s="8" t="n"/>
      <c r="R1490" s="11">
        <f>IF(B1490="","",IFERROR(K1490,0)+IFERROR(P1490,0)-IFERROR(Q1490,0))</f>
        <v/>
      </c>
      <c r="S1490" s="5" t="n"/>
      <c r="T1490" s="5" t="n"/>
      <c r="U1490" s="11">
        <f>IF(B1490="","",TRIM(LOWER(C1490)&amp;"|"&amp;LOWER(D1490)))</f>
        <v/>
      </c>
    </row>
    <row r="1491">
      <c r="A1491" s="11">
        <f>IF(B1491="","",TEXT(ROW()-3,"""DC-""0000"))</f>
        <v/>
      </c>
      <c r="B1491" s="5" t="n"/>
      <c r="C1491" s="5" t="n"/>
      <c r="D1491" s="5" t="n"/>
      <c r="E1491" s="5" t="n"/>
      <c r="F1491" s="5" t="n"/>
      <c r="G1491" s="5" t="n"/>
      <c r="H1491" s="8" t="n"/>
      <c r="I1491" s="8" t="n"/>
      <c r="J1491" s="8" t="n"/>
      <c r="K1491" s="11">
        <f>IF(B1491="","",MAX(0,IFERROR(I1491,0)*IFERROR(H1491,0)-IFERROR(J1491,0)))</f>
        <v/>
      </c>
      <c r="L1491" s="8" t="n"/>
      <c r="M1491" s="11">
        <f>IF(B1491="","",MAX(0,K1491-L1491))</f>
        <v/>
      </c>
      <c r="N1491" s="11">
        <f>IF(B1491="","",IF(L1491&gt;=K1491,"Paid",IF(L1491&gt;0,"Partial","Unpaid")))</f>
        <v/>
      </c>
      <c r="O1491" s="5" t="n"/>
      <c r="P1491" s="8" t="n"/>
      <c r="Q1491" s="8" t="n"/>
      <c r="R1491" s="11">
        <f>IF(B1491="","",IFERROR(K1491,0)+IFERROR(P1491,0)-IFERROR(Q1491,0))</f>
        <v/>
      </c>
      <c r="S1491" s="5" t="n"/>
      <c r="T1491" s="5" t="n"/>
      <c r="U1491" s="11">
        <f>IF(B1491="","",TRIM(LOWER(C1491)&amp;"|"&amp;LOWER(D1491)))</f>
        <v/>
      </c>
    </row>
    <row r="1492">
      <c r="A1492" s="11">
        <f>IF(B1492="","",TEXT(ROW()-3,"""DC-""0000"))</f>
        <v/>
      </c>
      <c r="B1492" s="5" t="n"/>
      <c r="C1492" s="5" t="n"/>
      <c r="D1492" s="5" t="n"/>
      <c r="E1492" s="5" t="n"/>
      <c r="F1492" s="5" t="n"/>
      <c r="G1492" s="5" t="n"/>
      <c r="H1492" s="8" t="n"/>
      <c r="I1492" s="8" t="n"/>
      <c r="J1492" s="8" t="n"/>
      <c r="K1492" s="11">
        <f>IF(B1492="","",MAX(0,IFERROR(I1492,0)*IFERROR(H1492,0)-IFERROR(J1492,0)))</f>
        <v/>
      </c>
      <c r="L1492" s="8" t="n"/>
      <c r="M1492" s="11">
        <f>IF(B1492="","",MAX(0,K1492-L1492))</f>
        <v/>
      </c>
      <c r="N1492" s="11">
        <f>IF(B1492="","",IF(L1492&gt;=K1492,"Paid",IF(L1492&gt;0,"Partial","Unpaid")))</f>
        <v/>
      </c>
      <c r="O1492" s="5" t="n"/>
      <c r="P1492" s="8" t="n"/>
      <c r="Q1492" s="8" t="n"/>
      <c r="R1492" s="11">
        <f>IF(B1492="","",IFERROR(K1492,0)+IFERROR(P1492,0)-IFERROR(Q1492,0))</f>
        <v/>
      </c>
      <c r="S1492" s="5" t="n"/>
      <c r="T1492" s="5" t="n"/>
      <c r="U1492" s="11">
        <f>IF(B1492="","",TRIM(LOWER(C1492)&amp;"|"&amp;LOWER(D1492)))</f>
        <v/>
      </c>
    </row>
    <row r="1493">
      <c r="A1493" s="11">
        <f>IF(B1493="","",TEXT(ROW()-3,"""DC-""0000"))</f>
        <v/>
      </c>
      <c r="B1493" s="5" t="n"/>
      <c r="C1493" s="5" t="n"/>
      <c r="D1493" s="5" t="n"/>
      <c r="E1493" s="5" t="n"/>
      <c r="F1493" s="5" t="n"/>
      <c r="G1493" s="5" t="n"/>
      <c r="H1493" s="8" t="n"/>
      <c r="I1493" s="8" t="n"/>
      <c r="J1493" s="8" t="n"/>
      <c r="K1493" s="11">
        <f>IF(B1493="","",MAX(0,IFERROR(I1493,0)*IFERROR(H1493,0)-IFERROR(J1493,0)))</f>
        <v/>
      </c>
      <c r="L1493" s="8" t="n"/>
      <c r="M1493" s="11">
        <f>IF(B1493="","",MAX(0,K1493-L1493))</f>
        <v/>
      </c>
      <c r="N1493" s="11">
        <f>IF(B1493="","",IF(L1493&gt;=K1493,"Paid",IF(L1493&gt;0,"Partial","Unpaid")))</f>
        <v/>
      </c>
      <c r="O1493" s="5" t="n"/>
      <c r="P1493" s="8" t="n"/>
      <c r="Q1493" s="8" t="n"/>
      <c r="R1493" s="11">
        <f>IF(B1493="","",IFERROR(K1493,0)+IFERROR(P1493,0)-IFERROR(Q1493,0))</f>
        <v/>
      </c>
      <c r="S1493" s="5" t="n"/>
      <c r="T1493" s="5" t="n"/>
      <c r="U1493" s="11">
        <f>IF(B1493="","",TRIM(LOWER(C1493)&amp;"|"&amp;LOWER(D1493)))</f>
        <v/>
      </c>
    </row>
    <row r="1494">
      <c r="A1494" s="11">
        <f>IF(B1494="","",TEXT(ROW()-3,"""DC-""0000"))</f>
        <v/>
      </c>
      <c r="B1494" s="5" t="n"/>
      <c r="C1494" s="5" t="n"/>
      <c r="D1494" s="5" t="n"/>
      <c r="E1494" s="5" t="n"/>
      <c r="F1494" s="5" t="n"/>
      <c r="G1494" s="5" t="n"/>
      <c r="H1494" s="8" t="n"/>
      <c r="I1494" s="8" t="n"/>
      <c r="J1494" s="8" t="n"/>
      <c r="K1494" s="11">
        <f>IF(B1494="","",MAX(0,IFERROR(I1494,0)*IFERROR(H1494,0)-IFERROR(J1494,0)))</f>
        <v/>
      </c>
      <c r="L1494" s="8" t="n"/>
      <c r="M1494" s="11">
        <f>IF(B1494="","",MAX(0,K1494-L1494))</f>
        <v/>
      </c>
      <c r="N1494" s="11">
        <f>IF(B1494="","",IF(L1494&gt;=K1494,"Paid",IF(L1494&gt;0,"Partial","Unpaid")))</f>
        <v/>
      </c>
      <c r="O1494" s="5" t="n"/>
      <c r="P1494" s="8" t="n"/>
      <c r="Q1494" s="8" t="n"/>
      <c r="R1494" s="11">
        <f>IF(B1494="","",IFERROR(K1494,0)+IFERROR(P1494,0)-IFERROR(Q1494,0))</f>
        <v/>
      </c>
      <c r="S1494" s="5" t="n"/>
      <c r="T1494" s="5" t="n"/>
      <c r="U1494" s="11">
        <f>IF(B1494="","",TRIM(LOWER(C1494)&amp;"|"&amp;LOWER(D1494)))</f>
        <v/>
      </c>
    </row>
    <row r="1495">
      <c r="A1495" s="11">
        <f>IF(B1495="","",TEXT(ROW()-3,"""DC-""0000"))</f>
        <v/>
      </c>
      <c r="B1495" s="5" t="n"/>
      <c r="C1495" s="5" t="n"/>
      <c r="D1495" s="5" t="n"/>
      <c r="E1495" s="5" t="n"/>
      <c r="F1495" s="5" t="n"/>
      <c r="G1495" s="5" t="n"/>
      <c r="H1495" s="8" t="n"/>
      <c r="I1495" s="8" t="n"/>
      <c r="J1495" s="8" t="n"/>
      <c r="K1495" s="11">
        <f>IF(B1495="","",MAX(0,IFERROR(I1495,0)*IFERROR(H1495,0)-IFERROR(J1495,0)))</f>
        <v/>
      </c>
      <c r="L1495" s="8" t="n"/>
      <c r="M1495" s="11">
        <f>IF(B1495="","",MAX(0,K1495-L1495))</f>
        <v/>
      </c>
      <c r="N1495" s="11">
        <f>IF(B1495="","",IF(L1495&gt;=K1495,"Paid",IF(L1495&gt;0,"Partial","Unpaid")))</f>
        <v/>
      </c>
      <c r="O1495" s="5" t="n"/>
      <c r="P1495" s="8" t="n"/>
      <c r="Q1495" s="8" t="n"/>
      <c r="R1495" s="11">
        <f>IF(B1495="","",IFERROR(K1495,0)+IFERROR(P1495,0)-IFERROR(Q1495,0))</f>
        <v/>
      </c>
      <c r="S1495" s="5" t="n"/>
      <c r="T1495" s="5" t="n"/>
      <c r="U1495" s="11">
        <f>IF(B1495="","",TRIM(LOWER(C1495)&amp;"|"&amp;LOWER(D1495)))</f>
        <v/>
      </c>
    </row>
    <row r="1496">
      <c r="A1496" s="11">
        <f>IF(B1496="","",TEXT(ROW()-3,"""DC-""0000"))</f>
        <v/>
      </c>
      <c r="B1496" s="5" t="n"/>
      <c r="C1496" s="5" t="n"/>
      <c r="D1496" s="5" t="n"/>
      <c r="E1496" s="5" t="n"/>
      <c r="F1496" s="5" t="n"/>
      <c r="G1496" s="5" t="n"/>
      <c r="H1496" s="8" t="n"/>
      <c r="I1496" s="8" t="n"/>
      <c r="J1496" s="8" t="n"/>
      <c r="K1496" s="11">
        <f>IF(B1496="","",MAX(0,IFERROR(I1496,0)*IFERROR(H1496,0)-IFERROR(J1496,0)))</f>
        <v/>
      </c>
      <c r="L1496" s="8" t="n"/>
      <c r="M1496" s="11">
        <f>IF(B1496="","",MAX(0,K1496-L1496))</f>
        <v/>
      </c>
      <c r="N1496" s="11">
        <f>IF(B1496="","",IF(L1496&gt;=K1496,"Paid",IF(L1496&gt;0,"Partial","Unpaid")))</f>
        <v/>
      </c>
      <c r="O1496" s="5" t="n"/>
      <c r="P1496" s="8" t="n"/>
      <c r="Q1496" s="8" t="n"/>
      <c r="R1496" s="11">
        <f>IF(B1496="","",IFERROR(K1496,0)+IFERROR(P1496,0)-IFERROR(Q1496,0))</f>
        <v/>
      </c>
      <c r="S1496" s="5" t="n"/>
      <c r="T1496" s="5" t="n"/>
      <c r="U1496" s="11">
        <f>IF(B1496="","",TRIM(LOWER(C1496)&amp;"|"&amp;LOWER(D1496)))</f>
        <v/>
      </c>
    </row>
    <row r="1497">
      <c r="A1497" s="11">
        <f>IF(B1497="","",TEXT(ROW()-3,"""DC-""0000"))</f>
        <v/>
      </c>
      <c r="B1497" s="5" t="n"/>
      <c r="C1497" s="5" t="n"/>
      <c r="D1497" s="5" t="n"/>
      <c r="E1497" s="5" t="n"/>
      <c r="F1497" s="5" t="n"/>
      <c r="G1497" s="5" t="n"/>
      <c r="H1497" s="8" t="n"/>
      <c r="I1497" s="8" t="n"/>
      <c r="J1497" s="8" t="n"/>
      <c r="K1497" s="11">
        <f>IF(B1497="","",MAX(0,IFERROR(I1497,0)*IFERROR(H1497,0)-IFERROR(J1497,0)))</f>
        <v/>
      </c>
      <c r="L1497" s="8" t="n"/>
      <c r="M1497" s="11">
        <f>IF(B1497="","",MAX(0,K1497-L1497))</f>
        <v/>
      </c>
      <c r="N1497" s="11">
        <f>IF(B1497="","",IF(L1497&gt;=K1497,"Paid",IF(L1497&gt;0,"Partial","Unpaid")))</f>
        <v/>
      </c>
      <c r="O1497" s="5" t="n"/>
      <c r="P1497" s="8" t="n"/>
      <c r="Q1497" s="8" t="n"/>
      <c r="R1497" s="11">
        <f>IF(B1497="","",IFERROR(K1497,0)+IFERROR(P1497,0)-IFERROR(Q1497,0))</f>
        <v/>
      </c>
      <c r="S1497" s="5" t="n"/>
      <c r="T1497" s="5" t="n"/>
      <c r="U1497" s="11">
        <f>IF(B1497="","",TRIM(LOWER(C1497)&amp;"|"&amp;LOWER(D1497)))</f>
        <v/>
      </c>
    </row>
    <row r="1498">
      <c r="A1498" s="11">
        <f>IF(B1498="","",TEXT(ROW()-3,"""DC-""0000"))</f>
        <v/>
      </c>
      <c r="B1498" s="5" t="n"/>
      <c r="C1498" s="5" t="n"/>
      <c r="D1498" s="5" t="n"/>
      <c r="E1498" s="5" t="n"/>
      <c r="F1498" s="5" t="n"/>
      <c r="G1498" s="5" t="n"/>
      <c r="H1498" s="8" t="n"/>
      <c r="I1498" s="8" t="n"/>
      <c r="J1498" s="8" t="n"/>
      <c r="K1498" s="11">
        <f>IF(B1498="","",MAX(0,IFERROR(I1498,0)*IFERROR(H1498,0)-IFERROR(J1498,0)))</f>
        <v/>
      </c>
      <c r="L1498" s="8" t="n"/>
      <c r="M1498" s="11">
        <f>IF(B1498="","",MAX(0,K1498-L1498))</f>
        <v/>
      </c>
      <c r="N1498" s="11">
        <f>IF(B1498="","",IF(L1498&gt;=K1498,"Paid",IF(L1498&gt;0,"Partial","Unpaid")))</f>
        <v/>
      </c>
      <c r="O1498" s="5" t="n"/>
      <c r="P1498" s="8" t="n"/>
      <c r="Q1498" s="8" t="n"/>
      <c r="R1498" s="11">
        <f>IF(B1498="","",IFERROR(K1498,0)+IFERROR(P1498,0)-IFERROR(Q1498,0))</f>
        <v/>
      </c>
      <c r="S1498" s="5" t="n"/>
      <c r="T1498" s="5" t="n"/>
      <c r="U1498" s="11">
        <f>IF(B1498="","",TRIM(LOWER(C1498)&amp;"|"&amp;LOWER(D1498)))</f>
        <v/>
      </c>
    </row>
    <row r="1499">
      <c r="A1499" s="11">
        <f>IF(B1499="","",TEXT(ROW()-3,"""DC-""0000"))</f>
        <v/>
      </c>
      <c r="B1499" s="5" t="n"/>
      <c r="C1499" s="5" t="n"/>
      <c r="D1499" s="5" t="n"/>
      <c r="E1499" s="5" t="n"/>
      <c r="F1499" s="5" t="n"/>
      <c r="G1499" s="5" t="n"/>
      <c r="H1499" s="8" t="n"/>
      <c r="I1499" s="8" t="n"/>
      <c r="J1499" s="8" t="n"/>
      <c r="K1499" s="11">
        <f>IF(B1499="","",MAX(0,IFERROR(I1499,0)*IFERROR(H1499,0)-IFERROR(J1499,0)))</f>
        <v/>
      </c>
      <c r="L1499" s="8" t="n"/>
      <c r="M1499" s="11">
        <f>IF(B1499="","",MAX(0,K1499-L1499))</f>
        <v/>
      </c>
      <c r="N1499" s="11">
        <f>IF(B1499="","",IF(L1499&gt;=K1499,"Paid",IF(L1499&gt;0,"Partial","Unpaid")))</f>
        <v/>
      </c>
      <c r="O1499" s="5" t="n"/>
      <c r="P1499" s="8" t="n"/>
      <c r="Q1499" s="8" t="n"/>
      <c r="R1499" s="11">
        <f>IF(B1499="","",IFERROR(K1499,0)+IFERROR(P1499,0)-IFERROR(Q1499,0))</f>
        <v/>
      </c>
      <c r="S1499" s="5" t="n"/>
      <c r="T1499" s="5" t="n"/>
      <c r="U1499" s="11">
        <f>IF(B1499="","",TRIM(LOWER(C1499)&amp;"|"&amp;LOWER(D1499)))</f>
        <v/>
      </c>
    </row>
    <row r="1500">
      <c r="A1500" s="11">
        <f>IF(B1500="","",TEXT(ROW()-3,"""DC-""0000"))</f>
        <v/>
      </c>
      <c r="B1500" s="5" t="n"/>
      <c r="C1500" s="5" t="n"/>
      <c r="D1500" s="5" t="n"/>
      <c r="E1500" s="5" t="n"/>
      <c r="F1500" s="5" t="n"/>
      <c r="G1500" s="5" t="n"/>
      <c r="H1500" s="8" t="n"/>
      <c r="I1500" s="8" t="n"/>
      <c r="J1500" s="8" t="n"/>
      <c r="K1500" s="11">
        <f>IF(B1500="","",MAX(0,IFERROR(I1500,0)*IFERROR(H1500,0)-IFERROR(J1500,0)))</f>
        <v/>
      </c>
      <c r="L1500" s="8" t="n"/>
      <c r="M1500" s="11">
        <f>IF(B1500="","",MAX(0,K1500-L1500))</f>
        <v/>
      </c>
      <c r="N1500" s="11">
        <f>IF(B1500="","",IF(L1500&gt;=K1500,"Paid",IF(L1500&gt;0,"Partial","Unpaid")))</f>
        <v/>
      </c>
      <c r="O1500" s="5" t="n"/>
      <c r="P1500" s="8" t="n"/>
      <c r="Q1500" s="8" t="n"/>
      <c r="R1500" s="11">
        <f>IF(B1500="","",IFERROR(K1500,0)+IFERROR(P1500,0)-IFERROR(Q1500,0))</f>
        <v/>
      </c>
      <c r="S1500" s="5" t="n"/>
      <c r="T1500" s="5" t="n"/>
      <c r="U1500" s="11">
        <f>IF(B1500="","",TRIM(LOWER(C1500)&amp;"|"&amp;LOWER(D1500)))</f>
        <v/>
      </c>
    </row>
    <row r="1501">
      <c r="A1501" s="11">
        <f>IF(B1501="","",TEXT(ROW()-3,"""DC-""0000"))</f>
        <v/>
      </c>
      <c r="B1501" s="5" t="n"/>
      <c r="C1501" s="5" t="n"/>
      <c r="D1501" s="5" t="n"/>
      <c r="E1501" s="5" t="n"/>
      <c r="F1501" s="5" t="n"/>
      <c r="G1501" s="5" t="n"/>
      <c r="H1501" s="8" t="n"/>
      <c r="I1501" s="8" t="n"/>
      <c r="J1501" s="8" t="n"/>
      <c r="K1501" s="11">
        <f>IF(B1501="","",MAX(0,IFERROR(I1501,0)*IFERROR(H1501,0)-IFERROR(J1501,0)))</f>
        <v/>
      </c>
      <c r="L1501" s="8" t="n"/>
      <c r="M1501" s="11">
        <f>IF(B1501="","",MAX(0,K1501-L1501))</f>
        <v/>
      </c>
      <c r="N1501" s="11">
        <f>IF(B1501="","",IF(L1501&gt;=K1501,"Paid",IF(L1501&gt;0,"Partial","Unpaid")))</f>
        <v/>
      </c>
      <c r="O1501" s="5" t="n"/>
      <c r="P1501" s="8" t="n"/>
      <c r="Q1501" s="8" t="n"/>
      <c r="R1501" s="11">
        <f>IF(B1501="","",IFERROR(K1501,0)+IFERROR(P1501,0)-IFERROR(Q1501,0))</f>
        <v/>
      </c>
      <c r="S1501" s="5" t="n"/>
      <c r="T1501" s="5" t="n"/>
      <c r="U1501" s="11">
        <f>IF(B1501="","",TRIM(LOWER(C1501)&amp;"|"&amp;LOWER(D1501)))</f>
        <v/>
      </c>
    </row>
    <row r="1502">
      <c r="A1502" s="11">
        <f>IF(B1502="","",TEXT(ROW()-3,"""DC-""0000"))</f>
        <v/>
      </c>
      <c r="B1502" s="5" t="n"/>
      <c r="C1502" s="5" t="n"/>
      <c r="D1502" s="5" t="n"/>
      <c r="E1502" s="5" t="n"/>
      <c r="F1502" s="5" t="n"/>
      <c r="G1502" s="5" t="n"/>
      <c r="H1502" s="8" t="n"/>
      <c r="I1502" s="8" t="n"/>
      <c r="J1502" s="8" t="n"/>
      <c r="K1502" s="11">
        <f>IF(B1502="","",MAX(0,IFERROR(I1502,0)*IFERROR(H1502,0)-IFERROR(J1502,0)))</f>
        <v/>
      </c>
      <c r="L1502" s="8" t="n"/>
      <c r="M1502" s="11">
        <f>IF(B1502="","",MAX(0,K1502-L1502))</f>
        <v/>
      </c>
      <c r="N1502" s="11">
        <f>IF(B1502="","",IF(L1502&gt;=K1502,"Paid",IF(L1502&gt;0,"Partial","Unpaid")))</f>
        <v/>
      </c>
      <c r="O1502" s="5" t="n"/>
      <c r="P1502" s="8" t="n"/>
      <c r="Q1502" s="8" t="n"/>
      <c r="R1502" s="11">
        <f>IF(B1502="","",IFERROR(K1502,0)+IFERROR(P1502,0)-IFERROR(Q1502,0))</f>
        <v/>
      </c>
      <c r="S1502" s="5" t="n"/>
      <c r="T1502" s="5" t="n"/>
      <c r="U1502" s="11">
        <f>IF(B1502="","",TRIM(LOWER(C1502)&amp;"|"&amp;LOWER(D1502)))</f>
        <v/>
      </c>
    </row>
    <row r="1503">
      <c r="A1503" s="11">
        <f>IF(B1503="","",TEXT(ROW()-3,"""DC-""0000"))</f>
        <v/>
      </c>
      <c r="B1503" s="5" t="n"/>
      <c r="C1503" s="5" t="n"/>
      <c r="D1503" s="5" t="n"/>
      <c r="E1503" s="5" t="n"/>
      <c r="F1503" s="5" t="n"/>
      <c r="G1503" s="5" t="n"/>
      <c r="H1503" s="8" t="n"/>
      <c r="I1503" s="8" t="n"/>
      <c r="J1503" s="8" t="n"/>
      <c r="K1503" s="11">
        <f>IF(B1503="","",MAX(0,IFERROR(I1503,0)*IFERROR(H1503,0)-IFERROR(J1503,0)))</f>
        <v/>
      </c>
      <c r="L1503" s="8" t="n"/>
      <c r="M1503" s="11">
        <f>IF(B1503="","",MAX(0,K1503-L1503))</f>
        <v/>
      </c>
      <c r="N1503" s="11">
        <f>IF(B1503="","",IF(L1503&gt;=K1503,"Paid",IF(L1503&gt;0,"Partial","Unpaid")))</f>
        <v/>
      </c>
      <c r="O1503" s="5" t="n"/>
      <c r="P1503" s="8" t="n"/>
      <c r="Q1503" s="8" t="n"/>
      <c r="R1503" s="11">
        <f>IF(B1503="","",IFERROR(K1503,0)+IFERROR(P1503,0)-IFERROR(Q1503,0))</f>
        <v/>
      </c>
      <c r="S1503" s="5" t="n"/>
      <c r="T1503" s="5" t="n"/>
      <c r="U1503" s="11">
        <f>IF(B1503="","",TRIM(LOWER(C1503)&amp;"|"&amp;LOWER(D1503)))</f>
        <v/>
      </c>
    </row>
    <row r="1504">
      <c r="A1504" s="11">
        <f>IF(B1504="","",TEXT(ROW()-3,"""DC-""0000"))</f>
        <v/>
      </c>
      <c r="B1504" s="5" t="n"/>
      <c r="C1504" s="5" t="n"/>
      <c r="D1504" s="5" t="n"/>
      <c r="E1504" s="5" t="n"/>
      <c r="F1504" s="5" t="n"/>
      <c r="G1504" s="5" t="n"/>
      <c r="H1504" s="8" t="n"/>
      <c r="I1504" s="8" t="n"/>
      <c r="J1504" s="8" t="n"/>
      <c r="K1504" s="11">
        <f>IF(B1504="","",MAX(0,IFERROR(I1504,0)*IFERROR(H1504,0)-IFERROR(J1504,0)))</f>
        <v/>
      </c>
      <c r="L1504" s="8" t="n"/>
      <c r="M1504" s="11">
        <f>IF(B1504="","",MAX(0,K1504-L1504))</f>
        <v/>
      </c>
      <c r="N1504" s="11">
        <f>IF(B1504="","",IF(L1504&gt;=K1504,"Paid",IF(L1504&gt;0,"Partial","Unpaid")))</f>
        <v/>
      </c>
      <c r="O1504" s="5" t="n"/>
      <c r="P1504" s="8" t="n"/>
      <c r="Q1504" s="8" t="n"/>
      <c r="R1504" s="11">
        <f>IF(B1504="","",IFERROR(K1504,0)+IFERROR(P1504,0)-IFERROR(Q1504,0))</f>
        <v/>
      </c>
      <c r="S1504" s="5" t="n"/>
      <c r="T1504" s="5" t="n"/>
      <c r="U1504" s="11">
        <f>IF(B1504="","",TRIM(LOWER(C1504)&amp;"|"&amp;LOWER(D1504)))</f>
        <v/>
      </c>
    </row>
    <row r="1505">
      <c r="A1505" s="11">
        <f>IF(B1505="","",TEXT(ROW()-3,"""DC-""0000"))</f>
        <v/>
      </c>
      <c r="B1505" s="5" t="n"/>
      <c r="C1505" s="5" t="n"/>
      <c r="D1505" s="5" t="n"/>
      <c r="E1505" s="5" t="n"/>
      <c r="F1505" s="5" t="n"/>
      <c r="G1505" s="5" t="n"/>
      <c r="H1505" s="8" t="n"/>
      <c r="I1505" s="8" t="n"/>
      <c r="J1505" s="8" t="n"/>
      <c r="K1505" s="11">
        <f>IF(B1505="","",MAX(0,IFERROR(I1505,0)*IFERROR(H1505,0)-IFERROR(J1505,0)))</f>
        <v/>
      </c>
      <c r="L1505" s="8" t="n"/>
      <c r="M1505" s="11">
        <f>IF(B1505="","",MAX(0,K1505-L1505))</f>
        <v/>
      </c>
      <c r="N1505" s="11">
        <f>IF(B1505="","",IF(L1505&gt;=K1505,"Paid",IF(L1505&gt;0,"Partial","Unpaid")))</f>
        <v/>
      </c>
      <c r="O1505" s="5" t="n"/>
      <c r="P1505" s="8" t="n"/>
      <c r="Q1505" s="8" t="n"/>
      <c r="R1505" s="11">
        <f>IF(B1505="","",IFERROR(K1505,0)+IFERROR(P1505,0)-IFERROR(Q1505,0))</f>
        <v/>
      </c>
      <c r="S1505" s="5" t="n"/>
      <c r="T1505" s="5" t="n"/>
      <c r="U1505" s="11">
        <f>IF(B1505="","",TRIM(LOWER(C1505)&amp;"|"&amp;LOWER(D1505)))</f>
        <v/>
      </c>
    </row>
    <row r="1506">
      <c r="A1506" s="11">
        <f>IF(B1506="","",TEXT(ROW()-3,"""DC-""0000"))</f>
        <v/>
      </c>
      <c r="B1506" s="5" t="n"/>
      <c r="C1506" s="5" t="n"/>
      <c r="D1506" s="5" t="n"/>
      <c r="E1506" s="5" t="n"/>
      <c r="F1506" s="5" t="n"/>
      <c r="G1506" s="5" t="n"/>
      <c r="H1506" s="8" t="n"/>
      <c r="I1506" s="8" t="n"/>
      <c r="J1506" s="8" t="n"/>
      <c r="K1506" s="11">
        <f>IF(B1506="","",MAX(0,IFERROR(I1506,0)*IFERROR(H1506,0)-IFERROR(J1506,0)))</f>
        <v/>
      </c>
      <c r="L1506" s="8" t="n"/>
      <c r="M1506" s="11">
        <f>IF(B1506="","",MAX(0,K1506-L1506))</f>
        <v/>
      </c>
      <c r="N1506" s="11">
        <f>IF(B1506="","",IF(L1506&gt;=K1506,"Paid",IF(L1506&gt;0,"Partial","Unpaid")))</f>
        <v/>
      </c>
      <c r="O1506" s="5" t="n"/>
      <c r="P1506" s="8" t="n"/>
      <c r="Q1506" s="8" t="n"/>
      <c r="R1506" s="11">
        <f>IF(B1506="","",IFERROR(K1506,0)+IFERROR(P1506,0)-IFERROR(Q1506,0))</f>
        <v/>
      </c>
      <c r="S1506" s="5" t="n"/>
      <c r="T1506" s="5" t="n"/>
      <c r="U1506" s="11">
        <f>IF(B1506="","",TRIM(LOWER(C1506)&amp;"|"&amp;LOWER(D1506)))</f>
        <v/>
      </c>
    </row>
    <row r="1507">
      <c r="A1507" s="11">
        <f>IF(B1507="","",TEXT(ROW()-3,"""DC-""0000"))</f>
        <v/>
      </c>
      <c r="B1507" s="5" t="n"/>
      <c r="C1507" s="5" t="n"/>
      <c r="D1507" s="5" t="n"/>
      <c r="E1507" s="5" t="n"/>
      <c r="F1507" s="5" t="n"/>
      <c r="G1507" s="5" t="n"/>
      <c r="H1507" s="8" t="n"/>
      <c r="I1507" s="8" t="n"/>
      <c r="J1507" s="8" t="n"/>
      <c r="K1507" s="11">
        <f>IF(B1507="","",MAX(0,IFERROR(I1507,0)*IFERROR(H1507,0)-IFERROR(J1507,0)))</f>
        <v/>
      </c>
      <c r="L1507" s="8" t="n"/>
      <c r="M1507" s="11">
        <f>IF(B1507="","",MAX(0,K1507-L1507))</f>
        <v/>
      </c>
      <c r="N1507" s="11">
        <f>IF(B1507="","",IF(L1507&gt;=K1507,"Paid",IF(L1507&gt;0,"Partial","Unpaid")))</f>
        <v/>
      </c>
      <c r="O1507" s="5" t="n"/>
      <c r="P1507" s="8" t="n"/>
      <c r="Q1507" s="8" t="n"/>
      <c r="R1507" s="11">
        <f>IF(B1507="","",IFERROR(K1507,0)+IFERROR(P1507,0)-IFERROR(Q1507,0))</f>
        <v/>
      </c>
      <c r="S1507" s="5" t="n"/>
      <c r="T1507" s="5" t="n"/>
      <c r="U1507" s="11">
        <f>IF(B1507="","",TRIM(LOWER(C1507)&amp;"|"&amp;LOWER(D1507)))</f>
        <v/>
      </c>
    </row>
    <row r="1508">
      <c r="A1508" s="11">
        <f>IF(B1508="","",TEXT(ROW()-3,"""DC-""0000"))</f>
        <v/>
      </c>
      <c r="B1508" s="5" t="n"/>
      <c r="C1508" s="5" t="n"/>
      <c r="D1508" s="5" t="n"/>
      <c r="E1508" s="5" t="n"/>
      <c r="F1508" s="5" t="n"/>
      <c r="G1508" s="5" t="n"/>
      <c r="H1508" s="8" t="n"/>
      <c r="I1508" s="8" t="n"/>
      <c r="J1508" s="8" t="n"/>
      <c r="K1508" s="11">
        <f>IF(B1508="","",MAX(0,IFERROR(I1508,0)*IFERROR(H1508,0)-IFERROR(J1508,0)))</f>
        <v/>
      </c>
      <c r="L1508" s="8" t="n"/>
      <c r="M1508" s="11">
        <f>IF(B1508="","",MAX(0,K1508-L1508))</f>
        <v/>
      </c>
      <c r="N1508" s="11">
        <f>IF(B1508="","",IF(L1508&gt;=K1508,"Paid",IF(L1508&gt;0,"Partial","Unpaid")))</f>
        <v/>
      </c>
      <c r="O1508" s="5" t="n"/>
      <c r="P1508" s="8" t="n"/>
      <c r="Q1508" s="8" t="n"/>
      <c r="R1508" s="11">
        <f>IF(B1508="","",IFERROR(K1508,0)+IFERROR(P1508,0)-IFERROR(Q1508,0))</f>
        <v/>
      </c>
      <c r="S1508" s="5" t="n"/>
      <c r="T1508" s="5" t="n"/>
      <c r="U1508" s="11">
        <f>IF(B1508="","",TRIM(LOWER(C1508)&amp;"|"&amp;LOWER(D1508)))</f>
        <v/>
      </c>
    </row>
    <row r="1509">
      <c r="A1509" s="11">
        <f>IF(B1509="","",TEXT(ROW()-3,"""DC-""0000"))</f>
        <v/>
      </c>
      <c r="B1509" s="5" t="n"/>
      <c r="C1509" s="5" t="n"/>
      <c r="D1509" s="5" t="n"/>
      <c r="E1509" s="5" t="n"/>
      <c r="F1509" s="5" t="n"/>
      <c r="G1509" s="5" t="n"/>
      <c r="H1509" s="8" t="n"/>
      <c r="I1509" s="8" t="n"/>
      <c r="J1509" s="8" t="n"/>
      <c r="K1509" s="11">
        <f>IF(B1509="","",MAX(0,IFERROR(I1509,0)*IFERROR(H1509,0)-IFERROR(J1509,0)))</f>
        <v/>
      </c>
      <c r="L1509" s="8" t="n"/>
      <c r="M1509" s="11">
        <f>IF(B1509="","",MAX(0,K1509-L1509))</f>
        <v/>
      </c>
      <c r="N1509" s="11">
        <f>IF(B1509="","",IF(L1509&gt;=K1509,"Paid",IF(L1509&gt;0,"Partial","Unpaid")))</f>
        <v/>
      </c>
      <c r="O1509" s="5" t="n"/>
      <c r="P1509" s="8" t="n"/>
      <c r="Q1509" s="8" t="n"/>
      <c r="R1509" s="11">
        <f>IF(B1509="","",IFERROR(K1509,0)+IFERROR(P1509,0)-IFERROR(Q1509,0))</f>
        <v/>
      </c>
      <c r="S1509" s="5" t="n"/>
      <c r="T1509" s="5" t="n"/>
      <c r="U1509" s="11">
        <f>IF(B1509="","",TRIM(LOWER(C1509)&amp;"|"&amp;LOWER(D1509)))</f>
        <v/>
      </c>
    </row>
    <row r="1510">
      <c r="A1510" s="11">
        <f>IF(B1510="","",TEXT(ROW()-3,"""DC-""0000"))</f>
        <v/>
      </c>
      <c r="B1510" s="5" t="n"/>
      <c r="C1510" s="5" t="n"/>
      <c r="D1510" s="5" t="n"/>
      <c r="E1510" s="5" t="n"/>
      <c r="F1510" s="5" t="n"/>
      <c r="G1510" s="5" t="n"/>
      <c r="H1510" s="8" t="n"/>
      <c r="I1510" s="8" t="n"/>
      <c r="J1510" s="8" t="n"/>
      <c r="K1510" s="11">
        <f>IF(B1510="","",MAX(0,IFERROR(I1510,0)*IFERROR(H1510,0)-IFERROR(J1510,0)))</f>
        <v/>
      </c>
      <c r="L1510" s="8" t="n"/>
      <c r="M1510" s="11">
        <f>IF(B1510="","",MAX(0,K1510-L1510))</f>
        <v/>
      </c>
      <c r="N1510" s="11">
        <f>IF(B1510="","",IF(L1510&gt;=K1510,"Paid",IF(L1510&gt;0,"Partial","Unpaid")))</f>
        <v/>
      </c>
      <c r="O1510" s="5" t="n"/>
      <c r="P1510" s="8" t="n"/>
      <c r="Q1510" s="8" t="n"/>
      <c r="R1510" s="11">
        <f>IF(B1510="","",IFERROR(K1510,0)+IFERROR(P1510,0)-IFERROR(Q1510,0))</f>
        <v/>
      </c>
      <c r="S1510" s="5" t="n"/>
      <c r="T1510" s="5" t="n"/>
      <c r="U1510" s="11">
        <f>IF(B1510="","",TRIM(LOWER(C1510)&amp;"|"&amp;LOWER(D1510)))</f>
        <v/>
      </c>
    </row>
    <row r="1511">
      <c r="A1511" s="11">
        <f>IF(B1511="","",TEXT(ROW()-3,"""DC-""0000"))</f>
        <v/>
      </c>
      <c r="B1511" s="5" t="n"/>
      <c r="C1511" s="5" t="n"/>
      <c r="D1511" s="5" t="n"/>
      <c r="E1511" s="5" t="n"/>
      <c r="F1511" s="5" t="n"/>
      <c r="G1511" s="5" t="n"/>
      <c r="H1511" s="8" t="n"/>
      <c r="I1511" s="8" t="n"/>
      <c r="J1511" s="8" t="n"/>
      <c r="K1511" s="11">
        <f>IF(B1511="","",MAX(0,IFERROR(I1511,0)*IFERROR(H1511,0)-IFERROR(J1511,0)))</f>
        <v/>
      </c>
      <c r="L1511" s="8" t="n"/>
      <c r="M1511" s="11">
        <f>IF(B1511="","",MAX(0,K1511-L1511))</f>
        <v/>
      </c>
      <c r="N1511" s="11">
        <f>IF(B1511="","",IF(L1511&gt;=K1511,"Paid",IF(L1511&gt;0,"Partial","Unpaid")))</f>
        <v/>
      </c>
      <c r="O1511" s="5" t="n"/>
      <c r="P1511" s="8" t="n"/>
      <c r="Q1511" s="8" t="n"/>
      <c r="R1511" s="11">
        <f>IF(B1511="","",IFERROR(K1511,0)+IFERROR(P1511,0)-IFERROR(Q1511,0))</f>
        <v/>
      </c>
      <c r="S1511" s="5" t="n"/>
      <c r="T1511" s="5" t="n"/>
      <c r="U1511" s="11">
        <f>IF(B1511="","",TRIM(LOWER(C1511)&amp;"|"&amp;LOWER(D1511)))</f>
        <v/>
      </c>
    </row>
    <row r="1512">
      <c r="A1512" s="11">
        <f>IF(B1512="","",TEXT(ROW()-3,"""DC-""0000"))</f>
        <v/>
      </c>
      <c r="B1512" s="5" t="n"/>
      <c r="C1512" s="5" t="n"/>
      <c r="D1512" s="5" t="n"/>
      <c r="E1512" s="5" t="n"/>
      <c r="F1512" s="5" t="n"/>
      <c r="G1512" s="5" t="n"/>
      <c r="H1512" s="8" t="n"/>
      <c r="I1512" s="8" t="n"/>
      <c r="J1512" s="8" t="n"/>
      <c r="K1512" s="11">
        <f>IF(B1512="","",MAX(0,IFERROR(I1512,0)*IFERROR(H1512,0)-IFERROR(J1512,0)))</f>
        <v/>
      </c>
      <c r="L1512" s="8" t="n"/>
      <c r="M1512" s="11">
        <f>IF(B1512="","",MAX(0,K1512-L1512))</f>
        <v/>
      </c>
      <c r="N1512" s="11">
        <f>IF(B1512="","",IF(L1512&gt;=K1512,"Paid",IF(L1512&gt;0,"Partial","Unpaid")))</f>
        <v/>
      </c>
      <c r="O1512" s="5" t="n"/>
      <c r="P1512" s="8" t="n"/>
      <c r="Q1512" s="8" t="n"/>
      <c r="R1512" s="11">
        <f>IF(B1512="","",IFERROR(K1512,0)+IFERROR(P1512,0)-IFERROR(Q1512,0))</f>
        <v/>
      </c>
      <c r="S1512" s="5" t="n"/>
      <c r="T1512" s="5" t="n"/>
      <c r="U1512" s="11">
        <f>IF(B1512="","",TRIM(LOWER(C1512)&amp;"|"&amp;LOWER(D1512)))</f>
        <v/>
      </c>
    </row>
    <row r="1513">
      <c r="A1513" s="11">
        <f>IF(B1513="","",TEXT(ROW()-3,"""DC-""0000"))</f>
        <v/>
      </c>
      <c r="B1513" s="5" t="n"/>
      <c r="C1513" s="5" t="n"/>
      <c r="D1513" s="5" t="n"/>
      <c r="E1513" s="5" t="n"/>
      <c r="F1513" s="5" t="n"/>
      <c r="G1513" s="5" t="n"/>
      <c r="H1513" s="8" t="n"/>
      <c r="I1513" s="8" t="n"/>
      <c r="J1513" s="8" t="n"/>
      <c r="K1513" s="11">
        <f>IF(B1513="","",MAX(0,IFERROR(I1513,0)*IFERROR(H1513,0)-IFERROR(J1513,0)))</f>
        <v/>
      </c>
      <c r="L1513" s="8" t="n"/>
      <c r="M1513" s="11">
        <f>IF(B1513="","",MAX(0,K1513-L1513))</f>
        <v/>
      </c>
      <c r="N1513" s="11">
        <f>IF(B1513="","",IF(L1513&gt;=K1513,"Paid",IF(L1513&gt;0,"Partial","Unpaid")))</f>
        <v/>
      </c>
      <c r="O1513" s="5" t="n"/>
      <c r="P1513" s="8" t="n"/>
      <c r="Q1513" s="8" t="n"/>
      <c r="R1513" s="11">
        <f>IF(B1513="","",IFERROR(K1513,0)+IFERROR(P1513,0)-IFERROR(Q1513,0))</f>
        <v/>
      </c>
      <c r="S1513" s="5" t="n"/>
      <c r="T1513" s="5" t="n"/>
      <c r="U1513" s="11">
        <f>IF(B1513="","",TRIM(LOWER(C1513)&amp;"|"&amp;LOWER(D1513)))</f>
        <v/>
      </c>
    </row>
    <row r="1514">
      <c r="A1514" s="11">
        <f>IF(B1514="","",TEXT(ROW()-3,"""DC-""0000"))</f>
        <v/>
      </c>
      <c r="B1514" s="5" t="n"/>
      <c r="C1514" s="5" t="n"/>
      <c r="D1514" s="5" t="n"/>
      <c r="E1514" s="5" t="n"/>
      <c r="F1514" s="5" t="n"/>
      <c r="G1514" s="5" t="n"/>
      <c r="H1514" s="8" t="n"/>
      <c r="I1514" s="8" t="n"/>
      <c r="J1514" s="8" t="n"/>
      <c r="K1514" s="11">
        <f>IF(B1514="","",MAX(0,IFERROR(I1514,0)*IFERROR(H1514,0)-IFERROR(J1514,0)))</f>
        <v/>
      </c>
      <c r="L1514" s="8" t="n"/>
      <c r="M1514" s="11">
        <f>IF(B1514="","",MAX(0,K1514-L1514))</f>
        <v/>
      </c>
      <c r="N1514" s="11">
        <f>IF(B1514="","",IF(L1514&gt;=K1514,"Paid",IF(L1514&gt;0,"Partial","Unpaid")))</f>
        <v/>
      </c>
      <c r="O1514" s="5" t="n"/>
      <c r="P1514" s="8" t="n"/>
      <c r="Q1514" s="8" t="n"/>
      <c r="R1514" s="11">
        <f>IF(B1514="","",IFERROR(K1514,0)+IFERROR(P1514,0)-IFERROR(Q1514,0))</f>
        <v/>
      </c>
      <c r="S1514" s="5" t="n"/>
      <c r="T1514" s="5" t="n"/>
      <c r="U1514" s="11">
        <f>IF(B1514="","",TRIM(LOWER(C1514)&amp;"|"&amp;LOWER(D1514)))</f>
        <v/>
      </c>
    </row>
    <row r="1515">
      <c r="A1515" s="11">
        <f>IF(B1515="","",TEXT(ROW()-3,"""DC-""0000"))</f>
        <v/>
      </c>
      <c r="B1515" s="5" t="n"/>
      <c r="C1515" s="5" t="n"/>
      <c r="D1515" s="5" t="n"/>
      <c r="E1515" s="5" t="n"/>
      <c r="F1515" s="5" t="n"/>
      <c r="G1515" s="5" t="n"/>
      <c r="H1515" s="8" t="n"/>
      <c r="I1515" s="8" t="n"/>
      <c r="J1515" s="8" t="n"/>
      <c r="K1515" s="11">
        <f>IF(B1515="","",MAX(0,IFERROR(I1515,0)*IFERROR(H1515,0)-IFERROR(J1515,0)))</f>
        <v/>
      </c>
      <c r="L1515" s="8" t="n"/>
      <c r="M1515" s="11">
        <f>IF(B1515="","",MAX(0,K1515-L1515))</f>
        <v/>
      </c>
      <c r="N1515" s="11">
        <f>IF(B1515="","",IF(L1515&gt;=K1515,"Paid",IF(L1515&gt;0,"Partial","Unpaid")))</f>
        <v/>
      </c>
      <c r="O1515" s="5" t="n"/>
      <c r="P1515" s="8" t="n"/>
      <c r="Q1515" s="8" t="n"/>
      <c r="R1515" s="11">
        <f>IF(B1515="","",IFERROR(K1515,0)+IFERROR(P1515,0)-IFERROR(Q1515,0))</f>
        <v/>
      </c>
      <c r="S1515" s="5" t="n"/>
      <c r="T1515" s="5" t="n"/>
      <c r="U1515" s="11">
        <f>IF(B1515="","",TRIM(LOWER(C1515)&amp;"|"&amp;LOWER(D1515)))</f>
        <v/>
      </c>
    </row>
    <row r="1516">
      <c r="A1516" s="11">
        <f>IF(B1516="","",TEXT(ROW()-3,"""DC-""0000"))</f>
        <v/>
      </c>
      <c r="B1516" s="5" t="n"/>
      <c r="C1516" s="5" t="n"/>
      <c r="D1516" s="5" t="n"/>
      <c r="E1516" s="5" t="n"/>
      <c r="F1516" s="5" t="n"/>
      <c r="G1516" s="5" t="n"/>
      <c r="H1516" s="8" t="n"/>
      <c r="I1516" s="8" t="n"/>
      <c r="J1516" s="8" t="n"/>
      <c r="K1516" s="11">
        <f>IF(B1516="","",MAX(0,IFERROR(I1516,0)*IFERROR(H1516,0)-IFERROR(J1516,0)))</f>
        <v/>
      </c>
      <c r="L1516" s="8" t="n"/>
      <c r="M1516" s="11">
        <f>IF(B1516="","",MAX(0,K1516-L1516))</f>
        <v/>
      </c>
      <c r="N1516" s="11">
        <f>IF(B1516="","",IF(L1516&gt;=K1516,"Paid",IF(L1516&gt;0,"Partial","Unpaid")))</f>
        <v/>
      </c>
      <c r="O1516" s="5" t="n"/>
      <c r="P1516" s="8" t="n"/>
      <c r="Q1516" s="8" t="n"/>
      <c r="R1516" s="11">
        <f>IF(B1516="","",IFERROR(K1516,0)+IFERROR(P1516,0)-IFERROR(Q1516,0))</f>
        <v/>
      </c>
      <c r="S1516" s="5" t="n"/>
      <c r="T1516" s="5" t="n"/>
      <c r="U1516" s="11">
        <f>IF(B1516="","",TRIM(LOWER(C1516)&amp;"|"&amp;LOWER(D1516)))</f>
        <v/>
      </c>
    </row>
    <row r="1517">
      <c r="A1517" s="11">
        <f>IF(B1517="","",TEXT(ROW()-3,"""DC-""0000"))</f>
        <v/>
      </c>
      <c r="B1517" s="5" t="n"/>
      <c r="C1517" s="5" t="n"/>
      <c r="D1517" s="5" t="n"/>
      <c r="E1517" s="5" t="n"/>
      <c r="F1517" s="5" t="n"/>
      <c r="G1517" s="5" t="n"/>
      <c r="H1517" s="8" t="n"/>
      <c r="I1517" s="8" t="n"/>
      <c r="J1517" s="8" t="n"/>
      <c r="K1517" s="11">
        <f>IF(B1517="","",MAX(0,IFERROR(I1517,0)*IFERROR(H1517,0)-IFERROR(J1517,0)))</f>
        <v/>
      </c>
      <c r="L1517" s="8" t="n"/>
      <c r="M1517" s="11">
        <f>IF(B1517="","",MAX(0,K1517-L1517))</f>
        <v/>
      </c>
      <c r="N1517" s="11">
        <f>IF(B1517="","",IF(L1517&gt;=K1517,"Paid",IF(L1517&gt;0,"Partial","Unpaid")))</f>
        <v/>
      </c>
      <c r="O1517" s="5" t="n"/>
      <c r="P1517" s="8" t="n"/>
      <c r="Q1517" s="8" t="n"/>
      <c r="R1517" s="11">
        <f>IF(B1517="","",IFERROR(K1517,0)+IFERROR(P1517,0)-IFERROR(Q1517,0))</f>
        <v/>
      </c>
      <c r="S1517" s="5" t="n"/>
      <c r="T1517" s="5" t="n"/>
      <c r="U1517" s="11">
        <f>IF(B1517="","",TRIM(LOWER(C1517)&amp;"|"&amp;LOWER(D1517)))</f>
        <v/>
      </c>
    </row>
    <row r="1518">
      <c r="A1518" s="11">
        <f>IF(B1518="","",TEXT(ROW()-3,"""DC-""0000"))</f>
        <v/>
      </c>
      <c r="B1518" s="5" t="n"/>
      <c r="C1518" s="5" t="n"/>
      <c r="D1518" s="5" t="n"/>
      <c r="E1518" s="5" t="n"/>
      <c r="F1518" s="5" t="n"/>
      <c r="G1518" s="5" t="n"/>
      <c r="H1518" s="8" t="n"/>
      <c r="I1518" s="8" t="n"/>
      <c r="J1518" s="8" t="n"/>
      <c r="K1518" s="11">
        <f>IF(B1518="","",MAX(0,IFERROR(I1518,0)*IFERROR(H1518,0)-IFERROR(J1518,0)))</f>
        <v/>
      </c>
      <c r="L1518" s="8" t="n"/>
      <c r="M1518" s="11">
        <f>IF(B1518="","",MAX(0,K1518-L1518))</f>
        <v/>
      </c>
      <c r="N1518" s="11">
        <f>IF(B1518="","",IF(L1518&gt;=K1518,"Paid",IF(L1518&gt;0,"Partial","Unpaid")))</f>
        <v/>
      </c>
      <c r="O1518" s="5" t="n"/>
      <c r="P1518" s="8" t="n"/>
      <c r="Q1518" s="8" t="n"/>
      <c r="R1518" s="11">
        <f>IF(B1518="","",IFERROR(K1518,0)+IFERROR(P1518,0)-IFERROR(Q1518,0))</f>
        <v/>
      </c>
      <c r="S1518" s="5" t="n"/>
      <c r="T1518" s="5" t="n"/>
      <c r="U1518" s="11">
        <f>IF(B1518="","",TRIM(LOWER(C1518)&amp;"|"&amp;LOWER(D1518)))</f>
        <v/>
      </c>
    </row>
    <row r="1519">
      <c r="A1519" s="11">
        <f>IF(B1519="","",TEXT(ROW()-3,"""DC-""0000"))</f>
        <v/>
      </c>
      <c r="B1519" s="5" t="n"/>
      <c r="C1519" s="5" t="n"/>
      <c r="D1519" s="5" t="n"/>
      <c r="E1519" s="5" t="n"/>
      <c r="F1519" s="5" t="n"/>
      <c r="G1519" s="5" t="n"/>
      <c r="H1519" s="8" t="n"/>
      <c r="I1519" s="8" t="n"/>
      <c r="J1519" s="8" t="n"/>
      <c r="K1519" s="11">
        <f>IF(B1519="","",MAX(0,IFERROR(I1519,0)*IFERROR(H1519,0)-IFERROR(J1519,0)))</f>
        <v/>
      </c>
      <c r="L1519" s="8" t="n"/>
      <c r="M1519" s="11">
        <f>IF(B1519="","",MAX(0,K1519-L1519))</f>
        <v/>
      </c>
      <c r="N1519" s="11">
        <f>IF(B1519="","",IF(L1519&gt;=K1519,"Paid",IF(L1519&gt;0,"Partial","Unpaid")))</f>
        <v/>
      </c>
      <c r="O1519" s="5" t="n"/>
      <c r="P1519" s="8" t="n"/>
      <c r="Q1519" s="8" t="n"/>
      <c r="R1519" s="11">
        <f>IF(B1519="","",IFERROR(K1519,0)+IFERROR(P1519,0)-IFERROR(Q1519,0))</f>
        <v/>
      </c>
      <c r="S1519" s="5" t="n"/>
      <c r="T1519" s="5" t="n"/>
      <c r="U1519" s="11">
        <f>IF(B1519="","",TRIM(LOWER(C1519)&amp;"|"&amp;LOWER(D1519)))</f>
        <v/>
      </c>
    </row>
    <row r="1520">
      <c r="A1520" s="11">
        <f>IF(B1520="","",TEXT(ROW()-3,"""DC-""0000"))</f>
        <v/>
      </c>
      <c r="B1520" s="5" t="n"/>
      <c r="C1520" s="5" t="n"/>
      <c r="D1520" s="5" t="n"/>
      <c r="E1520" s="5" t="n"/>
      <c r="F1520" s="5" t="n"/>
      <c r="G1520" s="5" t="n"/>
      <c r="H1520" s="8" t="n"/>
      <c r="I1520" s="8" t="n"/>
      <c r="J1520" s="8" t="n"/>
      <c r="K1520" s="11">
        <f>IF(B1520="","",MAX(0,IFERROR(I1520,0)*IFERROR(H1520,0)-IFERROR(J1520,0)))</f>
        <v/>
      </c>
      <c r="L1520" s="8" t="n"/>
      <c r="M1520" s="11">
        <f>IF(B1520="","",MAX(0,K1520-L1520))</f>
        <v/>
      </c>
      <c r="N1520" s="11">
        <f>IF(B1520="","",IF(L1520&gt;=K1520,"Paid",IF(L1520&gt;0,"Partial","Unpaid")))</f>
        <v/>
      </c>
      <c r="O1520" s="5" t="n"/>
      <c r="P1520" s="8" t="n"/>
      <c r="Q1520" s="8" t="n"/>
      <c r="R1520" s="11">
        <f>IF(B1520="","",IFERROR(K1520,0)+IFERROR(P1520,0)-IFERROR(Q1520,0))</f>
        <v/>
      </c>
      <c r="S1520" s="5" t="n"/>
      <c r="T1520" s="5" t="n"/>
      <c r="U1520" s="11">
        <f>IF(B1520="","",TRIM(LOWER(C1520)&amp;"|"&amp;LOWER(D1520)))</f>
        <v/>
      </c>
    </row>
    <row r="1521">
      <c r="A1521" s="11">
        <f>IF(B1521="","",TEXT(ROW()-3,"""DC-""0000"))</f>
        <v/>
      </c>
      <c r="B1521" s="5" t="n"/>
      <c r="C1521" s="5" t="n"/>
      <c r="D1521" s="5" t="n"/>
      <c r="E1521" s="5" t="n"/>
      <c r="F1521" s="5" t="n"/>
      <c r="G1521" s="5" t="n"/>
      <c r="H1521" s="8" t="n"/>
      <c r="I1521" s="8" t="n"/>
      <c r="J1521" s="8" t="n"/>
      <c r="K1521" s="11">
        <f>IF(B1521="","",MAX(0,IFERROR(I1521,0)*IFERROR(H1521,0)-IFERROR(J1521,0)))</f>
        <v/>
      </c>
      <c r="L1521" s="8" t="n"/>
      <c r="M1521" s="11">
        <f>IF(B1521="","",MAX(0,K1521-L1521))</f>
        <v/>
      </c>
      <c r="N1521" s="11">
        <f>IF(B1521="","",IF(L1521&gt;=K1521,"Paid",IF(L1521&gt;0,"Partial","Unpaid")))</f>
        <v/>
      </c>
      <c r="O1521" s="5" t="n"/>
      <c r="P1521" s="8" t="n"/>
      <c r="Q1521" s="8" t="n"/>
      <c r="R1521" s="11">
        <f>IF(B1521="","",IFERROR(K1521,0)+IFERROR(P1521,0)-IFERROR(Q1521,0))</f>
        <v/>
      </c>
      <c r="S1521" s="5" t="n"/>
      <c r="T1521" s="5" t="n"/>
      <c r="U1521" s="11">
        <f>IF(B1521="","",TRIM(LOWER(C1521)&amp;"|"&amp;LOWER(D1521)))</f>
        <v/>
      </c>
    </row>
    <row r="1522">
      <c r="A1522" s="11">
        <f>IF(B1522="","",TEXT(ROW()-3,"""DC-""0000"))</f>
        <v/>
      </c>
      <c r="B1522" s="5" t="n"/>
      <c r="C1522" s="5" t="n"/>
      <c r="D1522" s="5" t="n"/>
      <c r="E1522" s="5" t="n"/>
      <c r="F1522" s="5" t="n"/>
      <c r="G1522" s="5" t="n"/>
      <c r="H1522" s="8" t="n"/>
      <c r="I1522" s="8" t="n"/>
      <c r="J1522" s="8" t="n"/>
      <c r="K1522" s="11">
        <f>IF(B1522="","",MAX(0,IFERROR(I1522,0)*IFERROR(H1522,0)-IFERROR(J1522,0)))</f>
        <v/>
      </c>
      <c r="L1522" s="8" t="n"/>
      <c r="M1522" s="11">
        <f>IF(B1522="","",MAX(0,K1522-L1522))</f>
        <v/>
      </c>
      <c r="N1522" s="11">
        <f>IF(B1522="","",IF(L1522&gt;=K1522,"Paid",IF(L1522&gt;0,"Partial","Unpaid")))</f>
        <v/>
      </c>
      <c r="O1522" s="5" t="n"/>
      <c r="P1522" s="8" t="n"/>
      <c r="Q1522" s="8" t="n"/>
      <c r="R1522" s="11">
        <f>IF(B1522="","",IFERROR(K1522,0)+IFERROR(P1522,0)-IFERROR(Q1522,0))</f>
        <v/>
      </c>
      <c r="S1522" s="5" t="n"/>
      <c r="T1522" s="5" t="n"/>
      <c r="U1522" s="11">
        <f>IF(B1522="","",TRIM(LOWER(C1522)&amp;"|"&amp;LOWER(D1522)))</f>
        <v/>
      </c>
    </row>
    <row r="1523">
      <c r="A1523" s="11">
        <f>IF(B1523="","",TEXT(ROW()-3,"""DC-""0000"))</f>
        <v/>
      </c>
      <c r="B1523" s="5" t="n"/>
      <c r="C1523" s="5" t="n"/>
      <c r="D1523" s="5" t="n"/>
      <c r="E1523" s="5" t="n"/>
      <c r="F1523" s="5" t="n"/>
      <c r="G1523" s="5" t="n"/>
      <c r="H1523" s="8" t="n"/>
      <c r="I1523" s="8" t="n"/>
      <c r="J1523" s="8" t="n"/>
      <c r="K1523" s="11">
        <f>IF(B1523="","",MAX(0,IFERROR(I1523,0)*IFERROR(H1523,0)-IFERROR(J1523,0)))</f>
        <v/>
      </c>
      <c r="L1523" s="8" t="n"/>
      <c r="M1523" s="11">
        <f>IF(B1523="","",MAX(0,K1523-L1523))</f>
        <v/>
      </c>
      <c r="N1523" s="11">
        <f>IF(B1523="","",IF(L1523&gt;=K1523,"Paid",IF(L1523&gt;0,"Partial","Unpaid")))</f>
        <v/>
      </c>
      <c r="O1523" s="5" t="n"/>
      <c r="P1523" s="8" t="n"/>
      <c r="Q1523" s="8" t="n"/>
      <c r="R1523" s="11">
        <f>IF(B1523="","",IFERROR(K1523,0)+IFERROR(P1523,0)-IFERROR(Q1523,0))</f>
        <v/>
      </c>
      <c r="S1523" s="5" t="n"/>
      <c r="T1523" s="5" t="n"/>
      <c r="U1523" s="11">
        <f>IF(B1523="","",TRIM(LOWER(C1523)&amp;"|"&amp;LOWER(D1523)))</f>
        <v/>
      </c>
    </row>
    <row r="1524">
      <c r="A1524" s="11">
        <f>IF(B1524="","",TEXT(ROW()-3,"""DC-""0000"))</f>
        <v/>
      </c>
      <c r="B1524" s="5" t="n"/>
      <c r="C1524" s="5" t="n"/>
      <c r="D1524" s="5" t="n"/>
      <c r="E1524" s="5" t="n"/>
      <c r="F1524" s="5" t="n"/>
      <c r="G1524" s="5" t="n"/>
      <c r="H1524" s="8" t="n"/>
      <c r="I1524" s="8" t="n"/>
      <c r="J1524" s="8" t="n"/>
      <c r="K1524" s="11">
        <f>IF(B1524="","",MAX(0,IFERROR(I1524,0)*IFERROR(H1524,0)-IFERROR(J1524,0)))</f>
        <v/>
      </c>
      <c r="L1524" s="8" t="n"/>
      <c r="M1524" s="11">
        <f>IF(B1524="","",MAX(0,K1524-L1524))</f>
        <v/>
      </c>
      <c r="N1524" s="11">
        <f>IF(B1524="","",IF(L1524&gt;=K1524,"Paid",IF(L1524&gt;0,"Partial","Unpaid")))</f>
        <v/>
      </c>
      <c r="O1524" s="5" t="n"/>
      <c r="P1524" s="8" t="n"/>
      <c r="Q1524" s="8" t="n"/>
      <c r="R1524" s="11">
        <f>IF(B1524="","",IFERROR(K1524,0)+IFERROR(P1524,0)-IFERROR(Q1524,0))</f>
        <v/>
      </c>
      <c r="S1524" s="5" t="n"/>
      <c r="T1524" s="5" t="n"/>
      <c r="U1524" s="11">
        <f>IF(B1524="","",TRIM(LOWER(C1524)&amp;"|"&amp;LOWER(D1524)))</f>
        <v/>
      </c>
    </row>
    <row r="1525">
      <c r="A1525" s="11">
        <f>IF(B1525="","",TEXT(ROW()-3,"""DC-""0000"))</f>
        <v/>
      </c>
      <c r="B1525" s="5" t="n"/>
      <c r="C1525" s="5" t="n"/>
      <c r="D1525" s="5" t="n"/>
      <c r="E1525" s="5" t="n"/>
      <c r="F1525" s="5" t="n"/>
      <c r="G1525" s="5" t="n"/>
      <c r="H1525" s="8" t="n"/>
      <c r="I1525" s="8" t="n"/>
      <c r="J1525" s="8" t="n"/>
      <c r="K1525" s="11">
        <f>IF(B1525="","",MAX(0,IFERROR(I1525,0)*IFERROR(H1525,0)-IFERROR(J1525,0)))</f>
        <v/>
      </c>
      <c r="L1525" s="8" t="n"/>
      <c r="M1525" s="11">
        <f>IF(B1525="","",MAX(0,K1525-L1525))</f>
        <v/>
      </c>
      <c r="N1525" s="11">
        <f>IF(B1525="","",IF(L1525&gt;=K1525,"Paid",IF(L1525&gt;0,"Partial","Unpaid")))</f>
        <v/>
      </c>
      <c r="O1525" s="5" t="n"/>
      <c r="P1525" s="8" t="n"/>
      <c r="Q1525" s="8" t="n"/>
      <c r="R1525" s="11">
        <f>IF(B1525="","",IFERROR(K1525,0)+IFERROR(P1525,0)-IFERROR(Q1525,0))</f>
        <v/>
      </c>
      <c r="S1525" s="5" t="n"/>
      <c r="T1525" s="5" t="n"/>
      <c r="U1525" s="11">
        <f>IF(B1525="","",TRIM(LOWER(C1525)&amp;"|"&amp;LOWER(D1525)))</f>
        <v/>
      </c>
    </row>
    <row r="1526">
      <c r="A1526" s="11">
        <f>IF(B1526="","",TEXT(ROW()-3,"""DC-""0000"))</f>
        <v/>
      </c>
      <c r="B1526" s="5" t="n"/>
      <c r="C1526" s="5" t="n"/>
      <c r="D1526" s="5" t="n"/>
      <c r="E1526" s="5" t="n"/>
      <c r="F1526" s="5" t="n"/>
      <c r="G1526" s="5" t="n"/>
      <c r="H1526" s="8" t="n"/>
      <c r="I1526" s="8" t="n"/>
      <c r="J1526" s="8" t="n"/>
      <c r="K1526" s="11">
        <f>IF(B1526="","",MAX(0,IFERROR(I1526,0)*IFERROR(H1526,0)-IFERROR(J1526,0)))</f>
        <v/>
      </c>
      <c r="L1526" s="8" t="n"/>
      <c r="M1526" s="11">
        <f>IF(B1526="","",MAX(0,K1526-L1526))</f>
        <v/>
      </c>
      <c r="N1526" s="11">
        <f>IF(B1526="","",IF(L1526&gt;=K1526,"Paid",IF(L1526&gt;0,"Partial","Unpaid")))</f>
        <v/>
      </c>
      <c r="O1526" s="5" t="n"/>
      <c r="P1526" s="8" t="n"/>
      <c r="Q1526" s="8" t="n"/>
      <c r="R1526" s="11">
        <f>IF(B1526="","",IFERROR(K1526,0)+IFERROR(P1526,0)-IFERROR(Q1526,0))</f>
        <v/>
      </c>
      <c r="S1526" s="5" t="n"/>
      <c r="T1526" s="5" t="n"/>
      <c r="U1526" s="11">
        <f>IF(B1526="","",TRIM(LOWER(C1526)&amp;"|"&amp;LOWER(D1526)))</f>
        <v/>
      </c>
    </row>
    <row r="1527">
      <c r="A1527" s="11">
        <f>IF(B1527="","",TEXT(ROW()-3,"""DC-""0000"))</f>
        <v/>
      </c>
      <c r="B1527" s="5" t="n"/>
      <c r="C1527" s="5" t="n"/>
      <c r="D1527" s="5" t="n"/>
      <c r="E1527" s="5" t="n"/>
      <c r="F1527" s="5" t="n"/>
      <c r="G1527" s="5" t="n"/>
      <c r="H1527" s="8" t="n"/>
      <c r="I1527" s="8" t="n"/>
      <c r="J1527" s="8" t="n"/>
      <c r="K1527" s="11">
        <f>IF(B1527="","",MAX(0,IFERROR(I1527,0)*IFERROR(H1527,0)-IFERROR(J1527,0)))</f>
        <v/>
      </c>
      <c r="L1527" s="8" t="n"/>
      <c r="M1527" s="11">
        <f>IF(B1527="","",MAX(0,K1527-L1527))</f>
        <v/>
      </c>
      <c r="N1527" s="11">
        <f>IF(B1527="","",IF(L1527&gt;=K1527,"Paid",IF(L1527&gt;0,"Partial","Unpaid")))</f>
        <v/>
      </c>
      <c r="O1527" s="5" t="n"/>
      <c r="P1527" s="8" t="n"/>
      <c r="Q1527" s="8" t="n"/>
      <c r="R1527" s="11">
        <f>IF(B1527="","",IFERROR(K1527,0)+IFERROR(P1527,0)-IFERROR(Q1527,0))</f>
        <v/>
      </c>
      <c r="S1527" s="5" t="n"/>
      <c r="T1527" s="5" t="n"/>
      <c r="U1527" s="11">
        <f>IF(B1527="","",TRIM(LOWER(C1527)&amp;"|"&amp;LOWER(D1527)))</f>
        <v/>
      </c>
    </row>
    <row r="1528">
      <c r="A1528" s="11">
        <f>IF(B1528="","",TEXT(ROW()-3,"""DC-""0000"))</f>
        <v/>
      </c>
      <c r="B1528" s="5" t="n"/>
      <c r="C1528" s="5" t="n"/>
      <c r="D1528" s="5" t="n"/>
      <c r="E1528" s="5" t="n"/>
      <c r="F1528" s="5" t="n"/>
      <c r="G1528" s="5" t="n"/>
      <c r="H1528" s="8" t="n"/>
      <c r="I1528" s="8" t="n"/>
      <c r="J1528" s="8" t="n"/>
      <c r="K1528" s="11">
        <f>IF(B1528="","",MAX(0,IFERROR(I1528,0)*IFERROR(H1528,0)-IFERROR(J1528,0)))</f>
        <v/>
      </c>
      <c r="L1528" s="8" t="n"/>
      <c r="M1528" s="11">
        <f>IF(B1528="","",MAX(0,K1528-L1528))</f>
        <v/>
      </c>
      <c r="N1528" s="11">
        <f>IF(B1528="","",IF(L1528&gt;=K1528,"Paid",IF(L1528&gt;0,"Partial","Unpaid")))</f>
        <v/>
      </c>
      <c r="O1528" s="5" t="n"/>
      <c r="P1528" s="8" t="n"/>
      <c r="Q1528" s="8" t="n"/>
      <c r="R1528" s="11">
        <f>IF(B1528="","",IFERROR(K1528,0)+IFERROR(P1528,0)-IFERROR(Q1528,0))</f>
        <v/>
      </c>
      <c r="S1528" s="5" t="n"/>
      <c r="T1528" s="5" t="n"/>
      <c r="U1528" s="11">
        <f>IF(B1528="","",TRIM(LOWER(C1528)&amp;"|"&amp;LOWER(D1528)))</f>
        <v/>
      </c>
    </row>
    <row r="1529">
      <c r="A1529" s="11">
        <f>IF(B1529="","",TEXT(ROW()-3,"""DC-""0000"))</f>
        <v/>
      </c>
      <c r="B1529" s="5" t="n"/>
      <c r="C1529" s="5" t="n"/>
      <c r="D1529" s="5" t="n"/>
      <c r="E1529" s="5" t="n"/>
      <c r="F1529" s="5" t="n"/>
      <c r="G1529" s="5" t="n"/>
      <c r="H1529" s="8" t="n"/>
      <c r="I1529" s="8" t="n"/>
      <c r="J1529" s="8" t="n"/>
      <c r="K1529" s="11">
        <f>IF(B1529="","",MAX(0,IFERROR(I1529,0)*IFERROR(H1529,0)-IFERROR(J1529,0)))</f>
        <v/>
      </c>
      <c r="L1529" s="8" t="n"/>
      <c r="M1529" s="11">
        <f>IF(B1529="","",MAX(0,K1529-L1529))</f>
        <v/>
      </c>
      <c r="N1529" s="11">
        <f>IF(B1529="","",IF(L1529&gt;=K1529,"Paid",IF(L1529&gt;0,"Partial","Unpaid")))</f>
        <v/>
      </c>
      <c r="O1529" s="5" t="n"/>
      <c r="P1529" s="8" t="n"/>
      <c r="Q1529" s="8" t="n"/>
      <c r="R1529" s="11">
        <f>IF(B1529="","",IFERROR(K1529,0)+IFERROR(P1529,0)-IFERROR(Q1529,0))</f>
        <v/>
      </c>
      <c r="S1529" s="5" t="n"/>
      <c r="T1529" s="5" t="n"/>
      <c r="U1529" s="11">
        <f>IF(B1529="","",TRIM(LOWER(C1529)&amp;"|"&amp;LOWER(D1529)))</f>
        <v/>
      </c>
    </row>
    <row r="1530">
      <c r="A1530" s="11">
        <f>IF(B1530="","",TEXT(ROW()-3,"""DC-""0000"))</f>
        <v/>
      </c>
      <c r="B1530" s="5" t="n"/>
      <c r="C1530" s="5" t="n"/>
      <c r="D1530" s="5" t="n"/>
      <c r="E1530" s="5" t="n"/>
      <c r="F1530" s="5" t="n"/>
      <c r="G1530" s="5" t="n"/>
      <c r="H1530" s="8" t="n"/>
      <c r="I1530" s="8" t="n"/>
      <c r="J1530" s="8" t="n"/>
      <c r="K1530" s="11">
        <f>IF(B1530="","",MAX(0,IFERROR(I1530,0)*IFERROR(H1530,0)-IFERROR(J1530,0)))</f>
        <v/>
      </c>
      <c r="L1530" s="8" t="n"/>
      <c r="M1530" s="11">
        <f>IF(B1530="","",MAX(0,K1530-L1530))</f>
        <v/>
      </c>
      <c r="N1530" s="11">
        <f>IF(B1530="","",IF(L1530&gt;=K1530,"Paid",IF(L1530&gt;0,"Partial","Unpaid")))</f>
        <v/>
      </c>
      <c r="O1530" s="5" t="n"/>
      <c r="P1530" s="8" t="n"/>
      <c r="Q1530" s="8" t="n"/>
      <c r="R1530" s="11">
        <f>IF(B1530="","",IFERROR(K1530,0)+IFERROR(P1530,0)-IFERROR(Q1530,0))</f>
        <v/>
      </c>
      <c r="S1530" s="5" t="n"/>
      <c r="T1530" s="5" t="n"/>
      <c r="U1530" s="11">
        <f>IF(B1530="","",TRIM(LOWER(C1530)&amp;"|"&amp;LOWER(D1530)))</f>
        <v/>
      </c>
    </row>
    <row r="1531">
      <c r="A1531" s="11">
        <f>IF(B1531="","",TEXT(ROW()-3,"""DC-""0000"))</f>
        <v/>
      </c>
      <c r="B1531" s="5" t="n"/>
      <c r="C1531" s="5" t="n"/>
      <c r="D1531" s="5" t="n"/>
      <c r="E1531" s="5" t="n"/>
      <c r="F1531" s="5" t="n"/>
      <c r="G1531" s="5" t="n"/>
      <c r="H1531" s="8" t="n"/>
      <c r="I1531" s="8" t="n"/>
      <c r="J1531" s="8" t="n"/>
      <c r="K1531" s="11">
        <f>IF(B1531="","",MAX(0,IFERROR(I1531,0)*IFERROR(H1531,0)-IFERROR(J1531,0)))</f>
        <v/>
      </c>
      <c r="L1531" s="8" t="n"/>
      <c r="M1531" s="11">
        <f>IF(B1531="","",MAX(0,K1531-L1531))</f>
        <v/>
      </c>
      <c r="N1531" s="11">
        <f>IF(B1531="","",IF(L1531&gt;=K1531,"Paid",IF(L1531&gt;0,"Partial","Unpaid")))</f>
        <v/>
      </c>
      <c r="O1531" s="5" t="n"/>
      <c r="P1531" s="8" t="n"/>
      <c r="Q1531" s="8" t="n"/>
      <c r="R1531" s="11">
        <f>IF(B1531="","",IFERROR(K1531,0)+IFERROR(P1531,0)-IFERROR(Q1531,0))</f>
        <v/>
      </c>
      <c r="S1531" s="5" t="n"/>
      <c r="T1531" s="5" t="n"/>
      <c r="U1531" s="11">
        <f>IF(B1531="","",TRIM(LOWER(C1531)&amp;"|"&amp;LOWER(D1531)))</f>
        <v/>
      </c>
    </row>
    <row r="1532">
      <c r="A1532" s="11">
        <f>IF(B1532="","",TEXT(ROW()-3,"""DC-""0000"))</f>
        <v/>
      </c>
      <c r="B1532" s="5" t="n"/>
      <c r="C1532" s="5" t="n"/>
      <c r="D1532" s="5" t="n"/>
      <c r="E1532" s="5" t="n"/>
      <c r="F1532" s="5" t="n"/>
      <c r="G1532" s="5" t="n"/>
      <c r="H1532" s="8" t="n"/>
      <c r="I1532" s="8" t="n"/>
      <c r="J1532" s="8" t="n"/>
      <c r="K1532" s="11">
        <f>IF(B1532="","",MAX(0,IFERROR(I1532,0)*IFERROR(H1532,0)-IFERROR(J1532,0)))</f>
        <v/>
      </c>
      <c r="L1532" s="8" t="n"/>
      <c r="M1532" s="11">
        <f>IF(B1532="","",MAX(0,K1532-L1532))</f>
        <v/>
      </c>
      <c r="N1532" s="11">
        <f>IF(B1532="","",IF(L1532&gt;=K1532,"Paid",IF(L1532&gt;0,"Partial","Unpaid")))</f>
        <v/>
      </c>
      <c r="O1532" s="5" t="n"/>
      <c r="P1532" s="8" t="n"/>
      <c r="Q1532" s="8" t="n"/>
      <c r="R1532" s="11">
        <f>IF(B1532="","",IFERROR(K1532,0)+IFERROR(P1532,0)-IFERROR(Q1532,0))</f>
        <v/>
      </c>
      <c r="S1532" s="5" t="n"/>
      <c r="T1532" s="5" t="n"/>
      <c r="U1532" s="11">
        <f>IF(B1532="","",TRIM(LOWER(C1532)&amp;"|"&amp;LOWER(D1532)))</f>
        <v/>
      </c>
    </row>
    <row r="1533">
      <c r="A1533" s="11">
        <f>IF(B1533="","",TEXT(ROW()-3,"""DC-""0000"))</f>
        <v/>
      </c>
      <c r="B1533" s="5" t="n"/>
      <c r="C1533" s="5" t="n"/>
      <c r="D1533" s="5" t="n"/>
      <c r="E1533" s="5" t="n"/>
      <c r="F1533" s="5" t="n"/>
      <c r="G1533" s="5" t="n"/>
      <c r="H1533" s="8" t="n"/>
      <c r="I1533" s="8" t="n"/>
      <c r="J1533" s="8" t="n"/>
      <c r="K1533" s="11">
        <f>IF(B1533="","",MAX(0,IFERROR(I1533,0)*IFERROR(H1533,0)-IFERROR(J1533,0)))</f>
        <v/>
      </c>
      <c r="L1533" s="8" t="n"/>
      <c r="M1533" s="11">
        <f>IF(B1533="","",MAX(0,K1533-L1533))</f>
        <v/>
      </c>
      <c r="N1533" s="11">
        <f>IF(B1533="","",IF(L1533&gt;=K1533,"Paid",IF(L1533&gt;0,"Partial","Unpaid")))</f>
        <v/>
      </c>
      <c r="O1533" s="5" t="n"/>
      <c r="P1533" s="8" t="n"/>
      <c r="Q1533" s="8" t="n"/>
      <c r="R1533" s="11">
        <f>IF(B1533="","",IFERROR(K1533,0)+IFERROR(P1533,0)-IFERROR(Q1533,0))</f>
        <v/>
      </c>
      <c r="S1533" s="5" t="n"/>
      <c r="T1533" s="5" t="n"/>
      <c r="U1533" s="11">
        <f>IF(B1533="","",TRIM(LOWER(C1533)&amp;"|"&amp;LOWER(D1533)))</f>
        <v/>
      </c>
    </row>
    <row r="1534">
      <c r="A1534" s="11">
        <f>IF(B1534="","",TEXT(ROW()-3,"""DC-""0000"))</f>
        <v/>
      </c>
      <c r="B1534" s="5" t="n"/>
      <c r="C1534" s="5" t="n"/>
      <c r="D1534" s="5" t="n"/>
      <c r="E1534" s="5" t="n"/>
      <c r="F1534" s="5" t="n"/>
      <c r="G1534" s="5" t="n"/>
      <c r="H1534" s="8" t="n"/>
      <c r="I1534" s="8" t="n"/>
      <c r="J1534" s="8" t="n"/>
      <c r="K1534" s="11">
        <f>IF(B1534="","",MAX(0,IFERROR(I1534,0)*IFERROR(H1534,0)-IFERROR(J1534,0)))</f>
        <v/>
      </c>
      <c r="L1534" s="8" t="n"/>
      <c r="M1534" s="11">
        <f>IF(B1534="","",MAX(0,K1534-L1534))</f>
        <v/>
      </c>
      <c r="N1534" s="11">
        <f>IF(B1534="","",IF(L1534&gt;=K1534,"Paid",IF(L1534&gt;0,"Partial","Unpaid")))</f>
        <v/>
      </c>
      <c r="O1534" s="5" t="n"/>
      <c r="P1534" s="8" t="n"/>
      <c r="Q1534" s="8" t="n"/>
      <c r="R1534" s="11">
        <f>IF(B1534="","",IFERROR(K1534,0)+IFERROR(P1534,0)-IFERROR(Q1534,0))</f>
        <v/>
      </c>
      <c r="S1534" s="5" t="n"/>
      <c r="T1534" s="5" t="n"/>
      <c r="U1534" s="11">
        <f>IF(B1534="","",TRIM(LOWER(C1534)&amp;"|"&amp;LOWER(D1534)))</f>
        <v/>
      </c>
    </row>
    <row r="1535">
      <c r="A1535" s="11">
        <f>IF(B1535="","",TEXT(ROW()-3,"""DC-""0000"))</f>
        <v/>
      </c>
      <c r="B1535" s="5" t="n"/>
      <c r="C1535" s="5" t="n"/>
      <c r="D1535" s="5" t="n"/>
      <c r="E1535" s="5" t="n"/>
      <c r="F1535" s="5" t="n"/>
      <c r="G1535" s="5" t="n"/>
      <c r="H1535" s="8" t="n"/>
      <c r="I1535" s="8" t="n"/>
      <c r="J1535" s="8" t="n"/>
      <c r="K1535" s="11">
        <f>IF(B1535="","",MAX(0,IFERROR(I1535,0)*IFERROR(H1535,0)-IFERROR(J1535,0)))</f>
        <v/>
      </c>
      <c r="L1535" s="8" t="n"/>
      <c r="M1535" s="11">
        <f>IF(B1535="","",MAX(0,K1535-L1535))</f>
        <v/>
      </c>
      <c r="N1535" s="11">
        <f>IF(B1535="","",IF(L1535&gt;=K1535,"Paid",IF(L1535&gt;0,"Partial","Unpaid")))</f>
        <v/>
      </c>
      <c r="O1535" s="5" t="n"/>
      <c r="P1535" s="8" t="n"/>
      <c r="Q1535" s="8" t="n"/>
      <c r="R1535" s="11">
        <f>IF(B1535="","",IFERROR(K1535,0)+IFERROR(P1535,0)-IFERROR(Q1535,0))</f>
        <v/>
      </c>
      <c r="S1535" s="5" t="n"/>
      <c r="T1535" s="5" t="n"/>
      <c r="U1535" s="11">
        <f>IF(B1535="","",TRIM(LOWER(C1535)&amp;"|"&amp;LOWER(D1535)))</f>
        <v/>
      </c>
    </row>
    <row r="1536">
      <c r="A1536" s="11">
        <f>IF(B1536="","",TEXT(ROW()-3,"""DC-""0000"))</f>
        <v/>
      </c>
      <c r="B1536" s="5" t="n"/>
      <c r="C1536" s="5" t="n"/>
      <c r="D1536" s="5" t="n"/>
      <c r="E1536" s="5" t="n"/>
      <c r="F1536" s="5" t="n"/>
      <c r="G1536" s="5" t="n"/>
      <c r="H1536" s="8" t="n"/>
      <c r="I1536" s="8" t="n"/>
      <c r="J1536" s="8" t="n"/>
      <c r="K1536" s="11">
        <f>IF(B1536="","",MAX(0,IFERROR(I1536,0)*IFERROR(H1536,0)-IFERROR(J1536,0)))</f>
        <v/>
      </c>
      <c r="L1536" s="8" t="n"/>
      <c r="M1536" s="11">
        <f>IF(B1536="","",MAX(0,K1536-L1536))</f>
        <v/>
      </c>
      <c r="N1536" s="11">
        <f>IF(B1536="","",IF(L1536&gt;=K1536,"Paid",IF(L1536&gt;0,"Partial","Unpaid")))</f>
        <v/>
      </c>
      <c r="O1536" s="5" t="n"/>
      <c r="P1536" s="8" t="n"/>
      <c r="Q1536" s="8" t="n"/>
      <c r="R1536" s="11">
        <f>IF(B1536="","",IFERROR(K1536,0)+IFERROR(P1536,0)-IFERROR(Q1536,0))</f>
        <v/>
      </c>
      <c r="S1536" s="5" t="n"/>
      <c r="T1536" s="5" t="n"/>
      <c r="U1536" s="11">
        <f>IF(B1536="","",TRIM(LOWER(C1536)&amp;"|"&amp;LOWER(D1536)))</f>
        <v/>
      </c>
    </row>
    <row r="1537">
      <c r="A1537" s="11">
        <f>IF(B1537="","",TEXT(ROW()-3,"""DC-""0000"))</f>
        <v/>
      </c>
      <c r="B1537" s="5" t="n"/>
      <c r="C1537" s="5" t="n"/>
      <c r="D1537" s="5" t="n"/>
      <c r="E1537" s="5" t="n"/>
      <c r="F1537" s="5" t="n"/>
      <c r="G1537" s="5" t="n"/>
      <c r="H1537" s="8" t="n"/>
      <c r="I1537" s="8" t="n"/>
      <c r="J1537" s="8" t="n"/>
      <c r="K1537" s="11">
        <f>IF(B1537="","",MAX(0,IFERROR(I1537,0)*IFERROR(H1537,0)-IFERROR(J1537,0)))</f>
        <v/>
      </c>
      <c r="L1537" s="8" t="n"/>
      <c r="M1537" s="11">
        <f>IF(B1537="","",MAX(0,K1537-L1537))</f>
        <v/>
      </c>
      <c r="N1537" s="11">
        <f>IF(B1537="","",IF(L1537&gt;=K1537,"Paid",IF(L1537&gt;0,"Partial","Unpaid")))</f>
        <v/>
      </c>
      <c r="O1537" s="5" t="n"/>
      <c r="P1537" s="8" t="n"/>
      <c r="Q1537" s="8" t="n"/>
      <c r="R1537" s="11">
        <f>IF(B1537="","",IFERROR(K1537,0)+IFERROR(P1537,0)-IFERROR(Q1537,0))</f>
        <v/>
      </c>
      <c r="S1537" s="5" t="n"/>
      <c r="T1537" s="5" t="n"/>
      <c r="U1537" s="11">
        <f>IF(B1537="","",TRIM(LOWER(C1537)&amp;"|"&amp;LOWER(D1537)))</f>
        <v/>
      </c>
    </row>
    <row r="1538">
      <c r="A1538" s="11">
        <f>IF(B1538="","",TEXT(ROW()-3,"""DC-""0000"))</f>
        <v/>
      </c>
      <c r="B1538" s="5" t="n"/>
      <c r="C1538" s="5" t="n"/>
      <c r="D1538" s="5" t="n"/>
      <c r="E1538" s="5" t="n"/>
      <c r="F1538" s="5" t="n"/>
      <c r="G1538" s="5" t="n"/>
      <c r="H1538" s="8" t="n"/>
      <c r="I1538" s="8" t="n"/>
      <c r="J1538" s="8" t="n"/>
      <c r="K1538" s="11">
        <f>IF(B1538="","",MAX(0,IFERROR(I1538,0)*IFERROR(H1538,0)-IFERROR(J1538,0)))</f>
        <v/>
      </c>
      <c r="L1538" s="8" t="n"/>
      <c r="M1538" s="11">
        <f>IF(B1538="","",MAX(0,K1538-L1538))</f>
        <v/>
      </c>
      <c r="N1538" s="11">
        <f>IF(B1538="","",IF(L1538&gt;=K1538,"Paid",IF(L1538&gt;0,"Partial","Unpaid")))</f>
        <v/>
      </c>
      <c r="O1538" s="5" t="n"/>
      <c r="P1538" s="8" t="n"/>
      <c r="Q1538" s="8" t="n"/>
      <c r="R1538" s="11">
        <f>IF(B1538="","",IFERROR(K1538,0)+IFERROR(P1538,0)-IFERROR(Q1538,0))</f>
        <v/>
      </c>
      <c r="S1538" s="5" t="n"/>
      <c r="T1538" s="5" t="n"/>
      <c r="U1538" s="11">
        <f>IF(B1538="","",TRIM(LOWER(C1538)&amp;"|"&amp;LOWER(D1538)))</f>
        <v/>
      </c>
    </row>
    <row r="1539">
      <c r="A1539" s="11">
        <f>IF(B1539="","",TEXT(ROW()-3,"""DC-""0000"))</f>
        <v/>
      </c>
      <c r="B1539" s="5" t="n"/>
      <c r="C1539" s="5" t="n"/>
      <c r="D1539" s="5" t="n"/>
      <c r="E1539" s="5" t="n"/>
      <c r="F1539" s="5" t="n"/>
      <c r="G1539" s="5" t="n"/>
      <c r="H1539" s="8" t="n"/>
      <c r="I1539" s="8" t="n"/>
      <c r="J1539" s="8" t="n"/>
      <c r="K1539" s="11">
        <f>IF(B1539="","",MAX(0,IFERROR(I1539,0)*IFERROR(H1539,0)-IFERROR(J1539,0)))</f>
        <v/>
      </c>
      <c r="L1539" s="8" t="n"/>
      <c r="M1539" s="11">
        <f>IF(B1539="","",MAX(0,K1539-L1539))</f>
        <v/>
      </c>
      <c r="N1539" s="11">
        <f>IF(B1539="","",IF(L1539&gt;=K1539,"Paid",IF(L1539&gt;0,"Partial","Unpaid")))</f>
        <v/>
      </c>
      <c r="O1539" s="5" t="n"/>
      <c r="P1539" s="8" t="n"/>
      <c r="Q1539" s="8" t="n"/>
      <c r="R1539" s="11">
        <f>IF(B1539="","",IFERROR(K1539,0)+IFERROR(P1539,0)-IFERROR(Q1539,0))</f>
        <v/>
      </c>
      <c r="S1539" s="5" t="n"/>
      <c r="T1539" s="5" t="n"/>
      <c r="U1539" s="11">
        <f>IF(B1539="","",TRIM(LOWER(C1539)&amp;"|"&amp;LOWER(D1539)))</f>
        <v/>
      </c>
    </row>
    <row r="1540">
      <c r="A1540" s="11">
        <f>IF(B1540="","",TEXT(ROW()-3,"""DC-""0000"))</f>
        <v/>
      </c>
      <c r="B1540" s="5" t="n"/>
      <c r="C1540" s="5" t="n"/>
      <c r="D1540" s="5" t="n"/>
      <c r="E1540" s="5" t="n"/>
      <c r="F1540" s="5" t="n"/>
      <c r="G1540" s="5" t="n"/>
      <c r="H1540" s="8" t="n"/>
      <c r="I1540" s="8" t="n"/>
      <c r="J1540" s="8" t="n"/>
      <c r="K1540" s="11">
        <f>IF(B1540="","",MAX(0,IFERROR(I1540,0)*IFERROR(H1540,0)-IFERROR(J1540,0)))</f>
        <v/>
      </c>
      <c r="L1540" s="8" t="n"/>
      <c r="M1540" s="11">
        <f>IF(B1540="","",MAX(0,K1540-L1540))</f>
        <v/>
      </c>
      <c r="N1540" s="11">
        <f>IF(B1540="","",IF(L1540&gt;=K1540,"Paid",IF(L1540&gt;0,"Partial","Unpaid")))</f>
        <v/>
      </c>
      <c r="O1540" s="5" t="n"/>
      <c r="P1540" s="8" t="n"/>
      <c r="Q1540" s="8" t="n"/>
      <c r="R1540" s="11">
        <f>IF(B1540="","",IFERROR(K1540,0)+IFERROR(P1540,0)-IFERROR(Q1540,0))</f>
        <v/>
      </c>
      <c r="S1540" s="5" t="n"/>
      <c r="T1540" s="5" t="n"/>
      <c r="U1540" s="11">
        <f>IF(B1540="","",TRIM(LOWER(C1540)&amp;"|"&amp;LOWER(D1540)))</f>
        <v/>
      </c>
    </row>
    <row r="1541">
      <c r="A1541" s="11">
        <f>IF(B1541="","",TEXT(ROW()-3,"""DC-""0000"))</f>
        <v/>
      </c>
      <c r="B1541" s="5" t="n"/>
      <c r="C1541" s="5" t="n"/>
      <c r="D1541" s="5" t="n"/>
      <c r="E1541" s="5" t="n"/>
      <c r="F1541" s="5" t="n"/>
      <c r="G1541" s="5" t="n"/>
      <c r="H1541" s="8" t="n"/>
      <c r="I1541" s="8" t="n"/>
      <c r="J1541" s="8" t="n"/>
      <c r="K1541" s="11">
        <f>IF(B1541="","",MAX(0,IFERROR(I1541,0)*IFERROR(H1541,0)-IFERROR(J1541,0)))</f>
        <v/>
      </c>
      <c r="L1541" s="8" t="n"/>
      <c r="M1541" s="11">
        <f>IF(B1541="","",MAX(0,K1541-L1541))</f>
        <v/>
      </c>
      <c r="N1541" s="11">
        <f>IF(B1541="","",IF(L1541&gt;=K1541,"Paid",IF(L1541&gt;0,"Partial","Unpaid")))</f>
        <v/>
      </c>
      <c r="O1541" s="5" t="n"/>
      <c r="P1541" s="8" t="n"/>
      <c r="Q1541" s="8" t="n"/>
      <c r="R1541" s="11">
        <f>IF(B1541="","",IFERROR(K1541,0)+IFERROR(P1541,0)-IFERROR(Q1541,0))</f>
        <v/>
      </c>
      <c r="S1541" s="5" t="n"/>
      <c r="T1541" s="5" t="n"/>
      <c r="U1541" s="11">
        <f>IF(B1541="","",TRIM(LOWER(C1541)&amp;"|"&amp;LOWER(D1541)))</f>
        <v/>
      </c>
    </row>
    <row r="1542">
      <c r="A1542" s="11">
        <f>IF(B1542="","",TEXT(ROW()-3,"""DC-""0000"))</f>
        <v/>
      </c>
      <c r="B1542" s="5" t="n"/>
      <c r="C1542" s="5" t="n"/>
      <c r="D1542" s="5" t="n"/>
      <c r="E1542" s="5" t="n"/>
      <c r="F1542" s="5" t="n"/>
      <c r="G1542" s="5" t="n"/>
      <c r="H1542" s="8" t="n"/>
      <c r="I1542" s="8" t="n"/>
      <c r="J1542" s="8" t="n"/>
      <c r="K1542" s="11">
        <f>IF(B1542="","",MAX(0,IFERROR(I1542,0)*IFERROR(H1542,0)-IFERROR(J1542,0)))</f>
        <v/>
      </c>
      <c r="L1542" s="8" t="n"/>
      <c r="M1542" s="11">
        <f>IF(B1542="","",MAX(0,K1542-L1542))</f>
        <v/>
      </c>
      <c r="N1542" s="11">
        <f>IF(B1542="","",IF(L1542&gt;=K1542,"Paid",IF(L1542&gt;0,"Partial","Unpaid")))</f>
        <v/>
      </c>
      <c r="O1542" s="5" t="n"/>
      <c r="P1542" s="8" t="n"/>
      <c r="Q1542" s="8" t="n"/>
      <c r="R1542" s="11">
        <f>IF(B1542="","",IFERROR(K1542,0)+IFERROR(P1542,0)-IFERROR(Q1542,0))</f>
        <v/>
      </c>
      <c r="S1542" s="5" t="n"/>
      <c r="T1542" s="5" t="n"/>
      <c r="U1542" s="11">
        <f>IF(B1542="","",TRIM(LOWER(C1542)&amp;"|"&amp;LOWER(D1542)))</f>
        <v/>
      </c>
    </row>
    <row r="1543">
      <c r="A1543" s="11">
        <f>IF(B1543="","",TEXT(ROW()-3,"""DC-""0000"))</f>
        <v/>
      </c>
      <c r="B1543" s="5" t="n"/>
      <c r="C1543" s="5" t="n"/>
      <c r="D1543" s="5" t="n"/>
      <c r="E1543" s="5" t="n"/>
      <c r="F1543" s="5" t="n"/>
      <c r="G1543" s="5" t="n"/>
      <c r="H1543" s="8" t="n"/>
      <c r="I1543" s="8" t="n"/>
      <c r="J1543" s="8" t="n"/>
      <c r="K1543" s="11">
        <f>IF(B1543="","",MAX(0,IFERROR(I1543,0)*IFERROR(H1543,0)-IFERROR(J1543,0)))</f>
        <v/>
      </c>
      <c r="L1543" s="8" t="n"/>
      <c r="M1543" s="11">
        <f>IF(B1543="","",MAX(0,K1543-L1543))</f>
        <v/>
      </c>
      <c r="N1543" s="11">
        <f>IF(B1543="","",IF(L1543&gt;=K1543,"Paid",IF(L1543&gt;0,"Partial","Unpaid")))</f>
        <v/>
      </c>
      <c r="O1543" s="5" t="n"/>
      <c r="P1543" s="8" t="n"/>
      <c r="Q1543" s="8" t="n"/>
      <c r="R1543" s="11">
        <f>IF(B1543="","",IFERROR(K1543,0)+IFERROR(P1543,0)-IFERROR(Q1543,0))</f>
        <v/>
      </c>
      <c r="S1543" s="5" t="n"/>
      <c r="T1543" s="5" t="n"/>
      <c r="U1543" s="11">
        <f>IF(B1543="","",TRIM(LOWER(C1543)&amp;"|"&amp;LOWER(D1543)))</f>
        <v/>
      </c>
    </row>
    <row r="1544">
      <c r="A1544" s="11">
        <f>IF(B1544="","",TEXT(ROW()-3,"""DC-""0000"))</f>
        <v/>
      </c>
      <c r="B1544" s="5" t="n"/>
      <c r="C1544" s="5" t="n"/>
      <c r="D1544" s="5" t="n"/>
      <c r="E1544" s="5" t="n"/>
      <c r="F1544" s="5" t="n"/>
      <c r="G1544" s="5" t="n"/>
      <c r="H1544" s="8" t="n"/>
      <c r="I1544" s="8" t="n"/>
      <c r="J1544" s="8" t="n"/>
      <c r="K1544" s="11">
        <f>IF(B1544="","",MAX(0,IFERROR(I1544,0)*IFERROR(H1544,0)-IFERROR(J1544,0)))</f>
        <v/>
      </c>
      <c r="L1544" s="8" t="n"/>
      <c r="M1544" s="11">
        <f>IF(B1544="","",MAX(0,K1544-L1544))</f>
        <v/>
      </c>
      <c r="N1544" s="11">
        <f>IF(B1544="","",IF(L1544&gt;=K1544,"Paid",IF(L1544&gt;0,"Partial","Unpaid")))</f>
        <v/>
      </c>
      <c r="O1544" s="5" t="n"/>
      <c r="P1544" s="8" t="n"/>
      <c r="Q1544" s="8" t="n"/>
      <c r="R1544" s="11">
        <f>IF(B1544="","",IFERROR(K1544,0)+IFERROR(P1544,0)-IFERROR(Q1544,0))</f>
        <v/>
      </c>
      <c r="S1544" s="5" t="n"/>
      <c r="T1544" s="5" t="n"/>
      <c r="U1544" s="11">
        <f>IF(B1544="","",TRIM(LOWER(C1544)&amp;"|"&amp;LOWER(D1544)))</f>
        <v/>
      </c>
    </row>
    <row r="1545">
      <c r="A1545" s="11">
        <f>IF(B1545="","",TEXT(ROW()-3,"""DC-""0000"))</f>
        <v/>
      </c>
      <c r="B1545" s="5" t="n"/>
      <c r="C1545" s="5" t="n"/>
      <c r="D1545" s="5" t="n"/>
      <c r="E1545" s="5" t="n"/>
      <c r="F1545" s="5" t="n"/>
      <c r="G1545" s="5" t="n"/>
      <c r="H1545" s="8" t="n"/>
      <c r="I1545" s="8" t="n"/>
      <c r="J1545" s="8" t="n"/>
      <c r="K1545" s="11">
        <f>IF(B1545="","",MAX(0,IFERROR(I1545,0)*IFERROR(H1545,0)-IFERROR(J1545,0)))</f>
        <v/>
      </c>
      <c r="L1545" s="8" t="n"/>
      <c r="M1545" s="11">
        <f>IF(B1545="","",MAX(0,K1545-L1545))</f>
        <v/>
      </c>
      <c r="N1545" s="11">
        <f>IF(B1545="","",IF(L1545&gt;=K1545,"Paid",IF(L1545&gt;0,"Partial","Unpaid")))</f>
        <v/>
      </c>
      <c r="O1545" s="5" t="n"/>
      <c r="P1545" s="8" t="n"/>
      <c r="Q1545" s="8" t="n"/>
      <c r="R1545" s="11">
        <f>IF(B1545="","",IFERROR(K1545,0)+IFERROR(P1545,0)-IFERROR(Q1545,0))</f>
        <v/>
      </c>
      <c r="S1545" s="5" t="n"/>
      <c r="T1545" s="5" t="n"/>
      <c r="U1545" s="11">
        <f>IF(B1545="","",TRIM(LOWER(C1545)&amp;"|"&amp;LOWER(D1545)))</f>
        <v/>
      </c>
    </row>
    <row r="1546">
      <c r="A1546" s="11">
        <f>IF(B1546="","",TEXT(ROW()-3,"""DC-""0000"))</f>
        <v/>
      </c>
      <c r="B1546" s="5" t="n"/>
      <c r="C1546" s="5" t="n"/>
      <c r="D1546" s="5" t="n"/>
      <c r="E1546" s="5" t="n"/>
      <c r="F1546" s="5" t="n"/>
      <c r="G1546" s="5" t="n"/>
      <c r="H1546" s="8" t="n"/>
      <c r="I1546" s="8" t="n"/>
      <c r="J1546" s="8" t="n"/>
      <c r="K1546" s="11">
        <f>IF(B1546="","",MAX(0,IFERROR(I1546,0)*IFERROR(H1546,0)-IFERROR(J1546,0)))</f>
        <v/>
      </c>
      <c r="L1546" s="8" t="n"/>
      <c r="M1546" s="11">
        <f>IF(B1546="","",MAX(0,K1546-L1546))</f>
        <v/>
      </c>
      <c r="N1546" s="11">
        <f>IF(B1546="","",IF(L1546&gt;=K1546,"Paid",IF(L1546&gt;0,"Partial","Unpaid")))</f>
        <v/>
      </c>
      <c r="O1546" s="5" t="n"/>
      <c r="P1546" s="8" t="n"/>
      <c r="Q1546" s="8" t="n"/>
      <c r="R1546" s="11">
        <f>IF(B1546="","",IFERROR(K1546,0)+IFERROR(P1546,0)-IFERROR(Q1546,0))</f>
        <v/>
      </c>
      <c r="S1546" s="5" t="n"/>
      <c r="T1546" s="5" t="n"/>
      <c r="U1546" s="11">
        <f>IF(B1546="","",TRIM(LOWER(C1546)&amp;"|"&amp;LOWER(D1546)))</f>
        <v/>
      </c>
    </row>
    <row r="1547">
      <c r="A1547" s="11">
        <f>IF(B1547="","",TEXT(ROW()-3,"""DC-""0000"))</f>
        <v/>
      </c>
      <c r="B1547" s="5" t="n"/>
      <c r="C1547" s="5" t="n"/>
      <c r="D1547" s="5" t="n"/>
      <c r="E1547" s="5" t="n"/>
      <c r="F1547" s="5" t="n"/>
      <c r="G1547" s="5" t="n"/>
      <c r="H1547" s="8" t="n"/>
      <c r="I1547" s="8" t="n"/>
      <c r="J1547" s="8" t="n"/>
      <c r="K1547" s="11">
        <f>IF(B1547="","",MAX(0,IFERROR(I1547,0)*IFERROR(H1547,0)-IFERROR(J1547,0)))</f>
        <v/>
      </c>
      <c r="L1547" s="8" t="n"/>
      <c r="M1547" s="11">
        <f>IF(B1547="","",MAX(0,K1547-L1547))</f>
        <v/>
      </c>
      <c r="N1547" s="11">
        <f>IF(B1547="","",IF(L1547&gt;=K1547,"Paid",IF(L1547&gt;0,"Partial","Unpaid")))</f>
        <v/>
      </c>
      <c r="O1547" s="5" t="n"/>
      <c r="P1547" s="8" t="n"/>
      <c r="Q1547" s="8" t="n"/>
      <c r="R1547" s="11">
        <f>IF(B1547="","",IFERROR(K1547,0)+IFERROR(P1547,0)-IFERROR(Q1547,0))</f>
        <v/>
      </c>
      <c r="S1547" s="5" t="n"/>
      <c r="T1547" s="5" t="n"/>
      <c r="U1547" s="11">
        <f>IF(B1547="","",TRIM(LOWER(C1547)&amp;"|"&amp;LOWER(D1547)))</f>
        <v/>
      </c>
    </row>
    <row r="1548">
      <c r="A1548" s="11">
        <f>IF(B1548="","",TEXT(ROW()-3,"""DC-""0000"))</f>
        <v/>
      </c>
      <c r="B1548" s="5" t="n"/>
      <c r="C1548" s="5" t="n"/>
      <c r="D1548" s="5" t="n"/>
      <c r="E1548" s="5" t="n"/>
      <c r="F1548" s="5" t="n"/>
      <c r="G1548" s="5" t="n"/>
      <c r="H1548" s="8" t="n"/>
      <c r="I1548" s="8" t="n"/>
      <c r="J1548" s="8" t="n"/>
      <c r="K1548" s="11">
        <f>IF(B1548="","",MAX(0,IFERROR(I1548,0)*IFERROR(H1548,0)-IFERROR(J1548,0)))</f>
        <v/>
      </c>
      <c r="L1548" s="8" t="n"/>
      <c r="M1548" s="11">
        <f>IF(B1548="","",MAX(0,K1548-L1548))</f>
        <v/>
      </c>
      <c r="N1548" s="11">
        <f>IF(B1548="","",IF(L1548&gt;=K1548,"Paid",IF(L1548&gt;0,"Partial","Unpaid")))</f>
        <v/>
      </c>
      <c r="O1548" s="5" t="n"/>
      <c r="P1548" s="8" t="n"/>
      <c r="Q1548" s="8" t="n"/>
      <c r="R1548" s="11">
        <f>IF(B1548="","",IFERROR(K1548,0)+IFERROR(P1548,0)-IFERROR(Q1548,0))</f>
        <v/>
      </c>
      <c r="S1548" s="5" t="n"/>
      <c r="T1548" s="5" t="n"/>
      <c r="U1548" s="11">
        <f>IF(B1548="","",TRIM(LOWER(C1548)&amp;"|"&amp;LOWER(D1548)))</f>
        <v/>
      </c>
    </row>
    <row r="1549">
      <c r="A1549" s="11">
        <f>IF(B1549="","",TEXT(ROW()-3,"""DC-""0000"))</f>
        <v/>
      </c>
      <c r="B1549" s="5" t="n"/>
      <c r="C1549" s="5" t="n"/>
      <c r="D1549" s="5" t="n"/>
      <c r="E1549" s="5" t="n"/>
      <c r="F1549" s="5" t="n"/>
      <c r="G1549" s="5" t="n"/>
      <c r="H1549" s="8" t="n"/>
      <c r="I1549" s="8" t="n"/>
      <c r="J1549" s="8" t="n"/>
      <c r="K1549" s="11">
        <f>IF(B1549="","",MAX(0,IFERROR(I1549,0)*IFERROR(H1549,0)-IFERROR(J1549,0)))</f>
        <v/>
      </c>
      <c r="L1549" s="8" t="n"/>
      <c r="M1549" s="11">
        <f>IF(B1549="","",MAX(0,K1549-L1549))</f>
        <v/>
      </c>
      <c r="N1549" s="11">
        <f>IF(B1549="","",IF(L1549&gt;=K1549,"Paid",IF(L1549&gt;0,"Partial","Unpaid")))</f>
        <v/>
      </c>
      <c r="O1549" s="5" t="n"/>
      <c r="P1549" s="8" t="n"/>
      <c r="Q1549" s="8" t="n"/>
      <c r="R1549" s="11">
        <f>IF(B1549="","",IFERROR(K1549,0)+IFERROR(P1549,0)-IFERROR(Q1549,0))</f>
        <v/>
      </c>
      <c r="S1549" s="5" t="n"/>
      <c r="T1549" s="5" t="n"/>
      <c r="U1549" s="11">
        <f>IF(B1549="","",TRIM(LOWER(C1549)&amp;"|"&amp;LOWER(D1549)))</f>
        <v/>
      </c>
    </row>
    <row r="1550">
      <c r="A1550" s="11">
        <f>IF(B1550="","",TEXT(ROW()-3,"""DC-""0000"))</f>
        <v/>
      </c>
      <c r="B1550" s="5" t="n"/>
      <c r="C1550" s="5" t="n"/>
      <c r="D1550" s="5" t="n"/>
      <c r="E1550" s="5" t="n"/>
      <c r="F1550" s="5" t="n"/>
      <c r="G1550" s="5" t="n"/>
      <c r="H1550" s="8" t="n"/>
      <c r="I1550" s="8" t="n"/>
      <c r="J1550" s="8" t="n"/>
      <c r="K1550" s="11">
        <f>IF(B1550="","",MAX(0,IFERROR(I1550,0)*IFERROR(H1550,0)-IFERROR(J1550,0)))</f>
        <v/>
      </c>
      <c r="L1550" s="8" t="n"/>
      <c r="M1550" s="11">
        <f>IF(B1550="","",MAX(0,K1550-L1550))</f>
        <v/>
      </c>
      <c r="N1550" s="11">
        <f>IF(B1550="","",IF(L1550&gt;=K1550,"Paid",IF(L1550&gt;0,"Partial","Unpaid")))</f>
        <v/>
      </c>
      <c r="O1550" s="5" t="n"/>
      <c r="P1550" s="8" t="n"/>
      <c r="Q1550" s="8" t="n"/>
      <c r="R1550" s="11">
        <f>IF(B1550="","",IFERROR(K1550,0)+IFERROR(P1550,0)-IFERROR(Q1550,0))</f>
        <v/>
      </c>
      <c r="S1550" s="5" t="n"/>
      <c r="T1550" s="5" t="n"/>
      <c r="U1550" s="11">
        <f>IF(B1550="","",TRIM(LOWER(C1550)&amp;"|"&amp;LOWER(D1550)))</f>
        <v/>
      </c>
    </row>
    <row r="1551">
      <c r="A1551" s="11">
        <f>IF(B1551="","",TEXT(ROW()-3,"""DC-""0000"))</f>
        <v/>
      </c>
      <c r="B1551" s="5" t="n"/>
      <c r="C1551" s="5" t="n"/>
      <c r="D1551" s="5" t="n"/>
      <c r="E1551" s="5" t="n"/>
      <c r="F1551" s="5" t="n"/>
      <c r="G1551" s="5" t="n"/>
      <c r="H1551" s="8" t="n"/>
      <c r="I1551" s="8" t="n"/>
      <c r="J1551" s="8" t="n"/>
      <c r="K1551" s="11">
        <f>IF(B1551="","",MAX(0,IFERROR(I1551,0)*IFERROR(H1551,0)-IFERROR(J1551,0)))</f>
        <v/>
      </c>
      <c r="L1551" s="8" t="n"/>
      <c r="M1551" s="11">
        <f>IF(B1551="","",MAX(0,K1551-L1551))</f>
        <v/>
      </c>
      <c r="N1551" s="11">
        <f>IF(B1551="","",IF(L1551&gt;=K1551,"Paid",IF(L1551&gt;0,"Partial","Unpaid")))</f>
        <v/>
      </c>
      <c r="O1551" s="5" t="n"/>
      <c r="P1551" s="8" t="n"/>
      <c r="Q1551" s="8" t="n"/>
      <c r="R1551" s="11">
        <f>IF(B1551="","",IFERROR(K1551,0)+IFERROR(P1551,0)-IFERROR(Q1551,0))</f>
        <v/>
      </c>
      <c r="S1551" s="5" t="n"/>
      <c r="T1551" s="5" t="n"/>
      <c r="U1551" s="11">
        <f>IF(B1551="","",TRIM(LOWER(C1551)&amp;"|"&amp;LOWER(D1551)))</f>
        <v/>
      </c>
    </row>
    <row r="1552">
      <c r="A1552" s="11">
        <f>IF(B1552="","",TEXT(ROW()-3,"""DC-""0000"))</f>
        <v/>
      </c>
      <c r="B1552" s="5" t="n"/>
      <c r="C1552" s="5" t="n"/>
      <c r="D1552" s="5" t="n"/>
      <c r="E1552" s="5" t="n"/>
      <c r="F1552" s="5" t="n"/>
      <c r="G1552" s="5" t="n"/>
      <c r="H1552" s="8" t="n"/>
      <c r="I1552" s="8" t="n"/>
      <c r="J1552" s="8" t="n"/>
      <c r="K1552" s="11">
        <f>IF(B1552="","",MAX(0,IFERROR(I1552,0)*IFERROR(H1552,0)-IFERROR(J1552,0)))</f>
        <v/>
      </c>
      <c r="L1552" s="8" t="n"/>
      <c r="M1552" s="11">
        <f>IF(B1552="","",MAX(0,K1552-L1552))</f>
        <v/>
      </c>
      <c r="N1552" s="11">
        <f>IF(B1552="","",IF(L1552&gt;=K1552,"Paid",IF(L1552&gt;0,"Partial","Unpaid")))</f>
        <v/>
      </c>
      <c r="O1552" s="5" t="n"/>
      <c r="P1552" s="8" t="n"/>
      <c r="Q1552" s="8" t="n"/>
      <c r="R1552" s="11">
        <f>IF(B1552="","",IFERROR(K1552,0)+IFERROR(P1552,0)-IFERROR(Q1552,0))</f>
        <v/>
      </c>
      <c r="S1552" s="5" t="n"/>
      <c r="T1552" s="5" t="n"/>
      <c r="U1552" s="11">
        <f>IF(B1552="","",TRIM(LOWER(C1552)&amp;"|"&amp;LOWER(D1552)))</f>
        <v/>
      </c>
    </row>
    <row r="1553">
      <c r="A1553" s="11">
        <f>IF(B1553="","",TEXT(ROW()-3,"""DC-""0000"))</f>
        <v/>
      </c>
      <c r="B1553" s="5" t="n"/>
      <c r="C1553" s="5" t="n"/>
      <c r="D1553" s="5" t="n"/>
      <c r="E1553" s="5" t="n"/>
      <c r="F1553" s="5" t="n"/>
      <c r="G1553" s="5" t="n"/>
      <c r="H1553" s="8" t="n"/>
      <c r="I1553" s="8" t="n"/>
      <c r="J1553" s="8" t="n"/>
      <c r="K1553" s="11">
        <f>IF(B1553="","",MAX(0,IFERROR(I1553,0)*IFERROR(H1553,0)-IFERROR(J1553,0)))</f>
        <v/>
      </c>
      <c r="L1553" s="8" t="n"/>
      <c r="M1553" s="11">
        <f>IF(B1553="","",MAX(0,K1553-L1553))</f>
        <v/>
      </c>
      <c r="N1553" s="11">
        <f>IF(B1553="","",IF(L1553&gt;=K1553,"Paid",IF(L1553&gt;0,"Partial","Unpaid")))</f>
        <v/>
      </c>
      <c r="O1553" s="5" t="n"/>
      <c r="P1553" s="8" t="n"/>
      <c r="Q1553" s="8" t="n"/>
      <c r="R1553" s="11">
        <f>IF(B1553="","",IFERROR(K1553,0)+IFERROR(P1553,0)-IFERROR(Q1553,0))</f>
        <v/>
      </c>
      <c r="S1553" s="5" t="n"/>
      <c r="T1553" s="5" t="n"/>
      <c r="U1553" s="11">
        <f>IF(B1553="","",TRIM(LOWER(C1553)&amp;"|"&amp;LOWER(D1553)))</f>
        <v/>
      </c>
    </row>
    <row r="1554">
      <c r="A1554" s="11">
        <f>IF(B1554="","",TEXT(ROW()-3,"""DC-""0000"))</f>
        <v/>
      </c>
      <c r="B1554" s="5" t="n"/>
      <c r="C1554" s="5" t="n"/>
      <c r="D1554" s="5" t="n"/>
      <c r="E1554" s="5" t="n"/>
      <c r="F1554" s="5" t="n"/>
      <c r="G1554" s="5" t="n"/>
      <c r="H1554" s="8" t="n"/>
      <c r="I1554" s="8" t="n"/>
      <c r="J1554" s="8" t="n"/>
      <c r="K1554" s="11">
        <f>IF(B1554="","",MAX(0,IFERROR(I1554,0)*IFERROR(H1554,0)-IFERROR(J1554,0)))</f>
        <v/>
      </c>
      <c r="L1554" s="8" t="n"/>
      <c r="M1554" s="11">
        <f>IF(B1554="","",MAX(0,K1554-L1554))</f>
        <v/>
      </c>
      <c r="N1554" s="11">
        <f>IF(B1554="","",IF(L1554&gt;=K1554,"Paid",IF(L1554&gt;0,"Partial","Unpaid")))</f>
        <v/>
      </c>
      <c r="O1554" s="5" t="n"/>
      <c r="P1554" s="8" t="n"/>
      <c r="Q1554" s="8" t="n"/>
      <c r="R1554" s="11">
        <f>IF(B1554="","",IFERROR(K1554,0)+IFERROR(P1554,0)-IFERROR(Q1554,0))</f>
        <v/>
      </c>
      <c r="S1554" s="5" t="n"/>
      <c r="T1554" s="5" t="n"/>
      <c r="U1554" s="11">
        <f>IF(B1554="","",TRIM(LOWER(C1554)&amp;"|"&amp;LOWER(D1554)))</f>
        <v/>
      </c>
    </row>
    <row r="1555">
      <c r="A1555" s="11">
        <f>IF(B1555="","",TEXT(ROW()-3,"""DC-""0000"))</f>
        <v/>
      </c>
      <c r="B1555" s="5" t="n"/>
      <c r="C1555" s="5" t="n"/>
      <c r="D1555" s="5" t="n"/>
      <c r="E1555" s="5" t="n"/>
      <c r="F1555" s="5" t="n"/>
      <c r="G1555" s="5" t="n"/>
      <c r="H1555" s="8" t="n"/>
      <c r="I1555" s="8" t="n"/>
      <c r="J1555" s="8" t="n"/>
      <c r="K1555" s="11">
        <f>IF(B1555="","",MAX(0,IFERROR(I1555,0)*IFERROR(H1555,0)-IFERROR(J1555,0)))</f>
        <v/>
      </c>
      <c r="L1555" s="8" t="n"/>
      <c r="M1555" s="11">
        <f>IF(B1555="","",MAX(0,K1555-L1555))</f>
        <v/>
      </c>
      <c r="N1555" s="11">
        <f>IF(B1555="","",IF(L1555&gt;=K1555,"Paid",IF(L1555&gt;0,"Partial","Unpaid")))</f>
        <v/>
      </c>
      <c r="O1555" s="5" t="n"/>
      <c r="P1555" s="8" t="n"/>
      <c r="Q1555" s="8" t="n"/>
      <c r="R1555" s="11">
        <f>IF(B1555="","",IFERROR(K1555,0)+IFERROR(P1555,0)-IFERROR(Q1555,0))</f>
        <v/>
      </c>
      <c r="S1555" s="5" t="n"/>
      <c r="T1555" s="5" t="n"/>
      <c r="U1555" s="11">
        <f>IF(B1555="","",TRIM(LOWER(C1555)&amp;"|"&amp;LOWER(D1555)))</f>
        <v/>
      </c>
    </row>
    <row r="1556">
      <c r="A1556" s="11">
        <f>IF(B1556="","",TEXT(ROW()-3,"""DC-""0000"))</f>
        <v/>
      </c>
      <c r="B1556" s="5" t="n"/>
      <c r="C1556" s="5" t="n"/>
      <c r="D1556" s="5" t="n"/>
      <c r="E1556" s="5" t="n"/>
      <c r="F1556" s="5" t="n"/>
      <c r="G1556" s="5" t="n"/>
      <c r="H1556" s="8" t="n"/>
      <c r="I1556" s="8" t="n"/>
      <c r="J1556" s="8" t="n"/>
      <c r="K1556" s="11">
        <f>IF(B1556="","",MAX(0,IFERROR(I1556,0)*IFERROR(H1556,0)-IFERROR(J1556,0)))</f>
        <v/>
      </c>
      <c r="L1556" s="8" t="n"/>
      <c r="M1556" s="11">
        <f>IF(B1556="","",MAX(0,K1556-L1556))</f>
        <v/>
      </c>
      <c r="N1556" s="11">
        <f>IF(B1556="","",IF(L1556&gt;=K1556,"Paid",IF(L1556&gt;0,"Partial","Unpaid")))</f>
        <v/>
      </c>
      <c r="O1556" s="5" t="n"/>
      <c r="P1556" s="8" t="n"/>
      <c r="Q1556" s="8" t="n"/>
      <c r="R1556" s="11">
        <f>IF(B1556="","",IFERROR(K1556,0)+IFERROR(P1556,0)-IFERROR(Q1556,0))</f>
        <v/>
      </c>
      <c r="S1556" s="5" t="n"/>
      <c r="T1556" s="5" t="n"/>
      <c r="U1556" s="11">
        <f>IF(B1556="","",TRIM(LOWER(C1556)&amp;"|"&amp;LOWER(D1556)))</f>
        <v/>
      </c>
    </row>
    <row r="1557">
      <c r="A1557" s="11">
        <f>IF(B1557="","",TEXT(ROW()-3,"""DC-""0000"))</f>
        <v/>
      </c>
      <c r="B1557" s="5" t="n"/>
      <c r="C1557" s="5" t="n"/>
      <c r="D1557" s="5" t="n"/>
      <c r="E1557" s="5" t="n"/>
      <c r="F1557" s="5" t="n"/>
      <c r="G1557" s="5" t="n"/>
      <c r="H1557" s="8" t="n"/>
      <c r="I1557" s="8" t="n"/>
      <c r="J1557" s="8" t="n"/>
      <c r="K1557" s="11">
        <f>IF(B1557="","",MAX(0,IFERROR(I1557,0)*IFERROR(H1557,0)-IFERROR(J1557,0)))</f>
        <v/>
      </c>
      <c r="L1557" s="8" t="n"/>
      <c r="M1557" s="11">
        <f>IF(B1557="","",MAX(0,K1557-L1557))</f>
        <v/>
      </c>
      <c r="N1557" s="11">
        <f>IF(B1557="","",IF(L1557&gt;=K1557,"Paid",IF(L1557&gt;0,"Partial","Unpaid")))</f>
        <v/>
      </c>
      <c r="O1557" s="5" t="n"/>
      <c r="P1557" s="8" t="n"/>
      <c r="Q1557" s="8" t="n"/>
      <c r="R1557" s="11">
        <f>IF(B1557="","",IFERROR(K1557,0)+IFERROR(P1557,0)-IFERROR(Q1557,0))</f>
        <v/>
      </c>
      <c r="S1557" s="5" t="n"/>
      <c r="T1557" s="5" t="n"/>
      <c r="U1557" s="11">
        <f>IF(B1557="","",TRIM(LOWER(C1557)&amp;"|"&amp;LOWER(D1557)))</f>
        <v/>
      </c>
    </row>
    <row r="1558">
      <c r="A1558" s="11">
        <f>IF(B1558="","",TEXT(ROW()-3,"""DC-""0000"))</f>
        <v/>
      </c>
      <c r="B1558" s="5" t="n"/>
      <c r="C1558" s="5" t="n"/>
      <c r="D1558" s="5" t="n"/>
      <c r="E1558" s="5" t="n"/>
      <c r="F1558" s="5" t="n"/>
      <c r="G1558" s="5" t="n"/>
      <c r="H1558" s="8" t="n"/>
      <c r="I1558" s="8" t="n"/>
      <c r="J1558" s="8" t="n"/>
      <c r="K1558" s="11">
        <f>IF(B1558="","",MAX(0,IFERROR(I1558,0)*IFERROR(H1558,0)-IFERROR(J1558,0)))</f>
        <v/>
      </c>
      <c r="L1558" s="8" t="n"/>
      <c r="M1558" s="11">
        <f>IF(B1558="","",MAX(0,K1558-L1558))</f>
        <v/>
      </c>
      <c r="N1558" s="11">
        <f>IF(B1558="","",IF(L1558&gt;=K1558,"Paid",IF(L1558&gt;0,"Partial","Unpaid")))</f>
        <v/>
      </c>
      <c r="O1558" s="5" t="n"/>
      <c r="P1558" s="8" t="n"/>
      <c r="Q1558" s="8" t="n"/>
      <c r="R1558" s="11">
        <f>IF(B1558="","",IFERROR(K1558,0)+IFERROR(P1558,0)-IFERROR(Q1558,0))</f>
        <v/>
      </c>
      <c r="S1558" s="5" t="n"/>
      <c r="T1558" s="5" t="n"/>
      <c r="U1558" s="11">
        <f>IF(B1558="","",TRIM(LOWER(C1558)&amp;"|"&amp;LOWER(D1558)))</f>
        <v/>
      </c>
    </row>
    <row r="1559">
      <c r="A1559" s="11">
        <f>IF(B1559="","",TEXT(ROW()-3,"""DC-""0000"))</f>
        <v/>
      </c>
      <c r="B1559" s="5" t="n"/>
      <c r="C1559" s="5" t="n"/>
      <c r="D1559" s="5" t="n"/>
      <c r="E1559" s="5" t="n"/>
      <c r="F1559" s="5" t="n"/>
      <c r="G1559" s="5" t="n"/>
      <c r="H1559" s="8" t="n"/>
      <c r="I1559" s="8" t="n"/>
      <c r="J1559" s="8" t="n"/>
      <c r="K1559" s="11">
        <f>IF(B1559="","",MAX(0,IFERROR(I1559,0)*IFERROR(H1559,0)-IFERROR(J1559,0)))</f>
        <v/>
      </c>
      <c r="L1559" s="8" t="n"/>
      <c r="M1559" s="11">
        <f>IF(B1559="","",MAX(0,K1559-L1559))</f>
        <v/>
      </c>
      <c r="N1559" s="11">
        <f>IF(B1559="","",IF(L1559&gt;=K1559,"Paid",IF(L1559&gt;0,"Partial","Unpaid")))</f>
        <v/>
      </c>
      <c r="O1559" s="5" t="n"/>
      <c r="P1559" s="8" t="n"/>
      <c r="Q1559" s="8" t="n"/>
      <c r="R1559" s="11">
        <f>IF(B1559="","",IFERROR(K1559,0)+IFERROR(P1559,0)-IFERROR(Q1559,0))</f>
        <v/>
      </c>
      <c r="S1559" s="5" t="n"/>
      <c r="T1559" s="5" t="n"/>
      <c r="U1559" s="11">
        <f>IF(B1559="","",TRIM(LOWER(C1559)&amp;"|"&amp;LOWER(D1559)))</f>
        <v/>
      </c>
    </row>
    <row r="1560">
      <c r="A1560" s="11">
        <f>IF(B1560="","",TEXT(ROW()-3,"""DC-""0000"))</f>
        <v/>
      </c>
      <c r="B1560" s="5" t="n"/>
      <c r="C1560" s="5" t="n"/>
      <c r="D1560" s="5" t="n"/>
      <c r="E1560" s="5" t="n"/>
      <c r="F1560" s="5" t="n"/>
      <c r="G1560" s="5" t="n"/>
      <c r="H1560" s="8" t="n"/>
      <c r="I1560" s="8" t="n"/>
      <c r="J1560" s="8" t="n"/>
      <c r="K1560" s="11">
        <f>IF(B1560="","",MAX(0,IFERROR(I1560,0)*IFERROR(H1560,0)-IFERROR(J1560,0)))</f>
        <v/>
      </c>
      <c r="L1560" s="8" t="n"/>
      <c r="M1560" s="11">
        <f>IF(B1560="","",MAX(0,K1560-L1560))</f>
        <v/>
      </c>
      <c r="N1560" s="11">
        <f>IF(B1560="","",IF(L1560&gt;=K1560,"Paid",IF(L1560&gt;0,"Partial","Unpaid")))</f>
        <v/>
      </c>
      <c r="O1560" s="5" t="n"/>
      <c r="P1560" s="8" t="n"/>
      <c r="Q1560" s="8" t="n"/>
      <c r="R1560" s="11">
        <f>IF(B1560="","",IFERROR(K1560,0)+IFERROR(P1560,0)-IFERROR(Q1560,0))</f>
        <v/>
      </c>
      <c r="S1560" s="5" t="n"/>
      <c r="T1560" s="5" t="n"/>
      <c r="U1560" s="11">
        <f>IF(B1560="","",TRIM(LOWER(C1560)&amp;"|"&amp;LOWER(D1560)))</f>
        <v/>
      </c>
    </row>
    <row r="1561">
      <c r="A1561" s="11">
        <f>IF(B1561="","",TEXT(ROW()-3,"""DC-""0000"))</f>
        <v/>
      </c>
      <c r="B1561" s="5" t="n"/>
      <c r="C1561" s="5" t="n"/>
      <c r="D1561" s="5" t="n"/>
      <c r="E1561" s="5" t="n"/>
      <c r="F1561" s="5" t="n"/>
      <c r="G1561" s="5" t="n"/>
      <c r="H1561" s="8" t="n"/>
      <c r="I1561" s="8" t="n"/>
      <c r="J1561" s="8" t="n"/>
      <c r="K1561" s="11">
        <f>IF(B1561="","",MAX(0,IFERROR(I1561,0)*IFERROR(H1561,0)-IFERROR(J1561,0)))</f>
        <v/>
      </c>
      <c r="L1561" s="8" t="n"/>
      <c r="M1561" s="11">
        <f>IF(B1561="","",MAX(0,K1561-L1561))</f>
        <v/>
      </c>
      <c r="N1561" s="11">
        <f>IF(B1561="","",IF(L1561&gt;=K1561,"Paid",IF(L1561&gt;0,"Partial","Unpaid")))</f>
        <v/>
      </c>
      <c r="O1561" s="5" t="n"/>
      <c r="P1561" s="8" t="n"/>
      <c r="Q1561" s="8" t="n"/>
      <c r="R1561" s="11">
        <f>IF(B1561="","",IFERROR(K1561,0)+IFERROR(P1561,0)-IFERROR(Q1561,0))</f>
        <v/>
      </c>
      <c r="S1561" s="5" t="n"/>
      <c r="T1561" s="5" t="n"/>
      <c r="U1561" s="11">
        <f>IF(B1561="","",TRIM(LOWER(C1561)&amp;"|"&amp;LOWER(D1561)))</f>
        <v/>
      </c>
    </row>
    <row r="1562">
      <c r="A1562" s="11">
        <f>IF(B1562="","",TEXT(ROW()-3,"""DC-""0000"))</f>
        <v/>
      </c>
      <c r="B1562" s="5" t="n"/>
      <c r="C1562" s="5" t="n"/>
      <c r="D1562" s="5" t="n"/>
      <c r="E1562" s="5" t="n"/>
      <c r="F1562" s="5" t="n"/>
      <c r="G1562" s="5" t="n"/>
      <c r="H1562" s="8" t="n"/>
      <c r="I1562" s="8" t="n"/>
      <c r="J1562" s="8" t="n"/>
      <c r="K1562" s="11">
        <f>IF(B1562="","",MAX(0,IFERROR(I1562,0)*IFERROR(H1562,0)-IFERROR(J1562,0)))</f>
        <v/>
      </c>
      <c r="L1562" s="8" t="n"/>
      <c r="M1562" s="11">
        <f>IF(B1562="","",MAX(0,K1562-L1562))</f>
        <v/>
      </c>
      <c r="N1562" s="11">
        <f>IF(B1562="","",IF(L1562&gt;=K1562,"Paid",IF(L1562&gt;0,"Partial","Unpaid")))</f>
        <v/>
      </c>
      <c r="O1562" s="5" t="n"/>
      <c r="P1562" s="8" t="n"/>
      <c r="Q1562" s="8" t="n"/>
      <c r="R1562" s="11">
        <f>IF(B1562="","",IFERROR(K1562,0)+IFERROR(P1562,0)-IFERROR(Q1562,0))</f>
        <v/>
      </c>
      <c r="S1562" s="5" t="n"/>
      <c r="T1562" s="5" t="n"/>
      <c r="U1562" s="11">
        <f>IF(B1562="","",TRIM(LOWER(C1562)&amp;"|"&amp;LOWER(D1562)))</f>
        <v/>
      </c>
    </row>
    <row r="1563">
      <c r="A1563" s="11">
        <f>IF(B1563="","",TEXT(ROW()-3,"""DC-""0000"))</f>
        <v/>
      </c>
      <c r="B1563" s="5" t="n"/>
      <c r="C1563" s="5" t="n"/>
      <c r="D1563" s="5" t="n"/>
      <c r="E1563" s="5" t="n"/>
      <c r="F1563" s="5" t="n"/>
      <c r="G1563" s="5" t="n"/>
      <c r="H1563" s="8" t="n"/>
      <c r="I1563" s="8" t="n"/>
      <c r="J1563" s="8" t="n"/>
      <c r="K1563" s="11">
        <f>IF(B1563="","",MAX(0,IFERROR(I1563,0)*IFERROR(H1563,0)-IFERROR(J1563,0)))</f>
        <v/>
      </c>
      <c r="L1563" s="8" t="n"/>
      <c r="M1563" s="11">
        <f>IF(B1563="","",MAX(0,K1563-L1563))</f>
        <v/>
      </c>
      <c r="N1563" s="11">
        <f>IF(B1563="","",IF(L1563&gt;=K1563,"Paid",IF(L1563&gt;0,"Partial","Unpaid")))</f>
        <v/>
      </c>
      <c r="O1563" s="5" t="n"/>
      <c r="P1563" s="8" t="n"/>
      <c r="Q1563" s="8" t="n"/>
      <c r="R1563" s="11">
        <f>IF(B1563="","",IFERROR(K1563,0)+IFERROR(P1563,0)-IFERROR(Q1563,0))</f>
        <v/>
      </c>
      <c r="S1563" s="5" t="n"/>
      <c r="T1563" s="5" t="n"/>
      <c r="U1563" s="11">
        <f>IF(B1563="","",TRIM(LOWER(C1563)&amp;"|"&amp;LOWER(D1563)))</f>
        <v/>
      </c>
    </row>
    <row r="1564">
      <c r="A1564" s="11">
        <f>IF(B1564="","",TEXT(ROW()-3,"""DC-""0000"))</f>
        <v/>
      </c>
      <c r="B1564" s="5" t="n"/>
      <c r="C1564" s="5" t="n"/>
      <c r="D1564" s="5" t="n"/>
      <c r="E1564" s="5" t="n"/>
      <c r="F1564" s="5" t="n"/>
      <c r="G1564" s="5" t="n"/>
      <c r="H1564" s="8" t="n"/>
      <c r="I1564" s="8" t="n"/>
      <c r="J1564" s="8" t="n"/>
      <c r="K1564" s="11">
        <f>IF(B1564="","",MAX(0,IFERROR(I1564,0)*IFERROR(H1564,0)-IFERROR(J1564,0)))</f>
        <v/>
      </c>
      <c r="L1564" s="8" t="n"/>
      <c r="M1564" s="11">
        <f>IF(B1564="","",MAX(0,K1564-L1564))</f>
        <v/>
      </c>
      <c r="N1564" s="11">
        <f>IF(B1564="","",IF(L1564&gt;=K1564,"Paid",IF(L1564&gt;0,"Partial","Unpaid")))</f>
        <v/>
      </c>
      <c r="O1564" s="5" t="n"/>
      <c r="P1564" s="8" t="n"/>
      <c r="Q1564" s="8" t="n"/>
      <c r="R1564" s="11">
        <f>IF(B1564="","",IFERROR(K1564,0)+IFERROR(P1564,0)-IFERROR(Q1564,0))</f>
        <v/>
      </c>
      <c r="S1564" s="5" t="n"/>
      <c r="T1564" s="5" t="n"/>
      <c r="U1564" s="11">
        <f>IF(B1564="","",TRIM(LOWER(C1564)&amp;"|"&amp;LOWER(D1564)))</f>
        <v/>
      </c>
    </row>
    <row r="1565">
      <c r="A1565" s="11">
        <f>IF(B1565="","",TEXT(ROW()-3,"""DC-""0000"))</f>
        <v/>
      </c>
      <c r="B1565" s="5" t="n"/>
      <c r="C1565" s="5" t="n"/>
      <c r="D1565" s="5" t="n"/>
      <c r="E1565" s="5" t="n"/>
      <c r="F1565" s="5" t="n"/>
      <c r="G1565" s="5" t="n"/>
      <c r="H1565" s="8" t="n"/>
      <c r="I1565" s="8" t="n"/>
      <c r="J1565" s="8" t="n"/>
      <c r="K1565" s="11">
        <f>IF(B1565="","",MAX(0,IFERROR(I1565,0)*IFERROR(H1565,0)-IFERROR(J1565,0)))</f>
        <v/>
      </c>
      <c r="L1565" s="8" t="n"/>
      <c r="M1565" s="11">
        <f>IF(B1565="","",MAX(0,K1565-L1565))</f>
        <v/>
      </c>
      <c r="N1565" s="11">
        <f>IF(B1565="","",IF(L1565&gt;=K1565,"Paid",IF(L1565&gt;0,"Partial","Unpaid")))</f>
        <v/>
      </c>
      <c r="O1565" s="5" t="n"/>
      <c r="P1565" s="8" t="n"/>
      <c r="Q1565" s="8" t="n"/>
      <c r="R1565" s="11">
        <f>IF(B1565="","",IFERROR(K1565,0)+IFERROR(P1565,0)-IFERROR(Q1565,0))</f>
        <v/>
      </c>
      <c r="S1565" s="5" t="n"/>
      <c r="T1565" s="5" t="n"/>
      <c r="U1565" s="11">
        <f>IF(B1565="","",TRIM(LOWER(C1565)&amp;"|"&amp;LOWER(D1565)))</f>
        <v/>
      </c>
    </row>
    <row r="1566">
      <c r="A1566" s="11">
        <f>IF(B1566="","",TEXT(ROW()-3,"""DC-""0000"))</f>
        <v/>
      </c>
      <c r="B1566" s="5" t="n"/>
      <c r="C1566" s="5" t="n"/>
      <c r="D1566" s="5" t="n"/>
      <c r="E1566" s="5" t="n"/>
      <c r="F1566" s="5" t="n"/>
      <c r="G1566" s="5" t="n"/>
      <c r="H1566" s="8" t="n"/>
      <c r="I1566" s="8" t="n"/>
      <c r="J1566" s="8" t="n"/>
      <c r="K1566" s="11">
        <f>IF(B1566="","",MAX(0,IFERROR(I1566,0)*IFERROR(H1566,0)-IFERROR(J1566,0)))</f>
        <v/>
      </c>
      <c r="L1566" s="8" t="n"/>
      <c r="M1566" s="11">
        <f>IF(B1566="","",MAX(0,K1566-L1566))</f>
        <v/>
      </c>
      <c r="N1566" s="11">
        <f>IF(B1566="","",IF(L1566&gt;=K1566,"Paid",IF(L1566&gt;0,"Partial","Unpaid")))</f>
        <v/>
      </c>
      <c r="O1566" s="5" t="n"/>
      <c r="P1566" s="8" t="n"/>
      <c r="Q1566" s="8" t="n"/>
      <c r="R1566" s="11">
        <f>IF(B1566="","",IFERROR(K1566,0)+IFERROR(P1566,0)-IFERROR(Q1566,0))</f>
        <v/>
      </c>
      <c r="S1566" s="5" t="n"/>
      <c r="T1566" s="5" t="n"/>
      <c r="U1566" s="11">
        <f>IF(B1566="","",TRIM(LOWER(C1566)&amp;"|"&amp;LOWER(D1566)))</f>
        <v/>
      </c>
    </row>
    <row r="1567">
      <c r="A1567" s="11">
        <f>IF(B1567="","",TEXT(ROW()-3,"""DC-""0000"))</f>
        <v/>
      </c>
      <c r="B1567" s="5" t="n"/>
      <c r="C1567" s="5" t="n"/>
      <c r="D1567" s="5" t="n"/>
      <c r="E1567" s="5" t="n"/>
      <c r="F1567" s="5" t="n"/>
      <c r="G1567" s="5" t="n"/>
      <c r="H1567" s="8" t="n"/>
      <c r="I1567" s="8" t="n"/>
      <c r="J1567" s="8" t="n"/>
      <c r="K1567" s="11">
        <f>IF(B1567="","",MAX(0,IFERROR(I1567,0)*IFERROR(H1567,0)-IFERROR(J1567,0)))</f>
        <v/>
      </c>
      <c r="L1567" s="8" t="n"/>
      <c r="M1567" s="11">
        <f>IF(B1567="","",MAX(0,K1567-L1567))</f>
        <v/>
      </c>
      <c r="N1567" s="11">
        <f>IF(B1567="","",IF(L1567&gt;=K1567,"Paid",IF(L1567&gt;0,"Partial","Unpaid")))</f>
        <v/>
      </c>
      <c r="O1567" s="5" t="n"/>
      <c r="P1567" s="8" t="n"/>
      <c r="Q1567" s="8" t="n"/>
      <c r="R1567" s="11">
        <f>IF(B1567="","",IFERROR(K1567,0)+IFERROR(P1567,0)-IFERROR(Q1567,0))</f>
        <v/>
      </c>
      <c r="S1567" s="5" t="n"/>
      <c r="T1567" s="5" t="n"/>
      <c r="U1567" s="11">
        <f>IF(B1567="","",TRIM(LOWER(C1567)&amp;"|"&amp;LOWER(D1567)))</f>
        <v/>
      </c>
    </row>
    <row r="1568">
      <c r="A1568" s="11">
        <f>IF(B1568="","",TEXT(ROW()-3,"""DC-""0000"))</f>
        <v/>
      </c>
      <c r="B1568" s="5" t="n"/>
      <c r="C1568" s="5" t="n"/>
      <c r="D1568" s="5" t="n"/>
      <c r="E1568" s="5" t="n"/>
      <c r="F1568" s="5" t="n"/>
      <c r="G1568" s="5" t="n"/>
      <c r="H1568" s="8" t="n"/>
      <c r="I1568" s="8" t="n"/>
      <c r="J1568" s="8" t="n"/>
      <c r="K1568" s="11">
        <f>IF(B1568="","",MAX(0,IFERROR(I1568,0)*IFERROR(H1568,0)-IFERROR(J1568,0)))</f>
        <v/>
      </c>
      <c r="L1568" s="8" t="n"/>
      <c r="M1568" s="11">
        <f>IF(B1568="","",MAX(0,K1568-L1568))</f>
        <v/>
      </c>
      <c r="N1568" s="11">
        <f>IF(B1568="","",IF(L1568&gt;=K1568,"Paid",IF(L1568&gt;0,"Partial","Unpaid")))</f>
        <v/>
      </c>
      <c r="O1568" s="5" t="n"/>
      <c r="P1568" s="8" t="n"/>
      <c r="Q1568" s="8" t="n"/>
      <c r="R1568" s="11">
        <f>IF(B1568="","",IFERROR(K1568,0)+IFERROR(P1568,0)-IFERROR(Q1568,0))</f>
        <v/>
      </c>
      <c r="S1568" s="5" t="n"/>
      <c r="T1568" s="5" t="n"/>
      <c r="U1568" s="11">
        <f>IF(B1568="","",TRIM(LOWER(C1568)&amp;"|"&amp;LOWER(D1568)))</f>
        <v/>
      </c>
    </row>
    <row r="1569">
      <c r="A1569" s="11">
        <f>IF(B1569="","",TEXT(ROW()-3,"""DC-""0000"))</f>
        <v/>
      </c>
      <c r="B1569" s="5" t="n"/>
      <c r="C1569" s="5" t="n"/>
      <c r="D1569" s="5" t="n"/>
      <c r="E1569" s="5" t="n"/>
      <c r="F1569" s="5" t="n"/>
      <c r="G1569" s="5" t="n"/>
      <c r="H1569" s="8" t="n"/>
      <c r="I1569" s="8" t="n"/>
      <c r="J1569" s="8" t="n"/>
      <c r="K1569" s="11">
        <f>IF(B1569="","",MAX(0,IFERROR(I1569,0)*IFERROR(H1569,0)-IFERROR(J1569,0)))</f>
        <v/>
      </c>
      <c r="L1569" s="8" t="n"/>
      <c r="M1569" s="11">
        <f>IF(B1569="","",MAX(0,K1569-L1569))</f>
        <v/>
      </c>
      <c r="N1569" s="11">
        <f>IF(B1569="","",IF(L1569&gt;=K1569,"Paid",IF(L1569&gt;0,"Partial","Unpaid")))</f>
        <v/>
      </c>
      <c r="O1569" s="5" t="n"/>
      <c r="P1569" s="8" t="n"/>
      <c r="Q1569" s="8" t="n"/>
      <c r="R1569" s="11">
        <f>IF(B1569="","",IFERROR(K1569,0)+IFERROR(P1569,0)-IFERROR(Q1569,0))</f>
        <v/>
      </c>
      <c r="S1569" s="5" t="n"/>
      <c r="T1569" s="5" t="n"/>
      <c r="U1569" s="11">
        <f>IF(B1569="","",TRIM(LOWER(C1569)&amp;"|"&amp;LOWER(D1569)))</f>
        <v/>
      </c>
    </row>
    <row r="1570">
      <c r="A1570" s="11">
        <f>IF(B1570="","",TEXT(ROW()-3,"""DC-""0000"))</f>
        <v/>
      </c>
      <c r="B1570" s="5" t="n"/>
      <c r="C1570" s="5" t="n"/>
      <c r="D1570" s="5" t="n"/>
      <c r="E1570" s="5" t="n"/>
      <c r="F1570" s="5" t="n"/>
      <c r="G1570" s="5" t="n"/>
      <c r="H1570" s="8" t="n"/>
      <c r="I1570" s="8" t="n"/>
      <c r="J1570" s="8" t="n"/>
      <c r="K1570" s="11">
        <f>IF(B1570="","",MAX(0,IFERROR(I1570,0)*IFERROR(H1570,0)-IFERROR(J1570,0)))</f>
        <v/>
      </c>
      <c r="L1570" s="8" t="n"/>
      <c r="M1570" s="11">
        <f>IF(B1570="","",MAX(0,K1570-L1570))</f>
        <v/>
      </c>
      <c r="N1570" s="11">
        <f>IF(B1570="","",IF(L1570&gt;=K1570,"Paid",IF(L1570&gt;0,"Partial","Unpaid")))</f>
        <v/>
      </c>
      <c r="O1570" s="5" t="n"/>
      <c r="P1570" s="8" t="n"/>
      <c r="Q1570" s="8" t="n"/>
      <c r="R1570" s="11">
        <f>IF(B1570="","",IFERROR(K1570,0)+IFERROR(P1570,0)-IFERROR(Q1570,0))</f>
        <v/>
      </c>
      <c r="S1570" s="5" t="n"/>
      <c r="T1570" s="5" t="n"/>
      <c r="U1570" s="11">
        <f>IF(B1570="","",TRIM(LOWER(C1570)&amp;"|"&amp;LOWER(D1570)))</f>
        <v/>
      </c>
    </row>
    <row r="1571">
      <c r="A1571" s="11">
        <f>IF(B1571="","",TEXT(ROW()-3,"""DC-""0000"))</f>
        <v/>
      </c>
      <c r="B1571" s="5" t="n"/>
      <c r="C1571" s="5" t="n"/>
      <c r="D1571" s="5" t="n"/>
      <c r="E1571" s="5" t="n"/>
      <c r="F1571" s="5" t="n"/>
      <c r="G1571" s="5" t="n"/>
      <c r="H1571" s="8" t="n"/>
      <c r="I1571" s="8" t="n"/>
      <c r="J1571" s="8" t="n"/>
      <c r="K1571" s="11">
        <f>IF(B1571="","",MAX(0,IFERROR(I1571,0)*IFERROR(H1571,0)-IFERROR(J1571,0)))</f>
        <v/>
      </c>
      <c r="L1571" s="8" t="n"/>
      <c r="M1571" s="11">
        <f>IF(B1571="","",MAX(0,K1571-L1571))</f>
        <v/>
      </c>
      <c r="N1571" s="11">
        <f>IF(B1571="","",IF(L1571&gt;=K1571,"Paid",IF(L1571&gt;0,"Partial","Unpaid")))</f>
        <v/>
      </c>
      <c r="O1571" s="5" t="n"/>
      <c r="P1571" s="8" t="n"/>
      <c r="Q1571" s="8" t="n"/>
      <c r="R1571" s="11">
        <f>IF(B1571="","",IFERROR(K1571,0)+IFERROR(P1571,0)-IFERROR(Q1571,0))</f>
        <v/>
      </c>
      <c r="S1571" s="5" t="n"/>
      <c r="T1571" s="5" t="n"/>
      <c r="U1571" s="11">
        <f>IF(B1571="","",TRIM(LOWER(C1571)&amp;"|"&amp;LOWER(D1571)))</f>
        <v/>
      </c>
    </row>
    <row r="1572">
      <c r="A1572" s="11">
        <f>IF(B1572="","",TEXT(ROW()-3,"""DC-""0000"))</f>
        <v/>
      </c>
      <c r="B1572" s="5" t="n"/>
      <c r="C1572" s="5" t="n"/>
      <c r="D1572" s="5" t="n"/>
      <c r="E1572" s="5" t="n"/>
      <c r="F1572" s="5" t="n"/>
      <c r="G1572" s="5" t="n"/>
      <c r="H1572" s="8" t="n"/>
      <c r="I1572" s="8" t="n"/>
      <c r="J1572" s="8" t="n"/>
      <c r="K1572" s="11">
        <f>IF(B1572="","",MAX(0,IFERROR(I1572,0)*IFERROR(H1572,0)-IFERROR(J1572,0)))</f>
        <v/>
      </c>
      <c r="L1572" s="8" t="n"/>
      <c r="M1572" s="11">
        <f>IF(B1572="","",MAX(0,K1572-L1572))</f>
        <v/>
      </c>
      <c r="N1572" s="11">
        <f>IF(B1572="","",IF(L1572&gt;=K1572,"Paid",IF(L1572&gt;0,"Partial","Unpaid")))</f>
        <v/>
      </c>
      <c r="O1572" s="5" t="n"/>
      <c r="P1572" s="8" t="n"/>
      <c r="Q1572" s="8" t="n"/>
      <c r="R1572" s="11">
        <f>IF(B1572="","",IFERROR(K1572,0)+IFERROR(P1572,0)-IFERROR(Q1572,0))</f>
        <v/>
      </c>
      <c r="S1572" s="5" t="n"/>
      <c r="T1572" s="5" t="n"/>
      <c r="U1572" s="11">
        <f>IF(B1572="","",TRIM(LOWER(C1572)&amp;"|"&amp;LOWER(D1572)))</f>
        <v/>
      </c>
    </row>
    <row r="1573">
      <c r="A1573" s="11">
        <f>IF(B1573="","",TEXT(ROW()-3,"""DC-""0000"))</f>
        <v/>
      </c>
      <c r="B1573" s="5" t="n"/>
      <c r="C1573" s="5" t="n"/>
      <c r="D1573" s="5" t="n"/>
      <c r="E1573" s="5" t="n"/>
      <c r="F1573" s="5" t="n"/>
      <c r="G1573" s="5" t="n"/>
      <c r="H1573" s="8" t="n"/>
      <c r="I1573" s="8" t="n"/>
      <c r="J1573" s="8" t="n"/>
      <c r="K1573" s="11">
        <f>IF(B1573="","",MAX(0,IFERROR(I1573,0)*IFERROR(H1573,0)-IFERROR(J1573,0)))</f>
        <v/>
      </c>
      <c r="L1573" s="8" t="n"/>
      <c r="M1573" s="11">
        <f>IF(B1573="","",MAX(0,K1573-L1573))</f>
        <v/>
      </c>
      <c r="N1573" s="11">
        <f>IF(B1573="","",IF(L1573&gt;=K1573,"Paid",IF(L1573&gt;0,"Partial","Unpaid")))</f>
        <v/>
      </c>
      <c r="O1573" s="5" t="n"/>
      <c r="P1573" s="8" t="n"/>
      <c r="Q1573" s="8" t="n"/>
      <c r="R1573" s="11">
        <f>IF(B1573="","",IFERROR(K1573,0)+IFERROR(P1573,0)-IFERROR(Q1573,0))</f>
        <v/>
      </c>
      <c r="S1573" s="5" t="n"/>
      <c r="T1573" s="5" t="n"/>
      <c r="U1573" s="11">
        <f>IF(B1573="","",TRIM(LOWER(C1573)&amp;"|"&amp;LOWER(D1573)))</f>
        <v/>
      </c>
    </row>
    <row r="1574">
      <c r="A1574" s="11">
        <f>IF(B1574="","",TEXT(ROW()-3,"""DC-""0000"))</f>
        <v/>
      </c>
      <c r="B1574" s="5" t="n"/>
      <c r="C1574" s="5" t="n"/>
      <c r="D1574" s="5" t="n"/>
      <c r="E1574" s="5" t="n"/>
      <c r="F1574" s="5" t="n"/>
      <c r="G1574" s="5" t="n"/>
      <c r="H1574" s="8" t="n"/>
      <c r="I1574" s="8" t="n"/>
      <c r="J1574" s="8" t="n"/>
      <c r="K1574" s="11">
        <f>IF(B1574="","",MAX(0,IFERROR(I1574,0)*IFERROR(H1574,0)-IFERROR(J1574,0)))</f>
        <v/>
      </c>
      <c r="L1574" s="8" t="n"/>
      <c r="M1574" s="11">
        <f>IF(B1574="","",MAX(0,K1574-L1574))</f>
        <v/>
      </c>
      <c r="N1574" s="11">
        <f>IF(B1574="","",IF(L1574&gt;=K1574,"Paid",IF(L1574&gt;0,"Partial","Unpaid")))</f>
        <v/>
      </c>
      <c r="O1574" s="5" t="n"/>
      <c r="P1574" s="8" t="n"/>
      <c r="Q1574" s="8" t="n"/>
      <c r="R1574" s="11">
        <f>IF(B1574="","",IFERROR(K1574,0)+IFERROR(P1574,0)-IFERROR(Q1574,0))</f>
        <v/>
      </c>
      <c r="S1574" s="5" t="n"/>
      <c r="T1574" s="5" t="n"/>
      <c r="U1574" s="11">
        <f>IF(B1574="","",TRIM(LOWER(C1574)&amp;"|"&amp;LOWER(D1574)))</f>
        <v/>
      </c>
    </row>
    <row r="1575">
      <c r="A1575" s="11">
        <f>IF(B1575="","",TEXT(ROW()-3,"""DC-""0000"))</f>
        <v/>
      </c>
      <c r="B1575" s="5" t="n"/>
      <c r="C1575" s="5" t="n"/>
      <c r="D1575" s="5" t="n"/>
      <c r="E1575" s="5" t="n"/>
      <c r="F1575" s="5" t="n"/>
      <c r="G1575" s="5" t="n"/>
      <c r="H1575" s="8" t="n"/>
      <c r="I1575" s="8" t="n"/>
      <c r="J1575" s="8" t="n"/>
      <c r="K1575" s="11">
        <f>IF(B1575="","",MAX(0,IFERROR(I1575,0)*IFERROR(H1575,0)-IFERROR(J1575,0)))</f>
        <v/>
      </c>
      <c r="L1575" s="8" t="n"/>
      <c r="M1575" s="11">
        <f>IF(B1575="","",MAX(0,K1575-L1575))</f>
        <v/>
      </c>
      <c r="N1575" s="11">
        <f>IF(B1575="","",IF(L1575&gt;=K1575,"Paid",IF(L1575&gt;0,"Partial","Unpaid")))</f>
        <v/>
      </c>
      <c r="O1575" s="5" t="n"/>
      <c r="P1575" s="8" t="n"/>
      <c r="Q1575" s="8" t="n"/>
      <c r="R1575" s="11">
        <f>IF(B1575="","",IFERROR(K1575,0)+IFERROR(P1575,0)-IFERROR(Q1575,0))</f>
        <v/>
      </c>
      <c r="S1575" s="5" t="n"/>
      <c r="T1575" s="5" t="n"/>
      <c r="U1575" s="11">
        <f>IF(B1575="","",TRIM(LOWER(C1575)&amp;"|"&amp;LOWER(D1575)))</f>
        <v/>
      </c>
    </row>
    <row r="1576">
      <c r="A1576" s="11">
        <f>IF(B1576="","",TEXT(ROW()-3,"""DC-""0000"))</f>
        <v/>
      </c>
      <c r="B1576" s="5" t="n"/>
      <c r="C1576" s="5" t="n"/>
      <c r="D1576" s="5" t="n"/>
      <c r="E1576" s="5" t="n"/>
      <c r="F1576" s="5" t="n"/>
      <c r="G1576" s="5" t="n"/>
      <c r="H1576" s="8" t="n"/>
      <c r="I1576" s="8" t="n"/>
      <c r="J1576" s="8" t="n"/>
      <c r="K1576" s="11">
        <f>IF(B1576="","",MAX(0,IFERROR(I1576,0)*IFERROR(H1576,0)-IFERROR(J1576,0)))</f>
        <v/>
      </c>
      <c r="L1576" s="8" t="n"/>
      <c r="M1576" s="11">
        <f>IF(B1576="","",MAX(0,K1576-L1576))</f>
        <v/>
      </c>
      <c r="N1576" s="11">
        <f>IF(B1576="","",IF(L1576&gt;=K1576,"Paid",IF(L1576&gt;0,"Partial","Unpaid")))</f>
        <v/>
      </c>
      <c r="O1576" s="5" t="n"/>
      <c r="P1576" s="8" t="n"/>
      <c r="Q1576" s="8" t="n"/>
      <c r="R1576" s="11">
        <f>IF(B1576="","",IFERROR(K1576,0)+IFERROR(P1576,0)-IFERROR(Q1576,0))</f>
        <v/>
      </c>
      <c r="S1576" s="5" t="n"/>
      <c r="T1576" s="5" t="n"/>
      <c r="U1576" s="11">
        <f>IF(B1576="","",TRIM(LOWER(C1576)&amp;"|"&amp;LOWER(D1576)))</f>
        <v/>
      </c>
    </row>
    <row r="1577">
      <c r="A1577" s="11">
        <f>IF(B1577="","",TEXT(ROW()-3,"""DC-""0000"))</f>
        <v/>
      </c>
      <c r="B1577" s="5" t="n"/>
      <c r="C1577" s="5" t="n"/>
      <c r="D1577" s="5" t="n"/>
      <c r="E1577" s="5" t="n"/>
      <c r="F1577" s="5" t="n"/>
      <c r="G1577" s="5" t="n"/>
      <c r="H1577" s="8" t="n"/>
      <c r="I1577" s="8" t="n"/>
      <c r="J1577" s="8" t="n"/>
      <c r="K1577" s="11">
        <f>IF(B1577="","",MAX(0,IFERROR(I1577,0)*IFERROR(H1577,0)-IFERROR(J1577,0)))</f>
        <v/>
      </c>
      <c r="L1577" s="8" t="n"/>
      <c r="M1577" s="11">
        <f>IF(B1577="","",MAX(0,K1577-L1577))</f>
        <v/>
      </c>
      <c r="N1577" s="11">
        <f>IF(B1577="","",IF(L1577&gt;=K1577,"Paid",IF(L1577&gt;0,"Partial","Unpaid")))</f>
        <v/>
      </c>
      <c r="O1577" s="5" t="n"/>
      <c r="P1577" s="8" t="n"/>
      <c r="Q1577" s="8" t="n"/>
      <c r="R1577" s="11">
        <f>IF(B1577="","",IFERROR(K1577,0)+IFERROR(P1577,0)-IFERROR(Q1577,0))</f>
        <v/>
      </c>
      <c r="S1577" s="5" t="n"/>
      <c r="T1577" s="5" t="n"/>
      <c r="U1577" s="11">
        <f>IF(B1577="","",TRIM(LOWER(C1577)&amp;"|"&amp;LOWER(D1577)))</f>
        <v/>
      </c>
    </row>
    <row r="1578">
      <c r="A1578" s="11">
        <f>IF(B1578="","",TEXT(ROW()-3,"""DC-""0000"))</f>
        <v/>
      </c>
      <c r="B1578" s="5" t="n"/>
      <c r="C1578" s="5" t="n"/>
      <c r="D1578" s="5" t="n"/>
      <c r="E1578" s="5" t="n"/>
      <c r="F1578" s="5" t="n"/>
      <c r="G1578" s="5" t="n"/>
      <c r="H1578" s="8" t="n"/>
      <c r="I1578" s="8" t="n"/>
      <c r="J1578" s="8" t="n"/>
      <c r="K1578" s="11">
        <f>IF(B1578="","",MAX(0,IFERROR(I1578,0)*IFERROR(H1578,0)-IFERROR(J1578,0)))</f>
        <v/>
      </c>
      <c r="L1578" s="8" t="n"/>
      <c r="M1578" s="11">
        <f>IF(B1578="","",MAX(0,K1578-L1578))</f>
        <v/>
      </c>
      <c r="N1578" s="11">
        <f>IF(B1578="","",IF(L1578&gt;=K1578,"Paid",IF(L1578&gt;0,"Partial","Unpaid")))</f>
        <v/>
      </c>
      <c r="O1578" s="5" t="n"/>
      <c r="P1578" s="8" t="n"/>
      <c r="Q1578" s="8" t="n"/>
      <c r="R1578" s="11">
        <f>IF(B1578="","",IFERROR(K1578,0)+IFERROR(P1578,0)-IFERROR(Q1578,0))</f>
        <v/>
      </c>
      <c r="S1578" s="5" t="n"/>
      <c r="T1578" s="5" t="n"/>
      <c r="U1578" s="11">
        <f>IF(B1578="","",TRIM(LOWER(C1578)&amp;"|"&amp;LOWER(D1578)))</f>
        <v/>
      </c>
    </row>
    <row r="1579">
      <c r="A1579" s="11">
        <f>IF(B1579="","",TEXT(ROW()-3,"""DC-""0000"))</f>
        <v/>
      </c>
      <c r="B1579" s="5" t="n"/>
      <c r="C1579" s="5" t="n"/>
      <c r="D1579" s="5" t="n"/>
      <c r="E1579" s="5" t="n"/>
      <c r="F1579" s="5" t="n"/>
      <c r="G1579" s="5" t="n"/>
      <c r="H1579" s="8" t="n"/>
      <c r="I1579" s="8" t="n"/>
      <c r="J1579" s="8" t="n"/>
      <c r="K1579" s="11">
        <f>IF(B1579="","",MAX(0,IFERROR(I1579,0)*IFERROR(H1579,0)-IFERROR(J1579,0)))</f>
        <v/>
      </c>
      <c r="L1579" s="8" t="n"/>
      <c r="M1579" s="11">
        <f>IF(B1579="","",MAX(0,K1579-L1579))</f>
        <v/>
      </c>
      <c r="N1579" s="11">
        <f>IF(B1579="","",IF(L1579&gt;=K1579,"Paid",IF(L1579&gt;0,"Partial","Unpaid")))</f>
        <v/>
      </c>
      <c r="O1579" s="5" t="n"/>
      <c r="P1579" s="8" t="n"/>
      <c r="Q1579" s="8" t="n"/>
      <c r="R1579" s="11">
        <f>IF(B1579="","",IFERROR(K1579,0)+IFERROR(P1579,0)-IFERROR(Q1579,0))</f>
        <v/>
      </c>
      <c r="S1579" s="5" t="n"/>
      <c r="T1579" s="5" t="n"/>
      <c r="U1579" s="11">
        <f>IF(B1579="","",TRIM(LOWER(C1579)&amp;"|"&amp;LOWER(D1579)))</f>
        <v/>
      </c>
    </row>
    <row r="1580">
      <c r="A1580" s="11">
        <f>IF(B1580="","",TEXT(ROW()-3,"""DC-""0000"))</f>
        <v/>
      </c>
      <c r="B1580" s="5" t="n"/>
      <c r="C1580" s="5" t="n"/>
      <c r="D1580" s="5" t="n"/>
      <c r="E1580" s="5" t="n"/>
      <c r="F1580" s="5" t="n"/>
      <c r="G1580" s="5" t="n"/>
      <c r="H1580" s="8" t="n"/>
      <c r="I1580" s="8" t="n"/>
      <c r="J1580" s="8" t="n"/>
      <c r="K1580" s="11">
        <f>IF(B1580="","",MAX(0,IFERROR(I1580,0)*IFERROR(H1580,0)-IFERROR(J1580,0)))</f>
        <v/>
      </c>
      <c r="L1580" s="8" t="n"/>
      <c r="M1580" s="11">
        <f>IF(B1580="","",MAX(0,K1580-L1580))</f>
        <v/>
      </c>
      <c r="N1580" s="11">
        <f>IF(B1580="","",IF(L1580&gt;=K1580,"Paid",IF(L1580&gt;0,"Partial","Unpaid")))</f>
        <v/>
      </c>
      <c r="O1580" s="5" t="n"/>
      <c r="P1580" s="8" t="n"/>
      <c r="Q1580" s="8" t="n"/>
      <c r="R1580" s="11">
        <f>IF(B1580="","",IFERROR(K1580,0)+IFERROR(P1580,0)-IFERROR(Q1580,0))</f>
        <v/>
      </c>
      <c r="S1580" s="5" t="n"/>
      <c r="T1580" s="5" t="n"/>
      <c r="U1580" s="11">
        <f>IF(B1580="","",TRIM(LOWER(C1580)&amp;"|"&amp;LOWER(D1580)))</f>
        <v/>
      </c>
    </row>
    <row r="1581">
      <c r="A1581" s="11">
        <f>IF(B1581="","",TEXT(ROW()-3,"""DC-""0000"))</f>
        <v/>
      </c>
      <c r="B1581" s="5" t="n"/>
      <c r="C1581" s="5" t="n"/>
      <c r="D1581" s="5" t="n"/>
      <c r="E1581" s="5" t="n"/>
      <c r="F1581" s="5" t="n"/>
      <c r="G1581" s="5" t="n"/>
      <c r="H1581" s="8" t="n"/>
      <c r="I1581" s="8" t="n"/>
      <c r="J1581" s="8" t="n"/>
      <c r="K1581" s="11">
        <f>IF(B1581="","",MAX(0,IFERROR(I1581,0)*IFERROR(H1581,0)-IFERROR(J1581,0)))</f>
        <v/>
      </c>
      <c r="L1581" s="8" t="n"/>
      <c r="M1581" s="11">
        <f>IF(B1581="","",MAX(0,K1581-L1581))</f>
        <v/>
      </c>
      <c r="N1581" s="11">
        <f>IF(B1581="","",IF(L1581&gt;=K1581,"Paid",IF(L1581&gt;0,"Partial","Unpaid")))</f>
        <v/>
      </c>
      <c r="O1581" s="5" t="n"/>
      <c r="P1581" s="8" t="n"/>
      <c r="Q1581" s="8" t="n"/>
      <c r="R1581" s="11">
        <f>IF(B1581="","",IFERROR(K1581,0)+IFERROR(P1581,0)-IFERROR(Q1581,0))</f>
        <v/>
      </c>
      <c r="S1581" s="5" t="n"/>
      <c r="T1581" s="5" t="n"/>
      <c r="U1581" s="11">
        <f>IF(B1581="","",TRIM(LOWER(C1581)&amp;"|"&amp;LOWER(D1581)))</f>
        <v/>
      </c>
    </row>
    <row r="1582">
      <c r="A1582" s="11">
        <f>IF(B1582="","",TEXT(ROW()-3,"""DC-""0000"))</f>
        <v/>
      </c>
      <c r="B1582" s="5" t="n"/>
      <c r="C1582" s="5" t="n"/>
      <c r="D1582" s="5" t="n"/>
      <c r="E1582" s="5" t="n"/>
      <c r="F1582" s="5" t="n"/>
      <c r="G1582" s="5" t="n"/>
      <c r="H1582" s="8" t="n"/>
      <c r="I1582" s="8" t="n"/>
      <c r="J1582" s="8" t="n"/>
      <c r="K1582" s="11">
        <f>IF(B1582="","",MAX(0,IFERROR(I1582,0)*IFERROR(H1582,0)-IFERROR(J1582,0)))</f>
        <v/>
      </c>
      <c r="L1582" s="8" t="n"/>
      <c r="M1582" s="11">
        <f>IF(B1582="","",MAX(0,K1582-L1582))</f>
        <v/>
      </c>
      <c r="N1582" s="11">
        <f>IF(B1582="","",IF(L1582&gt;=K1582,"Paid",IF(L1582&gt;0,"Partial","Unpaid")))</f>
        <v/>
      </c>
      <c r="O1582" s="5" t="n"/>
      <c r="P1582" s="8" t="n"/>
      <c r="Q1582" s="8" t="n"/>
      <c r="R1582" s="11">
        <f>IF(B1582="","",IFERROR(K1582,0)+IFERROR(P1582,0)-IFERROR(Q1582,0))</f>
        <v/>
      </c>
      <c r="S1582" s="5" t="n"/>
      <c r="T1582" s="5" t="n"/>
      <c r="U1582" s="11">
        <f>IF(B1582="","",TRIM(LOWER(C1582)&amp;"|"&amp;LOWER(D1582)))</f>
        <v/>
      </c>
    </row>
    <row r="1583">
      <c r="A1583" s="11">
        <f>IF(B1583="","",TEXT(ROW()-3,"""DC-""0000"))</f>
        <v/>
      </c>
      <c r="B1583" s="5" t="n"/>
      <c r="C1583" s="5" t="n"/>
      <c r="D1583" s="5" t="n"/>
      <c r="E1583" s="5" t="n"/>
      <c r="F1583" s="5" t="n"/>
      <c r="G1583" s="5" t="n"/>
      <c r="H1583" s="8" t="n"/>
      <c r="I1583" s="8" t="n"/>
      <c r="J1583" s="8" t="n"/>
      <c r="K1583" s="11">
        <f>IF(B1583="","",MAX(0,IFERROR(I1583,0)*IFERROR(H1583,0)-IFERROR(J1583,0)))</f>
        <v/>
      </c>
      <c r="L1583" s="8" t="n"/>
      <c r="M1583" s="11">
        <f>IF(B1583="","",MAX(0,K1583-L1583))</f>
        <v/>
      </c>
      <c r="N1583" s="11">
        <f>IF(B1583="","",IF(L1583&gt;=K1583,"Paid",IF(L1583&gt;0,"Partial","Unpaid")))</f>
        <v/>
      </c>
      <c r="O1583" s="5" t="n"/>
      <c r="P1583" s="8" t="n"/>
      <c r="Q1583" s="8" t="n"/>
      <c r="R1583" s="11">
        <f>IF(B1583="","",IFERROR(K1583,0)+IFERROR(P1583,0)-IFERROR(Q1583,0))</f>
        <v/>
      </c>
      <c r="S1583" s="5" t="n"/>
      <c r="T1583" s="5" t="n"/>
      <c r="U1583" s="11">
        <f>IF(B1583="","",TRIM(LOWER(C1583)&amp;"|"&amp;LOWER(D1583)))</f>
        <v/>
      </c>
    </row>
    <row r="1584">
      <c r="A1584" s="11">
        <f>IF(B1584="","",TEXT(ROW()-3,"""DC-""0000"))</f>
        <v/>
      </c>
      <c r="B1584" s="5" t="n"/>
      <c r="C1584" s="5" t="n"/>
      <c r="D1584" s="5" t="n"/>
      <c r="E1584" s="5" t="n"/>
      <c r="F1584" s="5" t="n"/>
      <c r="G1584" s="5" t="n"/>
      <c r="H1584" s="8" t="n"/>
      <c r="I1584" s="8" t="n"/>
      <c r="J1584" s="8" t="n"/>
      <c r="K1584" s="11">
        <f>IF(B1584="","",MAX(0,IFERROR(I1584,0)*IFERROR(H1584,0)-IFERROR(J1584,0)))</f>
        <v/>
      </c>
      <c r="L1584" s="8" t="n"/>
      <c r="M1584" s="11">
        <f>IF(B1584="","",MAX(0,K1584-L1584))</f>
        <v/>
      </c>
      <c r="N1584" s="11">
        <f>IF(B1584="","",IF(L1584&gt;=K1584,"Paid",IF(L1584&gt;0,"Partial","Unpaid")))</f>
        <v/>
      </c>
      <c r="O1584" s="5" t="n"/>
      <c r="P1584" s="8" t="n"/>
      <c r="Q1584" s="8" t="n"/>
      <c r="R1584" s="11">
        <f>IF(B1584="","",IFERROR(K1584,0)+IFERROR(P1584,0)-IFERROR(Q1584,0))</f>
        <v/>
      </c>
      <c r="S1584" s="5" t="n"/>
      <c r="T1584" s="5" t="n"/>
      <c r="U1584" s="11">
        <f>IF(B1584="","",TRIM(LOWER(C1584)&amp;"|"&amp;LOWER(D1584)))</f>
        <v/>
      </c>
    </row>
    <row r="1585">
      <c r="A1585" s="11">
        <f>IF(B1585="","",TEXT(ROW()-3,"""DC-""0000"))</f>
        <v/>
      </c>
      <c r="B1585" s="5" t="n"/>
      <c r="C1585" s="5" t="n"/>
      <c r="D1585" s="5" t="n"/>
      <c r="E1585" s="5" t="n"/>
      <c r="F1585" s="5" t="n"/>
      <c r="G1585" s="5" t="n"/>
      <c r="H1585" s="8" t="n"/>
      <c r="I1585" s="8" t="n"/>
      <c r="J1585" s="8" t="n"/>
      <c r="K1585" s="11">
        <f>IF(B1585="","",MAX(0,IFERROR(I1585,0)*IFERROR(H1585,0)-IFERROR(J1585,0)))</f>
        <v/>
      </c>
      <c r="L1585" s="8" t="n"/>
      <c r="M1585" s="11">
        <f>IF(B1585="","",MAX(0,K1585-L1585))</f>
        <v/>
      </c>
      <c r="N1585" s="11">
        <f>IF(B1585="","",IF(L1585&gt;=K1585,"Paid",IF(L1585&gt;0,"Partial","Unpaid")))</f>
        <v/>
      </c>
      <c r="O1585" s="5" t="n"/>
      <c r="P1585" s="8" t="n"/>
      <c r="Q1585" s="8" t="n"/>
      <c r="R1585" s="11">
        <f>IF(B1585="","",IFERROR(K1585,0)+IFERROR(P1585,0)-IFERROR(Q1585,0))</f>
        <v/>
      </c>
      <c r="S1585" s="5" t="n"/>
      <c r="T1585" s="5" t="n"/>
      <c r="U1585" s="11">
        <f>IF(B1585="","",TRIM(LOWER(C1585)&amp;"|"&amp;LOWER(D1585)))</f>
        <v/>
      </c>
    </row>
    <row r="1586">
      <c r="A1586" s="11">
        <f>IF(B1586="","",TEXT(ROW()-3,"""DC-""0000"))</f>
        <v/>
      </c>
      <c r="B1586" s="5" t="n"/>
      <c r="C1586" s="5" t="n"/>
      <c r="D1586" s="5" t="n"/>
      <c r="E1586" s="5" t="n"/>
      <c r="F1586" s="5" t="n"/>
      <c r="G1586" s="5" t="n"/>
      <c r="H1586" s="8" t="n"/>
      <c r="I1586" s="8" t="n"/>
      <c r="J1586" s="8" t="n"/>
      <c r="K1586" s="11">
        <f>IF(B1586="","",MAX(0,IFERROR(I1586,0)*IFERROR(H1586,0)-IFERROR(J1586,0)))</f>
        <v/>
      </c>
      <c r="L1586" s="8" t="n"/>
      <c r="M1586" s="11">
        <f>IF(B1586="","",MAX(0,K1586-L1586))</f>
        <v/>
      </c>
      <c r="N1586" s="11">
        <f>IF(B1586="","",IF(L1586&gt;=K1586,"Paid",IF(L1586&gt;0,"Partial","Unpaid")))</f>
        <v/>
      </c>
      <c r="O1586" s="5" t="n"/>
      <c r="P1586" s="8" t="n"/>
      <c r="Q1586" s="8" t="n"/>
      <c r="R1586" s="11">
        <f>IF(B1586="","",IFERROR(K1586,0)+IFERROR(P1586,0)-IFERROR(Q1586,0))</f>
        <v/>
      </c>
      <c r="S1586" s="5" t="n"/>
      <c r="T1586" s="5" t="n"/>
      <c r="U1586" s="11">
        <f>IF(B1586="","",TRIM(LOWER(C1586)&amp;"|"&amp;LOWER(D1586)))</f>
        <v/>
      </c>
    </row>
    <row r="1587">
      <c r="A1587" s="11">
        <f>IF(B1587="","",TEXT(ROW()-3,"""DC-""0000"))</f>
        <v/>
      </c>
      <c r="B1587" s="5" t="n"/>
      <c r="C1587" s="5" t="n"/>
      <c r="D1587" s="5" t="n"/>
      <c r="E1587" s="5" t="n"/>
      <c r="F1587" s="5" t="n"/>
      <c r="G1587" s="5" t="n"/>
      <c r="H1587" s="8" t="n"/>
      <c r="I1587" s="8" t="n"/>
      <c r="J1587" s="8" t="n"/>
      <c r="K1587" s="11">
        <f>IF(B1587="","",MAX(0,IFERROR(I1587,0)*IFERROR(H1587,0)-IFERROR(J1587,0)))</f>
        <v/>
      </c>
      <c r="L1587" s="8" t="n"/>
      <c r="M1587" s="11">
        <f>IF(B1587="","",MAX(0,K1587-L1587))</f>
        <v/>
      </c>
      <c r="N1587" s="11">
        <f>IF(B1587="","",IF(L1587&gt;=K1587,"Paid",IF(L1587&gt;0,"Partial","Unpaid")))</f>
        <v/>
      </c>
      <c r="O1587" s="5" t="n"/>
      <c r="P1587" s="8" t="n"/>
      <c r="Q1587" s="8" t="n"/>
      <c r="R1587" s="11">
        <f>IF(B1587="","",IFERROR(K1587,0)+IFERROR(P1587,0)-IFERROR(Q1587,0))</f>
        <v/>
      </c>
      <c r="S1587" s="5" t="n"/>
      <c r="T1587" s="5" t="n"/>
      <c r="U1587" s="11">
        <f>IF(B1587="","",TRIM(LOWER(C1587)&amp;"|"&amp;LOWER(D1587)))</f>
        <v/>
      </c>
    </row>
    <row r="1588">
      <c r="A1588" s="11">
        <f>IF(B1588="","",TEXT(ROW()-3,"""DC-""0000"))</f>
        <v/>
      </c>
      <c r="B1588" s="5" t="n"/>
      <c r="C1588" s="5" t="n"/>
      <c r="D1588" s="5" t="n"/>
      <c r="E1588" s="5" t="n"/>
      <c r="F1588" s="5" t="n"/>
      <c r="G1588" s="5" t="n"/>
      <c r="H1588" s="8" t="n"/>
      <c r="I1588" s="8" t="n"/>
      <c r="J1588" s="8" t="n"/>
      <c r="K1588" s="11">
        <f>IF(B1588="","",MAX(0,IFERROR(I1588,0)*IFERROR(H1588,0)-IFERROR(J1588,0)))</f>
        <v/>
      </c>
      <c r="L1588" s="8" t="n"/>
      <c r="M1588" s="11">
        <f>IF(B1588="","",MAX(0,K1588-L1588))</f>
        <v/>
      </c>
      <c r="N1588" s="11">
        <f>IF(B1588="","",IF(L1588&gt;=K1588,"Paid",IF(L1588&gt;0,"Partial","Unpaid")))</f>
        <v/>
      </c>
      <c r="O1588" s="5" t="n"/>
      <c r="P1588" s="8" t="n"/>
      <c r="Q1588" s="8" t="n"/>
      <c r="R1588" s="11">
        <f>IF(B1588="","",IFERROR(K1588,0)+IFERROR(P1588,0)-IFERROR(Q1588,0))</f>
        <v/>
      </c>
      <c r="S1588" s="5" t="n"/>
      <c r="T1588" s="5" t="n"/>
      <c r="U1588" s="11">
        <f>IF(B1588="","",TRIM(LOWER(C1588)&amp;"|"&amp;LOWER(D1588)))</f>
        <v/>
      </c>
    </row>
    <row r="1589">
      <c r="A1589" s="11">
        <f>IF(B1589="","",TEXT(ROW()-3,"""DC-""0000"))</f>
        <v/>
      </c>
      <c r="B1589" s="5" t="n"/>
      <c r="C1589" s="5" t="n"/>
      <c r="D1589" s="5" t="n"/>
      <c r="E1589" s="5" t="n"/>
      <c r="F1589" s="5" t="n"/>
      <c r="G1589" s="5" t="n"/>
      <c r="H1589" s="8" t="n"/>
      <c r="I1589" s="8" t="n"/>
      <c r="J1589" s="8" t="n"/>
      <c r="K1589" s="11">
        <f>IF(B1589="","",MAX(0,IFERROR(I1589,0)*IFERROR(H1589,0)-IFERROR(J1589,0)))</f>
        <v/>
      </c>
      <c r="L1589" s="8" t="n"/>
      <c r="M1589" s="11">
        <f>IF(B1589="","",MAX(0,K1589-L1589))</f>
        <v/>
      </c>
      <c r="N1589" s="11">
        <f>IF(B1589="","",IF(L1589&gt;=K1589,"Paid",IF(L1589&gt;0,"Partial","Unpaid")))</f>
        <v/>
      </c>
      <c r="O1589" s="5" t="n"/>
      <c r="P1589" s="8" t="n"/>
      <c r="Q1589" s="8" t="n"/>
      <c r="R1589" s="11">
        <f>IF(B1589="","",IFERROR(K1589,0)+IFERROR(P1589,0)-IFERROR(Q1589,0))</f>
        <v/>
      </c>
      <c r="S1589" s="5" t="n"/>
      <c r="T1589" s="5" t="n"/>
      <c r="U1589" s="11">
        <f>IF(B1589="","",TRIM(LOWER(C1589)&amp;"|"&amp;LOWER(D1589)))</f>
        <v/>
      </c>
    </row>
    <row r="1590">
      <c r="A1590" s="11">
        <f>IF(B1590="","",TEXT(ROW()-3,"""DC-""0000"))</f>
        <v/>
      </c>
      <c r="B1590" s="5" t="n"/>
      <c r="C1590" s="5" t="n"/>
      <c r="D1590" s="5" t="n"/>
      <c r="E1590" s="5" t="n"/>
      <c r="F1590" s="5" t="n"/>
      <c r="G1590" s="5" t="n"/>
      <c r="H1590" s="8" t="n"/>
      <c r="I1590" s="8" t="n"/>
      <c r="J1590" s="8" t="n"/>
      <c r="K1590" s="11">
        <f>IF(B1590="","",MAX(0,IFERROR(I1590,0)*IFERROR(H1590,0)-IFERROR(J1590,0)))</f>
        <v/>
      </c>
      <c r="L1590" s="8" t="n"/>
      <c r="M1590" s="11">
        <f>IF(B1590="","",MAX(0,K1590-L1590))</f>
        <v/>
      </c>
      <c r="N1590" s="11">
        <f>IF(B1590="","",IF(L1590&gt;=K1590,"Paid",IF(L1590&gt;0,"Partial","Unpaid")))</f>
        <v/>
      </c>
      <c r="O1590" s="5" t="n"/>
      <c r="P1590" s="8" t="n"/>
      <c r="Q1590" s="8" t="n"/>
      <c r="R1590" s="11">
        <f>IF(B1590="","",IFERROR(K1590,0)+IFERROR(P1590,0)-IFERROR(Q1590,0))</f>
        <v/>
      </c>
      <c r="S1590" s="5" t="n"/>
      <c r="T1590" s="5" t="n"/>
      <c r="U1590" s="11">
        <f>IF(B1590="","",TRIM(LOWER(C1590)&amp;"|"&amp;LOWER(D1590)))</f>
        <v/>
      </c>
    </row>
    <row r="1591">
      <c r="A1591" s="11">
        <f>IF(B1591="","",TEXT(ROW()-3,"""DC-""0000"))</f>
        <v/>
      </c>
      <c r="B1591" s="5" t="n"/>
      <c r="C1591" s="5" t="n"/>
      <c r="D1591" s="5" t="n"/>
      <c r="E1591" s="5" t="n"/>
      <c r="F1591" s="5" t="n"/>
      <c r="G1591" s="5" t="n"/>
      <c r="H1591" s="8" t="n"/>
      <c r="I1591" s="8" t="n"/>
      <c r="J1591" s="8" t="n"/>
      <c r="K1591" s="11">
        <f>IF(B1591="","",MAX(0,IFERROR(I1591,0)*IFERROR(H1591,0)-IFERROR(J1591,0)))</f>
        <v/>
      </c>
      <c r="L1591" s="8" t="n"/>
      <c r="M1591" s="11">
        <f>IF(B1591="","",MAX(0,K1591-L1591))</f>
        <v/>
      </c>
      <c r="N1591" s="11">
        <f>IF(B1591="","",IF(L1591&gt;=K1591,"Paid",IF(L1591&gt;0,"Partial","Unpaid")))</f>
        <v/>
      </c>
      <c r="O1591" s="5" t="n"/>
      <c r="P1591" s="8" t="n"/>
      <c r="Q1591" s="8" t="n"/>
      <c r="R1591" s="11">
        <f>IF(B1591="","",IFERROR(K1591,0)+IFERROR(P1591,0)-IFERROR(Q1591,0))</f>
        <v/>
      </c>
      <c r="S1591" s="5" t="n"/>
      <c r="T1591" s="5" t="n"/>
      <c r="U1591" s="11">
        <f>IF(B1591="","",TRIM(LOWER(C1591)&amp;"|"&amp;LOWER(D1591)))</f>
        <v/>
      </c>
    </row>
    <row r="1592">
      <c r="A1592" s="11">
        <f>IF(B1592="","",TEXT(ROW()-3,"""DC-""0000"))</f>
        <v/>
      </c>
      <c r="B1592" s="5" t="n"/>
      <c r="C1592" s="5" t="n"/>
      <c r="D1592" s="5" t="n"/>
      <c r="E1592" s="5" t="n"/>
      <c r="F1592" s="5" t="n"/>
      <c r="G1592" s="5" t="n"/>
      <c r="H1592" s="8" t="n"/>
      <c r="I1592" s="8" t="n"/>
      <c r="J1592" s="8" t="n"/>
      <c r="K1592" s="11">
        <f>IF(B1592="","",MAX(0,IFERROR(I1592,0)*IFERROR(H1592,0)-IFERROR(J1592,0)))</f>
        <v/>
      </c>
      <c r="L1592" s="8" t="n"/>
      <c r="M1592" s="11">
        <f>IF(B1592="","",MAX(0,K1592-L1592))</f>
        <v/>
      </c>
      <c r="N1592" s="11">
        <f>IF(B1592="","",IF(L1592&gt;=K1592,"Paid",IF(L1592&gt;0,"Partial","Unpaid")))</f>
        <v/>
      </c>
      <c r="O1592" s="5" t="n"/>
      <c r="P1592" s="8" t="n"/>
      <c r="Q1592" s="8" t="n"/>
      <c r="R1592" s="11">
        <f>IF(B1592="","",IFERROR(K1592,0)+IFERROR(P1592,0)-IFERROR(Q1592,0))</f>
        <v/>
      </c>
      <c r="S1592" s="5" t="n"/>
      <c r="T1592" s="5" t="n"/>
      <c r="U1592" s="11">
        <f>IF(B1592="","",TRIM(LOWER(C1592)&amp;"|"&amp;LOWER(D1592)))</f>
        <v/>
      </c>
    </row>
    <row r="1593">
      <c r="A1593" s="11">
        <f>IF(B1593="","",TEXT(ROW()-3,"""DC-""0000"))</f>
        <v/>
      </c>
      <c r="B1593" s="5" t="n"/>
      <c r="C1593" s="5" t="n"/>
      <c r="D1593" s="5" t="n"/>
      <c r="E1593" s="5" t="n"/>
      <c r="F1593" s="5" t="n"/>
      <c r="G1593" s="5" t="n"/>
      <c r="H1593" s="8" t="n"/>
      <c r="I1593" s="8" t="n"/>
      <c r="J1593" s="8" t="n"/>
      <c r="K1593" s="11">
        <f>IF(B1593="","",MAX(0,IFERROR(I1593,0)*IFERROR(H1593,0)-IFERROR(J1593,0)))</f>
        <v/>
      </c>
      <c r="L1593" s="8" t="n"/>
      <c r="M1593" s="11">
        <f>IF(B1593="","",MAX(0,K1593-L1593))</f>
        <v/>
      </c>
      <c r="N1593" s="11">
        <f>IF(B1593="","",IF(L1593&gt;=K1593,"Paid",IF(L1593&gt;0,"Partial","Unpaid")))</f>
        <v/>
      </c>
      <c r="O1593" s="5" t="n"/>
      <c r="P1593" s="8" t="n"/>
      <c r="Q1593" s="8" t="n"/>
      <c r="R1593" s="11">
        <f>IF(B1593="","",IFERROR(K1593,0)+IFERROR(P1593,0)-IFERROR(Q1593,0))</f>
        <v/>
      </c>
      <c r="S1593" s="5" t="n"/>
      <c r="T1593" s="5" t="n"/>
      <c r="U1593" s="11">
        <f>IF(B1593="","",TRIM(LOWER(C1593)&amp;"|"&amp;LOWER(D1593)))</f>
        <v/>
      </c>
    </row>
    <row r="1594">
      <c r="A1594" s="11">
        <f>IF(B1594="","",TEXT(ROW()-3,"""DC-""0000"))</f>
        <v/>
      </c>
      <c r="B1594" s="5" t="n"/>
      <c r="C1594" s="5" t="n"/>
      <c r="D1594" s="5" t="n"/>
      <c r="E1594" s="5" t="n"/>
      <c r="F1594" s="5" t="n"/>
      <c r="G1594" s="5" t="n"/>
      <c r="H1594" s="8" t="n"/>
      <c r="I1594" s="8" t="n"/>
      <c r="J1594" s="8" t="n"/>
      <c r="K1594" s="11">
        <f>IF(B1594="","",MAX(0,IFERROR(I1594,0)*IFERROR(H1594,0)-IFERROR(J1594,0)))</f>
        <v/>
      </c>
      <c r="L1594" s="8" t="n"/>
      <c r="M1594" s="11">
        <f>IF(B1594="","",MAX(0,K1594-L1594))</f>
        <v/>
      </c>
      <c r="N1594" s="11">
        <f>IF(B1594="","",IF(L1594&gt;=K1594,"Paid",IF(L1594&gt;0,"Partial","Unpaid")))</f>
        <v/>
      </c>
      <c r="O1594" s="5" t="n"/>
      <c r="P1594" s="8" t="n"/>
      <c r="Q1594" s="8" t="n"/>
      <c r="R1594" s="11">
        <f>IF(B1594="","",IFERROR(K1594,0)+IFERROR(P1594,0)-IFERROR(Q1594,0))</f>
        <v/>
      </c>
      <c r="S1594" s="5" t="n"/>
      <c r="T1594" s="5" t="n"/>
      <c r="U1594" s="11">
        <f>IF(B1594="","",TRIM(LOWER(C1594)&amp;"|"&amp;LOWER(D1594)))</f>
        <v/>
      </c>
    </row>
    <row r="1595">
      <c r="A1595" s="11">
        <f>IF(B1595="","",TEXT(ROW()-3,"""DC-""0000"))</f>
        <v/>
      </c>
      <c r="B1595" s="5" t="n"/>
      <c r="C1595" s="5" t="n"/>
      <c r="D1595" s="5" t="n"/>
      <c r="E1595" s="5" t="n"/>
      <c r="F1595" s="5" t="n"/>
      <c r="G1595" s="5" t="n"/>
      <c r="H1595" s="8" t="n"/>
      <c r="I1595" s="8" t="n"/>
      <c r="J1595" s="8" t="n"/>
      <c r="K1595" s="11">
        <f>IF(B1595="","",MAX(0,IFERROR(I1595,0)*IFERROR(H1595,0)-IFERROR(J1595,0)))</f>
        <v/>
      </c>
      <c r="L1595" s="8" t="n"/>
      <c r="M1595" s="11">
        <f>IF(B1595="","",MAX(0,K1595-L1595))</f>
        <v/>
      </c>
      <c r="N1595" s="11">
        <f>IF(B1595="","",IF(L1595&gt;=K1595,"Paid",IF(L1595&gt;0,"Partial","Unpaid")))</f>
        <v/>
      </c>
      <c r="O1595" s="5" t="n"/>
      <c r="P1595" s="8" t="n"/>
      <c r="Q1595" s="8" t="n"/>
      <c r="R1595" s="11">
        <f>IF(B1595="","",IFERROR(K1595,0)+IFERROR(P1595,0)-IFERROR(Q1595,0))</f>
        <v/>
      </c>
      <c r="S1595" s="5" t="n"/>
      <c r="T1595" s="5" t="n"/>
      <c r="U1595" s="11">
        <f>IF(B1595="","",TRIM(LOWER(C1595)&amp;"|"&amp;LOWER(D1595)))</f>
        <v/>
      </c>
    </row>
    <row r="1596">
      <c r="A1596" s="11">
        <f>IF(B1596="","",TEXT(ROW()-3,"""DC-""0000"))</f>
        <v/>
      </c>
      <c r="B1596" s="5" t="n"/>
      <c r="C1596" s="5" t="n"/>
      <c r="D1596" s="5" t="n"/>
      <c r="E1596" s="5" t="n"/>
      <c r="F1596" s="5" t="n"/>
      <c r="G1596" s="5" t="n"/>
      <c r="H1596" s="8" t="n"/>
      <c r="I1596" s="8" t="n"/>
      <c r="J1596" s="8" t="n"/>
      <c r="K1596" s="11">
        <f>IF(B1596="","",MAX(0,IFERROR(I1596,0)*IFERROR(H1596,0)-IFERROR(J1596,0)))</f>
        <v/>
      </c>
      <c r="L1596" s="8" t="n"/>
      <c r="M1596" s="11">
        <f>IF(B1596="","",MAX(0,K1596-L1596))</f>
        <v/>
      </c>
      <c r="N1596" s="11">
        <f>IF(B1596="","",IF(L1596&gt;=K1596,"Paid",IF(L1596&gt;0,"Partial","Unpaid")))</f>
        <v/>
      </c>
      <c r="O1596" s="5" t="n"/>
      <c r="P1596" s="8" t="n"/>
      <c r="Q1596" s="8" t="n"/>
      <c r="R1596" s="11">
        <f>IF(B1596="","",IFERROR(K1596,0)+IFERROR(P1596,0)-IFERROR(Q1596,0))</f>
        <v/>
      </c>
      <c r="S1596" s="5" t="n"/>
      <c r="T1596" s="5" t="n"/>
      <c r="U1596" s="11">
        <f>IF(B1596="","",TRIM(LOWER(C1596)&amp;"|"&amp;LOWER(D1596)))</f>
        <v/>
      </c>
    </row>
    <row r="1597">
      <c r="A1597" s="11">
        <f>IF(B1597="","",TEXT(ROW()-3,"""DC-""0000"))</f>
        <v/>
      </c>
      <c r="B1597" s="5" t="n"/>
      <c r="C1597" s="5" t="n"/>
      <c r="D1597" s="5" t="n"/>
      <c r="E1597" s="5" t="n"/>
      <c r="F1597" s="5" t="n"/>
      <c r="G1597" s="5" t="n"/>
      <c r="H1597" s="8" t="n"/>
      <c r="I1597" s="8" t="n"/>
      <c r="J1597" s="8" t="n"/>
      <c r="K1597" s="11">
        <f>IF(B1597="","",MAX(0,IFERROR(I1597,0)*IFERROR(H1597,0)-IFERROR(J1597,0)))</f>
        <v/>
      </c>
      <c r="L1597" s="8" t="n"/>
      <c r="M1597" s="11">
        <f>IF(B1597="","",MAX(0,K1597-L1597))</f>
        <v/>
      </c>
      <c r="N1597" s="11">
        <f>IF(B1597="","",IF(L1597&gt;=K1597,"Paid",IF(L1597&gt;0,"Partial","Unpaid")))</f>
        <v/>
      </c>
      <c r="O1597" s="5" t="n"/>
      <c r="P1597" s="8" t="n"/>
      <c r="Q1597" s="8" t="n"/>
      <c r="R1597" s="11">
        <f>IF(B1597="","",IFERROR(K1597,0)+IFERROR(P1597,0)-IFERROR(Q1597,0))</f>
        <v/>
      </c>
      <c r="S1597" s="5" t="n"/>
      <c r="T1597" s="5" t="n"/>
      <c r="U1597" s="11">
        <f>IF(B1597="","",TRIM(LOWER(C1597)&amp;"|"&amp;LOWER(D1597)))</f>
        <v/>
      </c>
    </row>
    <row r="1598">
      <c r="A1598" s="11">
        <f>IF(B1598="","",TEXT(ROW()-3,"""DC-""0000"))</f>
        <v/>
      </c>
      <c r="B1598" s="5" t="n"/>
      <c r="C1598" s="5" t="n"/>
      <c r="D1598" s="5" t="n"/>
      <c r="E1598" s="5" t="n"/>
      <c r="F1598" s="5" t="n"/>
      <c r="G1598" s="5" t="n"/>
      <c r="H1598" s="8" t="n"/>
      <c r="I1598" s="8" t="n"/>
      <c r="J1598" s="8" t="n"/>
      <c r="K1598" s="11">
        <f>IF(B1598="","",MAX(0,IFERROR(I1598,0)*IFERROR(H1598,0)-IFERROR(J1598,0)))</f>
        <v/>
      </c>
      <c r="L1598" s="8" t="n"/>
      <c r="M1598" s="11">
        <f>IF(B1598="","",MAX(0,K1598-L1598))</f>
        <v/>
      </c>
      <c r="N1598" s="11">
        <f>IF(B1598="","",IF(L1598&gt;=K1598,"Paid",IF(L1598&gt;0,"Partial","Unpaid")))</f>
        <v/>
      </c>
      <c r="O1598" s="5" t="n"/>
      <c r="P1598" s="8" t="n"/>
      <c r="Q1598" s="8" t="n"/>
      <c r="R1598" s="11">
        <f>IF(B1598="","",IFERROR(K1598,0)+IFERROR(P1598,0)-IFERROR(Q1598,0))</f>
        <v/>
      </c>
      <c r="S1598" s="5" t="n"/>
      <c r="T1598" s="5" t="n"/>
      <c r="U1598" s="11">
        <f>IF(B1598="","",TRIM(LOWER(C1598)&amp;"|"&amp;LOWER(D1598)))</f>
        <v/>
      </c>
    </row>
    <row r="1599">
      <c r="A1599" s="11">
        <f>IF(B1599="","",TEXT(ROW()-3,"""DC-""0000"))</f>
        <v/>
      </c>
      <c r="B1599" s="5" t="n"/>
      <c r="C1599" s="5" t="n"/>
      <c r="D1599" s="5" t="n"/>
      <c r="E1599" s="5" t="n"/>
      <c r="F1599" s="5" t="n"/>
      <c r="G1599" s="5" t="n"/>
      <c r="H1599" s="8" t="n"/>
      <c r="I1599" s="8" t="n"/>
      <c r="J1599" s="8" t="n"/>
      <c r="K1599" s="11">
        <f>IF(B1599="","",MAX(0,IFERROR(I1599,0)*IFERROR(H1599,0)-IFERROR(J1599,0)))</f>
        <v/>
      </c>
      <c r="L1599" s="8" t="n"/>
      <c r="M1599" s="11">
        <f>IF(B1599="","",MAX(0,K1599-L1599))</f>
        <v/>
      </c>
      <c r="N1599" s="11">
        <f>IF(B1599="","",IF(L1599&gt;=K1599,"Paid",IF(L1599&gt;0,"Partial","Unpaid")))</f>
        <v/>
      </c>
      <c r="O1599" s="5" t="n"/>
      <c r="P1599" s="8" t="n"/>
      <c r="Q1599" s="8" t="n"/>
      <c r="R1599" s="11">
        <f>IF(B1599="","",IFERROR(K1599,0)+IFERROR(P1599,0)-IFERROR(Q1599,0))</f>
        <v/>
      </c>
      <c r="S1599" s="5" t="n"/>
      <c r="T1599" s="5" t="n"/>
      <c r="U1599" s="11">
        <f>IF(B1599="","",TRIM(LOWER(C1599)&amp;"|"&amp;LOWER(D1599)))</f>
        <v/>
      </c>
    </row>
    <row r="1600">
      <c r="A1600" s="11">
        <f>IF(B1600="","",TEXT(ROW()-3,"""DC-""0000"))</f>
        <v/>
      </c>
      <c r="B1600" s="5" t="n"/>
      <c r="C1600" s="5" t="n"/>
      <c r="D1600" s="5" t="n"/>
      <c r="E1600" s="5" t="n"/>
      <c r="F1600" s="5" t="n"/>
      <c r="G1600" s="5" t="n"/>
      <c r="H1600" s="8" t="n"/>
      <c r="I1600" s="8" t="n"/>
      <c r="J1600" s="8" t="n"/>
      <c r="K1600" s="11">
        <f>IF(B1600="","",MAX(0,IFERROR(I1600,0)*IFERROR(H1600,0)-IFERROR(J1600,0)))</f>
        <v/>
      </c>
      <c r="L1600" s="8" t="n"/>
      <c r="M1600" s="11">
        <f>IF(B1600="","",MAX(0,K1600-L1600))</f>
        <v/>
      </c>
      <c r="N1600" s="11">
        <f>IF(B1600="","",IF(L1600&gt;=K1600,"Paid",IF(L1600&gt;0,"Partial","Unpaid")))</f>
        <v/>
      </c>
      <c r="O1600" s="5" t="n"/>
      <c r="P1600" s="8" t="n"/>
      <c r="Q1600" s="8" t="n"/>
      <c r="R1600" s="11">
        <f>IF(B1600="","",IFERROR(K1600,0)+IFERROR(P1600,0)-IFERROR(Q1600,0))</f>
        <v/>
      </c>
      <c r="S1600" s="5" t="n"/>
      <c r="T1600" s="5" t="n"/>
      <c r="U1600" s="11">
        <f>IF(B1600="","",TRIM(LOWER(C1600)&amp;"|"&amp;LOWER(D1600)))</f>
        <v/>
      </c>
    </row>
    <row r="1601">
      <c r="A1601" s="11">
        <f>IF(B1601="","",TEXT(ROW()-3,"""DC-""0000"))</f>
        <v/>
      </c>
      <c r="B1601" s="5" t="n"/>
      <c r="C1601" s="5" t="n"/>
      <c r="D1601" s="5" t="n"/>
      <c r="E1601" s="5" t="n"/>
      <c r="F1601" s="5" t="n"/>
      <c r="G1601" s="5" t="n"/>
      <c r="H1601" s="8" t="n"/>
      <c r="I1601" s="8" t="n"/>
      <c r="J1601" s="8" t="n"/>
      <c r="K1601" s="11">
        <f>IF(B1601="","",MAX(0,IFERROR(I1601,0)*IFERROR(H1601,0)-IFERROR(J1601,0)))</f>
        <v/>
      </c>
      <c r="L1601" s="8" t="n"/>
      <c r="M1601" s="11">
        <f>IF(B1601="","",MAX(0,K1601-L1601))</f>
        <v/>
      </c>
      <c r="N1601" s="11">
        <f>IF(B1601="","",IF(L1601&gt;=K1601,"Paid",IF(L1601&gt;0,"Partial","Unpaid")))</f>
        <v/>
      </c>
      <c r="O1601" s="5" t="n"/>
      <c r="P1601" s="8" t="n"/>
      <c r="Q1601" s="8" t="n"/>
      <c r="R1601" s="11">
        <f>IF(B1601="","",IFERROR(K1601,0)+IFERROR(P1601,0)-IFERROR(Q1601,0))</f>
        <v/>
      </c>
      <c r="S1601" s="5" t="n"/>
      <c r="T1601" s="5" t="n"/>
      <c r="U1601" s="11">
        <f>IF(B1601="","",TRIM(LOWER(C1601)&amp;"|"&amp;LOWER(D1601)))</f>
        <v/>
      </c>
    </row>
    <row r="1602">
      <c r="A1602" s="11">
        <f>IF(B1602="","",TEXT(ROW()-3,"""DC-""0000"))</f>
        <v/>
      </c>
      <c r="B1602" s="5" t="n"/>
      <c r="C1602" s="5" t="n"/>
      <c r="D1602" s="5" t="n"/>
      <c r="E1602" s="5" t="n"/>
      <c r="F1602" s="5" t="n"/>
      <c r="G1602" s="5" t="n"/>
      <c r="H1602" s="8" t="n"/>
      <c r="I1602" s="8" t="n"/>
      <c r="J1602" s="8" t="n"/>
      <c r="K1602" s="11">
        <f>IF(B1602="","",MAX(0,IFERROR(I1602,0)*IFERROR(H1602,0)-IFERROR(J1602,0)))</f>
        <v/>
      </c>
      <c r="L1602" s="8" t="n"/>
      <c r="M1602" s="11">
        <f>IF(B1602="","",MAX(0,K1602-L1602))</f>
        <v/>
      </c>
      <c r="N1602" s="11">
        <f>IF(B1602="","",IF(L1602&gt;=K1602,"Paid",IF(L1602&gt;0,"Partial","Unpaid")))</f>
        <v/>
      </c>
      <c r="O1602" s="5" t="n"/>
      <c r="P1602" s="8" t="n"/>
      <c r="Q1602" s="8" t="n"/>
      <c r="R1602" s="11">
        <f>IF(B1602="","",IFERROR(K1602,0)+IFERROR(P1602,0)-IFERROR(Q1602,0))</f>
        <v/>
      </c>
      <c r="S1602" s="5" t="n"/>
      <c r="T1602" s="5" t="n"/>
      <c r="U1602" s="11">
        <f>IF(B1602="","",TRIM(LOWER(C1602)&amp;"|"&amp;LOWER(D1602)))</f>
        <v/>
      </c>
    </row>
    <row r="1603">
      <c r="A1603" s="11">
        <f>IF(B1603="","",TEXT(ROW()-3,"""DC-""0000"))</f>
        <v/>
      </c>
      <c r="B1603" s="5" t="n"/>
      <c r="C1603" s="5" t="n"/>
      <c r="D1603" s="5" t="n"/>
      <c r="E1603" s="5" t="n"/>
      <c r="F1603" s="5" t="n"/>
      <c r="G1603" s="5" t="n"/>
      <c r="H1603" s="8" t="n"/>
      <c r="I1603" s="8" t="n"/>
      <c r="J1603" s="8" t="n"/>
      <c r="K1603" s="11">
        <f>IF(B1603="","",MAX(0,IFERROR(I1603,0)*IFERROR(H1603,0)-IFERROR(J1603,0)))</f>
        <v/>
      </c>
      <c r="L1603" s="8" t="n"/>
      <c r="M1603" s="11">
        <f>IF(B1603="","",MAX(0,K1603-L1603))</f>
        <v/>
      </c>
      <c r="N1603" s="11">
        <f>IF(B1603="","",IF(L1603&gt;=K1603,"Paid",IF(L1603&gt;0,"Partial","Unpaid")))</f>
        <v/>
      </c>
      <c r="O1603" s="5" t="n"/>
      <c r="P1603" s="8" t="n"/>
      <c r="Q1603" s="8" t="n"/>
      <c r="R1603" s="11">
        <f>IF(B1603="","",IFERROR(K1603,0)+IFERROR(P1603,0)-IFERROR(Q1603,0))</f>
        <v/>
      </c>
      <c r="S1603" s="5" t="n"/>
      <c r="T1603" s="5" t="n"/>
      <c r="U1603" s="11">
        <f>IF(B1603="","",TRIM(LOWER(C1603)&amp;"|"&amp;LOWER(D1603)))</f>
        <v/>
      </c>
    </row>
    <row r="1604">
      <c r="A1604" s="11">
        <f>IF(B1604="","",TEXT(ROW()-3,"""DC-""0000"))</f>
        <v/>
      </c>
      <c r="B1604" s="5" t="n"/>
      <c r="C1604" s="5" t="n"/>
      <c r="D1604" s="5" t="n"/>
      <c r="E1604" s="5" t="n"/>
      <c r="F1604" s="5" t="n"/>
      <c r="G1604" s="5" t="n"/>
      <c r="H1604" s="8" t="n"/>
      <c r="I1604" s="8" t="n"/>
      <c r="J1604" s="8" t="n"/>
      <c r="K1604" s="11">
        <f>IF(B1604="","",MAX(0,IFERROR(I1604,0)*IFERROR(H1604,0)-IFERROR(J1604,0)))</f>
        <v/>
      </c>
      <c r="L1604" s="8" t="n"/>
      <c r="M1604" s="11">
        <f>IF(B1604="","",MAX(0,K1604-L1604))</f>
        <v/>
      </c>
      <c r="N1604" s="11">
        <f>IF(B1604="","",IF(L1604&gt;=K1604,"Paid",IF(L1604&gt;0,"Partial","Unpaid")))</f>
        <v/>
      </c>
      <c r="O1604" s="5" t="n"/>
      <c r="P1604" s="8" t="n"/>
      <c r="Q1604" s="8" t="n"/>
      <c r="R1604" s="11">
        <f>IF(B1604="","",IFERROR(K1604,0)+IFERROR(P1604,0)-IFERROR(Q1604,0))</f>
        <v/>
      </c>
      <c r="S1604" s="5" t="n"/>
      <c r="T1604" s="5" t="n"/>
      <c r="U1604" s="11">
        <f>IF(B1604="","",TRIM(LOWER(C1604)&amp;"|"&amp;LOWER(D1604)))</f>
        <v/>
      </c>
    </row>
    <row r="1605">
      <c r="A1605" s="11">
        <f>IF(B1605="","",TEXT(ROW()-3,"""DC-""0000"))</f>
        <v/>
      </c>
      <c r="B1605" s="5" t="n"/>
      <c r="C1605" s="5" t="n"/>
      <c r="D1605" s="5" t="n"/>
      <c r="E1605" s="5" t="n"/>
      <c r="F1605" s="5" t="n"/>
      <c r="G1605" s="5" t="n"/>
      <c r="H1605" s="8" t="n"/>
      <c r="I1605" s="8" t="n"/>
      <c r="J1605" s="8" t="n"/>
      <c r="K1605" s="11">
        <f>IF(B1605="","",MAX(0,IFERROR(I1605,0)*IFERROR(H1605,0)-IFERROR(J1605,0)))</f>
        <v/>
      </c>
      <c r="L1605" s="8" t="n"/>
      <c r="M1605" s="11">
        <f>IF(B1605="","",MAX(0,K1605-L1605))</f>
        <v/>
      </c>
      <c r="N1605" s="11">
        <f>IF(B1605="","",IF(L1605&gt;=K1605,"Paid",IF(L1605&gt;0,"Partial","Unpaid")))</f>
        <v/>
      </c>
      <c r="O1605" s="5" t="n"/>
      <c r="P1605" s="8" t="n"/>
      <c r="Q1605" s="8" t="n"/>
      <c r="R1605" s="11">
        <f>IF(B1605="","",IFERROR(K1605,0)+IFERROR(P1605,0)-IFERROR(Q1605,0))</f>
        <v/>
      </c>
      <c r="S1605" s="5" t="n"/>
      <c r="T1605" s="5" t="n"/>
      <c r="U1605" s="11">
        <f>IF(B1605="","",TRIM(LOWER(C1605)&amp;"|"&amp;LOWER(D1605)))</f>
        <v/>
      </c>
    </row>
    <row r="1606">
      <c r="A1606" s="11">
        <f>IF(B1606="","",TEXT(ROW()-3,"""DC-""0000"))</f>
        <v/>
      </c>
      <c r="B1606" s="5" t="n"/>
      <c r="C1606" s="5" t="n"/>
      <c r="D1606" s="5" t="n"/>
      <c r="E1606" s="5" t="n"/>
      <c r="F1606" s="5" t="n"/>
      <c r="G1606" s="5" t="n"/>
      <c r="H1606" s="8" t="n"/>
      <c r="I1606" s="8" t="n"/>
      <c r="J1606" s="8" t="n"/>
      <c r="K1606" s="11">
        <f>IF(B1606="","",MAX(0,IFERROR(I1606,0)*IFERROR(H1606,0)-IFERROR(J1606,0)))</f>
        <v/>
      </c>
      <c r="L1606" s="8" t="n"/>
      <c r="M1606" s="11">
        <f>IF(B1606="","",MAX(0,K1606-L1606))</f>
        <v/>
      </c>
      <c r="N1606" s="11">
        <f>IF(B1606="","",IF(L1606&gt;=K1606,"Paid",IF(L1606&gt;0,"Partial","Unpaid")))</f>
        <v/>
      </c>
      <c r="O1606" s="5" t="n"/>
      <c r="P1606" s="8" t="n"/>
      <c r="Q1606" s="8" t="n"/>
      <c r="R1606" s="11">
        <f>IF(B1606="","",IFERROR(K1606,0)+IFERROR(P1606,0)-IFERROR(Q1606,0))</f>
        <v/>
      </c>
      <c r="S1606" s="5" t="n"/>
      <c r="T1606" s="5" t="n"/>
      <c r="U1606" s="11">
        <f>IF(B1606="","",TRIM(LOWER(C1606)&amp;"|"&amp;LOWER(D1606)))</f>
        <v/>
      </c>
    </row>
    <row r="1607">
      <c r="A1607" s="11">
        <f>IF(B1607="","",TEXT(ROW()-3,"""DC-""0000"))</f>
        <v/>
      </c>
      <c r="B1607" s="5" t="n"/>
      <c r="C1607" s="5" t="n"/>
      <c r="D1607" s="5" t="n"/>
      <c r="E1607" s="5" t="n"/>
      <c r="F1607" s="5" t="n"/>
      <c r="G1607" s="5" t="n"/>
      <c r="H1607" s="8" t="n"/>
      <c r="I1607" s="8" t="n"/>
      <c r="J1607" s="8" t="n"/>
      <c r="K1607" s="11">
        <f>IF(B1607="","",MAX(0,IFERROR(I1607,0)*IFERROR(H1607,0)-IFERROR(J1607,0)))</f>
        <v/>
      </c>
      <c r="L1607" s="8" t="n"/>
      <c r="M1607" s="11">
        <f>IF(B1607="","",MAX(0,K1607-L1607))</f>
        <v/>
      </c>
      <c r="N1607" s="11">
        <f>IF(B1607="","",IF(L1607&gt;=K1607,"Paid",IF(L1607&gt;0,"Partial","Unpaid")))</f>
        <v/>
      </c>
      <c r="O1607" s="5" t="n"/>
      <c r="P1607" s="8" t="n"/>
      <c r="Q1607" s="8" t="n"/>
      <c r="R1607" s="11">
        <f>IF(B1607="","",IFERROR(K1607,0)+IFERROR(P1607,0)-IFERROR(Q1607,0))</f>
        <v/>
      </c>
      <c r="S1607" s="5" t="n"/>
      <c r="T1607" s="5" t="n"/>
      <c r="U1607" s="11">
        <f>IF(B1607="","",TRIM(LOWER(C1607)&amp;"|"&amp;LOWER(D1607)))</f>
        <v/>
      </c>
    </row>
    <row r="1608">
      <c r="A1608" s="11">
        <f>IF(B1608="","",TEXT(ROW()-3,"""DC-""0000"))</f>
        <v/>
      </c>
      <c r="B1608" s="5" t="n"/>
      <c r="C1608" s="5" t="n"/>
      <c r="D1608" s="5" t="n"/>
      <c r="E1608" s="5" t="n"/>
      <c r="F1608" s="5" t="n"/>
      <c r="G1608" s="5" t="n"/>
      <c r="H1608" s="8" t="n"/>
      <c r="I1608" s="8" t="n"/>
      <c r="J1608" s="8" t="n"/>
      <c r="K1608" s="11">
        <f>IF(B1608="","",MAX(0,IFERROR(I1608,0)*IFERROR(H1608,0)-IFERROR(J1608,0)))</f>
        <v/>
      </c>
      <c r="L1608" s="8" t="n"/>
      <c r="M1608" s="11">
        <f>IF(B1608="","",MAX(0,K1608-L1608))</f>
        <v/>
      </c>
      <c r="N1608" s="11">
        <f>IF(B1608="","",IF(L1608&gt;=K1608,"Paid",IF(L1608&gt;0,"Partial","Unpaid")))</f>
        <v/>
      </c>
      <c r="O1608" s="5" t="n"/>
      <c r="P1608" s="8" t="n"/>
      <c r="Q1608" s="8" t="n"/>
      <c r="R1608" s="11">
        <f>IF(B1608="","",IFERROR(K1608,0)+IFERROR(P1608,0)-IFERROR(Q1608,0))</f>
        <v/>
      </c>
      <c r="S1608" s="5" t="n"/>
      <c r="T1608" s="5" t="n"/>
      <c r="U1608" s="11">
        <f>IF(B1608="","",TRIM(LOWER(C1608)&amp;"|"&amp;LOWER(D1608)))</f>
        <v/>
      </c>
    </row>
    <row r="1609">
      <c r="A1609" s="11">
        <f>IF(B1609="","",TEXT(ROW()-3,"""DC-""0000"))</f>
        <v/>
      </c>
      <c r="B1609" s="5" t="n"/>
      <c r="C1609" s="5" t="n"/>
      <c r="D1609" s="5" t="n"/>
      <c r="E1609" s="5" t="n"/>
      <c r="F1609" s="5" t="n"/>
      <c r="G1609" s="5" t="n"/>
      <c r="H1609" s="8" t="n"/>
      <c r="I1609" s="8" t="n"/>
      <c r="J1609" s="8" t="n"/>
      <c r="K1609" s="11">
        <f>IF(B1609="","",MAX(0,IFERROR(I1609,0)*IFERROR(H1609,0)-IFERROR(J1609,0)))</f>
        <v/>
      </c>
      <c r="L1609" s="8" t="n"/>
      <c r="M1609" s="11">
        <f>IF(B1609="","",MAX(0,K1609-L1609))</f>
        <v/>
      </c>
      <c r="N1609" s="11">
        <f>IF(B1609="","",IF(L1609&gt;=K1609,"Paid",IF(L1609&gt;0,"Partial","Unpaid")))</f>
        <v/>
      </c>
      <c r="O1609" s="5" t="n"/>
      <c r="P1609" s="8" t="n"/>
      <c r="Q1609" s="8" t="n"/>
      <c r="R1609" s="11">
        <f>IF(B1609="","",IFERROR(K1609,0)+IFERROR(P1609,0)-IFERROR(Q1609,0))</f>
        <v/>
      </c>
      <c r="S1609" s="5" t="n"/>
      <c r="T1609" s="5" t="n"/>
      <c r="U1609" s="11">
        <f>IF(B1609="","",TRIM(LOWER(C1609)&amp;"|"&amp;LOWER(D1609)))</f>
        <v/>
      </c>
    </row>
    <row r="1610">
      <c r="A1610" s="11">
        <f>IF(B1610="","",TEXT(ROW()-3,"""DC-""0000"))</f>
        <v/>
      </c>
      <c r="B1610" s="5" t="n"/>
      <c r="C1610" s="5" t="n"/>
      <c r="D1610" s="5" t="n"/>
      <c r="E1610" s="5" t="n"/>
      <c r="F1610" s="5" t="n"/>
      <c r="G1610" s="5" t="n"/>
      <c r="H1610" s="8" t="n"/>
      <c r="I1610" s="8" t="n"/>
      <c r="J1610" s="8" t="n"/>
      <c r="K1610" s="11">
        <f>IF(B1610="","",MAX(0,IFERROR(I1610,0)*IFERROR(H1610,0)-IFERROR(J1610,0)))</f>
        <v/>
      </c>
      <c r="L1610" s="8" t="n"/>
      <c r="M1610" s="11">
        <f>IF(B1610="","",MAX(0,K1610-L1610))</f>
        <v/>
      </c>
      <c r="N1610" s="11">
        <f>IF(B1610="","",IF(L1610&gt;=K1610,"Paid",IF(L1610&gt;0,"Partial","Unpaid")))</f>
        <v/>
      </c>
      <c r="O1610" s="5" t="n"/>
      <c r="P1610" s="8" t="n"/>
      <c r="Q1610" s="8" t="n"/>
      <c r="R1610" s="11">
        <f>IF(B1610="","",IFERROR(K1610,0)+IFERROR(P1610,0)-IFERROR(Q1610,0))</f>
        <v/>
      </c>
      <c r="S1610" s="5" t="n"/>
      <c r="T1610" s="5" t="n"/>
      <c r="U1610" s="11">
        <f>IF(B1610="","",TRIM(LOWER(C1610)&amp;"|"&amp;LOWER(D1610)))</f>
        <v/>
      </c>
    </row>
    <row r="1611">
      <c r="A1611" s="11">
        <f>IF(B1611="","",TEXT(ROW()-3,"""DC-""0000"))</f>
        <v/>
      </c>
      <c r="B1611" s="5" t="n"/>
      <c r="C1611" s="5" t="n"/>
      <c r="D1611" s="5" t="n"/>
      <c r="E1611" s="5" t="n"/>
      <c r="F1611" s="5" t="n"/>
      <c r="G1611" s="5" t="n"/>
      <c r="H1611" s="8" t="n"/>
      <c r="I1611" s="8" t="n"/>
      <c r="J1611" s="8" t="n"/>
      <c r="K1611" s="11">
        <f>IF(B1611="","",MAX(0,IFERROR(I1611,0)*IFERROR(H1611,0)-IFERROR(J1611,0)))</f>
        <v/>
      </c>
      <c r="L1611" s="8" t="n"/>
      <c r="M1611" s="11">
        <f>IF(B1611="","",MAX(0,K1611-L1611))</f>
        <v/>
      </c>
      <c r="N1611" s="11">
        <f>IF(B1611="","",IF(L1611&gt;=K1611,"Paid",IF(L1611&gt;0,"Partial","Unpaid")))</f>
        <v/>
      </c>
      <c r="O1611" s="5" t="n"/>
      <c r="P1611" s="8" t="n"/>
      <c r="Q1611" s="8" t="n"/>
      <c r="R1611" s="11">
        <f>IF(B1611="","",IFERROR(K1611,0)+IFERROR(P1611,0)-IFERROR(Q1611,0))</f>
        <v/>
      </c>
      <c r="S1611" s="5" t="n"/>
      <c r="T1611" s="5" t="n"/>
      <c r="U1611" s="11">
        <f>IF(B1611="","",TRIM(LOWER(C1611)&amp;"|"&amp;LOWER(D1611)))</f>
        <v/>
      </c>
    </row>
    <row r="1612">
      <c r="A1612" s="11">
        <f>IF(B1612="","",TEXT(ROW()-3,"""DC-""0000"))</f>
        <v/>
      </c>
      <c r="B1612" s="5" t="n"/>
      <c r="C1612" s="5" t="n"/>
      <c r="D1612" s="5" t="n"/>
      <c r="E1612" s="5" t="n"/>
      <c r="F1612" s="5" t="n"/>
      <c r="G1612" s="5" t="n"/>
      <c r="H1612" s="8" t="n"/>
      <c r="I1612" s="8" t="n"/>
      <c r="J1612" s="8" t="n"/>
      <c r="K1612" s="11">
        <f>IF(B1612="","",MAX(0,IFERROR(I1612,0)*IFERROR(H1612,0)-IFERROR(J1612,0)))</f>
        <v/>
      </c>
      <c r="L1612" s="8" t="n"/>
      <c r="M1612" s="11">
        <f>IF(B1612="","",MAX(0,K1612-L1612))</f>
        <v/>
      </c>
      <c r="N1612" s="11">
        <f>IF(B1612="","",IF(L1612&gt;=K1612,"Paid",IF(L1612&gt;0,"Partial","Unpaid")))</f>
        <v/>
      </c>
      <c r="O1612" s="5" t="n"/>
      <c r="P1612" s="8" t="n"/>
      <c r="Q1612" s="8" t="n"/>
      <c r="R1612" s="11">
        <f>IF(B1612="","",IFERROR(K1612,0)+IFERROR(P1612,0)-IFERROR(Q1612,0))</f>
        <v/>
      </c>
      <c r="S1612" s="5" t="n"/>
      <c r="T1612" s="5" t="n"/>
      <c r="U1612" s="11">
        <f>IF(B1612="","",TRIM(LOWER(C1612)&amp;"|"&amp;LOWER(D1612)))</f>
        <v/>
      </c>
    </row>
    <row r="1613">
      <c r="A1613" s="11">
        <f>IF(B1613="","",TEXT(ROW()-3,"""DC-""0000"))</f>
        <v/>
      </c>
      <c r="B1613" s="5" t="n"/>
      <c r="C1613" s="5" t="n"/>
      <c r="D1613" s="5" t="n"/>
      <c r="E1613" s="5" t="n"/>
      <c r="F1613" s="5" t="n"/>
      <c r="G1613" s="5" t="n"/>
      <c r="H1613" s="8" t="n"/>
      <c r="I1613" s="8" t="n"/>
      <c r="J1613" s="8" t="n"/>
      <c r="K1613" s="11">
        <f>IF(B1613="","",MAX(0,IFERROR(I1613,0)*IFERROR(H1613,0)-IFERROR(J1613,0)))</f>
        <v/>
      </c>
      <c r="L1613" s="8" t="n"/>
      <c r="M1613" s="11">
        <f>IF(B1613="","",MAX(0,K1613-L1613))</f>
        <v/>
      </c>
      <c r="N1613" s="11">
        <f>IF(B1613="","",IF(L1613&gt;=K1613,"Paid",IF(L1613&gt;0,"Partial","Unpaid")))</f>
        <v/>
      </c>
      <c r="O1613" s="5" t="n"/>
      <c r="P1613" s="8" t="n"/>
      <c r="Q1613" s="8" t="n"/>
      <c r="R1613" s="11">
        <f>IF(B1613="","",IFERROR(K1613,0)+IFERROR(P1613,0)-IFERROR(Q1613,0))</f>
        <v/>
      </c>
      <c r="S1613" s="5" t="n"/>
      <c r="T1613" s="5" t="n"/>
      <c r="U1613" s="11">
        <f>IF(B1613="","",TRIM(LOWER(C1613)&amp;"|"&amp;LOWER(D1613)))</f>
        <v/>
      </c>
    </row>
    <row r="1614">
      <c r="A1614" s="11">
        <f>IF(B1614="","",TEXT(ROW()-3,"""DC-""0000"))</f>
        <v/>
      </c>
      <c r="B1614" s="5" t="n"/>
      <c r="C1614" s="5" t="n"/>
      <c r="D1614" s="5" t="n"/>
      <c r="E1614" s="5" t="n"/>
      <c r="F1614" s="5" t="n"/>
      <c r="G1614" s="5" t="n"/>
      <c r="H1614" s="8" t="n"/>
      <c r="I1614" s="8" t="n"/>
      <c r="J1614" s="8" t="n"/>
      <c r="K1614" s="11">
        <f>IF(B1614="","",MAX(0,IFERROR(I1614,0)*IFERROR(H1614,0)-IFERROR(J1614,0)))</f>
        <v/>
      </c>
      <c r="L1614" s="8" t="n"/>
      <c r="M1614" s="11">
        <f>IF(B1614="","",MAX(0,K1614-L1614))</f>
        <v/>
      </c>
      <c r="N1614" s="11">
        <f>IF(B1614="","",IF(L1614&gt;=K1614,"Paid",IF(L1614&gt;0,"Partial","Unpaid")))</f>
        <v/>
      </c>
      <c r="O1614" s="5" t="n"/>
      <c r="P1614" s="8" t="n"/>
      <c r="Q1614" s="8" t="n"/>
      <c r="R1614" s="11">
        <f>IF(B1614="","",IFERROR(K1614,0)+IFERROR(P1614,0)-IFERROR(Q1614,0))</f>
        <v/>
      </c>
      <c r="S1614" s="5" t="n"/>
      <c r="T1614" s="5" t="n"/>
      <c r="U1614" s="11">
        <f>IF(B1614="","",TRIM(LOWER(C1614)&amp;"|"&amp;LOWER(D1614)))</f>
        <v/>
      </c>
    </row>
    <row r="1615">
      <c r="A1615" s="11">
        <f>IF(B1615="","",TEXT(ROW()-3,"""DC-""0000"))</f>
        <v/>
      </c>
      <c r="B1615" s="5" t="n"/>
      <c r="C1615" s="5" t="n"/>
      <c r="D1615" s="5" t="n"/>
      <c r="E1615" s="5" t="n"/>
      <c r="F1615" s="5" t="n"/>
      <c r="G1615" s="5" t="n"/>
      <c r="H1615" s="8" t="n"/>
      <c r="I1615" s="8" t="n"/>
      <c r="J1615" s="8" t="n"/>
      <c r="K1615" s="11">
        <f>IF(B1615="","",MAX(0,IFERROR(I1615,0)*IFERROR(H1615,0)-IFERROR(J1615,0)))</f>
        <v/>
      </c>
      <c r="L1615" s="8" t="n"/>
      <c r="M1615" s="11">
        <f>IF(B1615="","",MAX(0,K1615-L1615))</f>
        <v/>
      </c>
      <c r="N1615" s="11">
        <f>IF(B1615="","",IF(L1615&gt;=K1615,"Paid",IF(L1615&gt;0,"Partial","Unpaid")))</f>
        <v/>
      </c>
      <c r="O1615" s="5" t="n"/>
      <c r="P1615" s="8" t="n"/>
      <c r="Q1615" s="8" t="n"/>
      <c r="R1615" s="11">
        <f>IF(B1615="","",IFERROR(K1615,0)+IFERROR(P1615,0)-IFERROR(Q1615,0))</f>
        <v/>
      </c>
      <c r="S1615" s="5" t="n"/>
      <c r="T1615" s="5" t="n"/>
      <c r="U1615" s="11">
        <f>IF(B1615="","",TRIM(LOWER(C1615)&amp;"|"&amp;LOWER(D1615)))</f>
        <v/>
      </c>
    </row>
    <row r="1616">
      <c r="A1616" s="11">
        <f>IF(B1616="","",TEXT(ROW()-3,"""DC-""0000"))</f>
        <v/>
      </c>
      <c r="B1616" s="5" t="n"/>
      <c r="C1616" s="5" t="n"/>
      <c r="D1616" s="5" t="n"/>
      <c r="E1616" s="5" t="n"/>
      <c r="F1616" s="5" t="n"/>
      <c r="G1616" s="5" t="n"/>
      <c r="H1616" s="8" t="n"/>
      <c r="I1616" s="8" t="n"/>
      <c r="J1616" s="8" t="n"/>
      <c r="K1616" s="11">
        <f>IF(B1616="","",MAX(0,IFERROR(I1616,0)*IFERROR(H1616,0)-IFERROR(J1616,0)))</f>
        <v/>
      </c>
      <c r="L1616" s="8" t="n"/>
      <c r="M1616" s="11">
        <f>IF(B1616="","",MAX(0,K1616-L1616))</f>
        <v/>
      </c>
      <c r="N1616" s="11">
        <f>IF(B1616="","",IF(L1616&gt;=K1616,"Paid",IF(L1616&gt;0,"Partial","Unpaid")))</f>
        <v/>
      </c>
      <c r="O1616" s="5" t="n"/>
      <c r="P1616" s="8" t="n"/>
      <c r="Q1616" s="8" t="n"/>
      <c r="R1616" s="11">
        <f>IF(B1616="","",IFERROR(K1616,0)+IFERROR(P1616,0)-IFERROR(Q1616,0))</f>
        <v/>
      </c>
      <c r="S1616" s="5" t="n"/>
      <c r="T1616" s="5" t="n"/>
      <c r="U1616" s="11">
        <f>IF(B1616="","",TRIM(LOWER(C1616)&amp;"|"&amp;LOWER(D1616)))</f>
        <v/>
      </c>
    </row>
    <row r="1617">
      <c r="A1617" s="11">
        <f>IF(B1617="","",TEXT(ROW()-3,"""DC-""0000"))</f>
        <v/>
      </c>
      <c r="B1617" s="5" t="n"/>
      <c r="C1617" s="5" t="n"/>
      <c r="D1617" s="5" t="n"/>
      <c r="E1617" s="5" t="n"/>
      <c r="F1617" s="5" t="n"/>
      <c r="G1617" s="5" t="n"/>
      <c r="H1617" s="8" t="n"/>
      <c r="I1617" s="8" t="n"/>
      <c r="J1617" s="8" t="n"/>
      <c r="K1617" s="11">
        <f>IF(B1617="","",MAX(0,IFERROR(I1617,0)*IFERROR(H1617,0)-IFERROR(J1617,0)))</f>
        <v/>
      </c>
      <c r="L1617" s="8" t="n"/>
      <c r="M1617" s="11">
        <f>IF(B1617="","",MAX(0,K1617-L1617))</f>
        <v/>
      </c>
      <c r="N1617" s="11">
        <f>IF(B1617="","",IF(L1617&gt;=K1617,"Paid",IF(L1617&gt;0,"Partial","Unpaid")))</f>
        <v/>
      </c>
      <c r="O1617" s="5" t="n"/>
      <c r="P1617" s="8" t="n"/>
      <c r="Q1617" s="8" t="n"/>
      <c r="R1617" s="11">
        <f>IF(B1617="","",IFERROR(K1617,0)+IFERROR(P1617,0)-IFERROR(Q1617,0))</f>
        <v/>
      </c>
      <c r="S1617" s="5" t="n"/>
      <c r="T1617" s="5" t="n"/>
      <c r="U1617" s="11">
        <f>IF(B1617="","",TRIM(LOWER(C1617)&amp;"|"&amp;LOWER(D1617)))</f>
        <v/>
      </c>
    </row>
    <row r="1618">
      <c r="A1618" s="11">
        <f>IF(B1618="","",TEXT(ROW()-3,"""DC-""0000"))</f>
        <v/>
      </c>
      <c r="B1618" s="5" t="n"/>
      <c r="C1618" s="5" t="n"/>
      <c r="D1618" s="5" t="n"/>
      <c r="E1618" s="5" t="n"/>
      <c r="F1618" s="5" t="n"/>
      <c r="G1618" s="5" t="n"/>
      <c r="H1618" s="8" t="n"/>
      <c r="I1618" s="8" t="n"/>
      <c r="J1618" s="8" t="n"/>
      <c r="K1618" s="11">
        <f>IF(B1618="","",MAX(0,IFERROR(I1618,0)*IFERROR(H1618,0)-IFERROR(J1618,0)))</f>
        <v/>
      </c>
      <c r="L1618" s="8" t="n"/>
      <c r="M1618" s="11">
        <f>IF(B1618="","",MAX(0,K1618-L1618))</f>
        <v/>
      </c>
      <c r="N1618" s="11">
        <f>IF(B1618="","",IF(L1618&gt;=K1618,"Paid",IF(L1618&gt;0,"Partial","Unpaid")))</f>
        <v/>
      </c>
      <c r="O1618" s="5" t="n"/>
      <c r="P1618" s="8" t="n"/>
      <c r="Q1618" s="8" t="n"/>
      <c r="R1618" s="11">
        <f>IF(B1618="","",IFERROR(K1618,0)+IFERROR(P1618,0)-IFERROR(Q1618,0))</f>
        <v/>
      </c>
      <c r="S1618" s="5" t="n"/>
      <c r="T1618" s="5" t="n"/>
      <c r="U1618" s="11">
        <f>IF(B1618="","",TRIM(LOWER(C1618)&amp;"|"&amp;LOWER(D1618)))</f>
        <v/>
      </c>
    </row>
    <row r="1619">
      <c r="A1619" s="11">
        <f>IF(B1619="","",TEXT(ROW()-3,"""DC-""0000"))</f>
        <v/>
      </c>
      <c r="B1619" s="5" t="n"/>
      <c r="C1619" s="5" t="n"/>
      <c r="D1619" s="5" t="n"/>
      <c r="E1619" s="5" t="n"/>
      <c r="F1619" s="5" t="n"/>
      <c r="G1619" s="5" t="n"/>
      <c r="H1619" s="8" t="n"/>
      <c r="I1619" s="8" t="n"/>
      <c r="J1619" s="8" t="n"/>
      <c r="K1619" s="11">
        <f>IF(B1619="","",MAX(0,IFERROR(I1619,0)*IFERROR(H1619,0)-IFERROR(J1619,0)))</f>
        <v/>
      </c>
      <c r="L1619" s="8" t="n"/>
      <c r="M1619" s="11">
        <f>IF(B1619="","",MAX(0,K1619-L1619))</f>
        <v/>
      </c>
      <c r="N1619" s="11">
        <f>IF(B1619="","",IF(L1619&gt;=K1619,"Paid",IF(L1619&gt;0,"Partial","Unpaid")))</f>
        <v/>
      </c>
      <c r="O1619" s="5" t="n"/>
      <c r="P1619" s="8" t="n"/>
      <c r="Q1619" s="8" t="n"/>
      <c r="R1619" s="11">
        <f>IF(B1619="","",IFERROR(K1619,0)+IFERROR(P1619,0)-IFERROR(Q1619,0))</f>
        <v/>
      </c>
      <c r="S1619" s="5" t="n"/>
      <c r="T1619" s="5" t="n"/>
      <c r="U1619" s="11">
        <f>IF(B1619="","",TRIM(LOWER(C1619)&amp;"|"&amp;LOWER(D1619)))</f>
        <v/>
      </c>
    </row>
    <row r="1620">
      <c r="A1620" s="11">
        <f>IF(B1620="","",TEXT(ROW()-3,"""DC-""0000"))</f>
        <v/>
      </c>
      <c r="B1620" s="5" t="n"/>
      <c r="C1620" s="5" t="n"/>
      <c r="D1620" s="5" t="n"/>
      <c r="E1620" s="5" t="n"/>
      <c r="F1620" s="5" t="n"/>
      <c r="G1620" s="5" t="n"/>
      <c r="H1620" s="8" t="n"/>
      <c r="I1620" s="8" t="n"/>
      <c r="J1620" s="8" t="n"/>
      <c r="K1620" s="11">
        <f>IF(B1620="","",MAX(0,IFERROR(I1620,0)*IFERROR(H1620,0)-IFERROR(J1620,0)))</f>
        <v/>
      </c>
      <c r="L1620" s="8" t="n"/>
      <c r="M1620" s="11">
        <f>IF(B1620="","",MAX(0,K1620-L1620))</f>
        <v/>
      </c>
      <c r="N1620" s="11">
        <f>IF(B1620="","",IF(L1620&gt;=K1620,"Paid",IF(L1620&gt;0,"Partial","Unpaid")))</f>
        <v/>
      </c>
      <c r="O1620" s="5" t="n"/>
      <c r="P1620" s="8" t="n"/>
      <c r="Q1620" s="8" t="n"/>
      <c r="R1620" s="11">
        <f>IF(B1620="","",IFERROR(K1620,0)+IFERROR(P1620,0)-IFERROR(Q1620,0))</f>
        <v/>
      </c>
      <c r="S1620" s="5" t="n"/>
      <c r="T1620" s="5" t="n"/>
      <c r="U1620" s="11">
        <f>IF(B1620="","",TRIM(LOWER(C1620)&amp;"|"&amp;LOWER(D1620)))</f>
        <v/>
      </c>
    </row>
    <row r="1621">
      <c r="A1621" s="11">
        <f>IF(B1621="","",TEXT(ROW()-3,"""DC-""0000"))</f>
        <v/>
      </c>
      <c r="B1621" s="5" t="n"/>
      <c r="C1621" s="5" t="n"/>
      <c r="D1621" s="5" t="n"/>
      <c r="E1621" s="5" t="n"/>
      <c r="F1621" s="5" t="n"/>
      <c r="G1621" s="5" t="n"/>
      <c r="H1621" s="8" t="n"/>
      <c r="I1621" s="8" t="n"/>
      <c r="J1621" s="8" t="n"/>
      <c r="K1621" s="11">
        <f>IF(B1621="","",MAX(0,IFERROR(I1621,0)*IFERROR(H1621,0)-IFERROR(J1621,0)))</f>
        <v/>
      </c>
      <c r="L1621" s="8" t="n"/>
      <c r="M1621" s="11">
        <f>IF(B1621="","",MAX(0,K1621-L1621))</f>
        <v/>
      </c>
      <c r="N1621" s="11">
        <f>IF(B1621="","",IF(L1621&gt;=K1621,"Paid",IF(L1621&gt;0,"Partial","Unpaid")))</f>
        <v/>
      </c>
      <c r="O1621" s="5" t="n"/>
      <c r="P1621" s="8" t="n"/>
      <c r="Q1621" s="8" t="n"/>
      <c r="R1621" s="11">
        <f>IF(B1621="","",IFERROR(K1621,0)+IFERROR(P1621,0)-IFERROR(Q1621,0))</f>
        <v/>
      </c>
      <c r="S1621" s="5" t="n"/>
      <c r="T1621" s="5" t="n"/>
      <c r="U1621" s="11">
        <f>IF(B1621="","",TRIM(LOWER(C1621)&amp;"|"&amp;LOWER(D1621)))</f>
        <v/>
      </c>
    </row>
    <row r="1622">
      <c r="A1622" s="11">
        <f>IF(B1622="","",TEXT(ROW()-3,"""DC-""0000"))</f>
        <v/>
      </c>
      <c r="B1622" s="5" t="n"/>
      <c r="C1622" s="5" t="n"/>
      <c r="D1622" s="5" t="n"/>
      <c r="E1622" s="5" t="n"/>
      <c r="F1622" s="5" t="n"/>
      <c r="G1622" s="5" t="n"/>
      <c r="H1622" s="8" t="n"/>
      <c r="I1622" s="8" t="n"/>
      <c r="J1622" s="8" t="n"/>
      <c r="K1622" s="11">
        <f>IF(B1622="","",MAX(0,IFERROR(I1622,0)*IFERROR(H1622,0)-IFERROR(J1622,0)))</f>
        <v/>
      </c>
      <c r="L1622" s="8" t="n"/>
      <c r="M1622" s="11">
        <f>IF(B1622="","",MAX(0,K1622-L1622))</f>
        <v/>
      </c>
      <c r="N1622" s="11">
        <f>IF(B1622="","",IF(L1622&gt;=K1622,"Paid",IF(L1622&gt;0,"Partial","Unpaid")))</f>
        <v/>
      </c>
      <c r="O1622" s="5" t="n"/>
      <c r="P1622" s="8" t="n"/>
      <c r="Q1622" s="8" t="n"/>
      <c r="R1622" s="11">
        <f>IF(B1622="","",IFERROR(K1622,0)+IFERROR(P1622,0)-IFERROR(Q1622,0))</f>
        <v/>
      </c>
      <c r="S1622" s="5" t="n"/>
      <c r="T1622" s="5" t="n"/>
      <c r="U1622" s="11">
        <f>IF(B1622="","",TRIM(LOWER(C1622)&amp;"|"&amp;LOWER(D1622)))</f>
        <v/>
      </c>
    </row>
    <row r="1623">
      <c r="A1623" s="11">
        <f>IF(B1623="","",TEXT(ROW()-3,"""DC-""0000"))</f>
        <v/>
      </c>
      <c r="B1623" s="5" t="n"/>
      <c r="C1623" s="5" t="n"/>
      <c r="D1623" s="5" t="n"/>
      <c r="E1623" s="5" t="n"/>
      <c r="F1623" s="5" t="n"/>
      <c r="G1623" s="5" t="n"/>
      <c r="H1623" s="8" t="n"/>
      <c r="I1623" s="8" t="n"/>
      <c r="J1623" s="8" t="n"/>
      <c r="K1623" s="11">
        <f>IF(B1623="","",MAX(0,IFERROR(I1623,0)*IFERROR(H1623,0)-IFERROR(J1623,0)))</f>
        <v/>
      </c>
      <c r="L1623" s="8" t="n"/>
      <c r="M1623" s="11">
        <f>IF(B1623="","",MAX(0,K1623-L1623))</f>
        <v/>
      </c>
      <c r="N1623" s="11">
        <f>IF(B1623="","",IF(L1623&gt;=K1623,"Paid",IF(L1623&gt;0,"Partial","Unpaid")))</f>
        <v/>
      </c>
      <c r="O1623" s="5" t="n"/>
      <c r="P1623" s="8" t="n"/>
      <c r="Q1623" s="8" t="n"/>
      <c r="R1623" s="11">
        <f>IF(B1623="","",IFERROR(K1623,0)+IFERROR(P1623,0)-IFERROR(Q1623,0))</f>
        <v/>
      </c>
      <c r="S1623" s="5" t="n"/>
      <c r="T1623" s="5" t="n"/>
      <c r="U1623" s="11">
        <f>IF(B1623="","",TRIM(LOWER(C1623)&amp;"|"&amp;LOWER(D1623)))</f>
        <v/>
      </c>
    </row>
    <row r="1624">
      <c r="A1624" s="11">
        <f>IF(B1624="","",TEXT(ROW()-3,"""DC-""0000"))</f>
        <v/>
      </c>
      <c r="B1624" s="5" t="n"/>
      <c r="C1624" s="5" t="n"/>
      <c r="D1624" s="5" t="n"/>
      <c r="E1624" s="5" t="n"/>
      <c r="F1624" s="5" t="n"/>
      <c r="G1624" s="5" t="n"/>
      <c r="H1624" s="8" t="n"/>
      <c r="I1624" s="8" t="n"/>
      <c r="J1624" s="8" t="n"/>
      <c r="K1624" s="11">
        <f>IF(B1624="","",MAX(0,IFERROR(I1624,0)*IFERROR(H1624,0)-IFERROR(J1624,0)))</f>
        <v/>
      </c>
      <c r="L1624" s="8" t="n"/>
      <c r="M1624" s="11">
        <f>IF(B1624="","",MAX(0,K1624-L1624))</f>
        <v/>
      </c>
      <c r="N1624" s="11">
        <f>IF(B1624="","",IF(L1624&gt;=K1624,"Paid",IF(L1624&gt;0,"Partial","Unpaid")))</f>
        <v/>
      </c>
      <c r="O1624" s="5" t="n"/>
      <c r="P1624" s="8" t="n"/>
      <c r="Q1624" s="8" t="n"/>
      <c r="R1624" s="11">
        <f>IF(B1624="","",IFERROR(K1624,0)+IFERROR(P1624,0)-IFERROR(Q1624,0))</f>
        <v/>
      </c>
      <c r="S1624" s="5" t="n"/>
      <c r="T1624" s="5" t="n"/>
      <c r="U1624" s="11">
        <f>IF(B1624="","",TRIM(LOWER(C1624)&amp;"|"&amp;LOWER(D1624)))</f>
        <v/>
      </c>
    </row>
    <row r="1625">
      <c r="A1625" s="11">
        <f>IF(B1625="","",TEXT(ROW()-3,"""DC-""0000"))</f>
        <v/>
      </c>
      <c r="B1625" s="5" t="n"/>
      <c r="C1625" s="5" t="n"/>
      <c r="D1625" s="5" t="n"/>
      <c r="E1625" s="5" t="n"/>
      <c r="F1625" s="5" t="n"/>
      <c r="G1625" s="5" t="n"/>
      <c r="H1625" s="8" t="n"/>
      <c r="I1625" s="8" t="n"/>
      <c r="J1625" s="8" t="n"/>
      <c r="K1625" s="11">
        <f>IF(B1625="","",MAX(0,IFERROR(I1625,0)*IFERROR(H1625,0)-IFERROR(J1625,0)))</f>
        <v/>
      </c>
      <c r="L1625" s="8" t="n"/>
      <c r="M1625" s="11">
        <f>IF(B1625="","",MAX(0,K1625-L1625))</f>
        <v/>
      </c>
      <c r="N1625" s="11">
        <f>IF(B1625="","",IF(L1625&gt;=K1625,"Paid",IF(L1625&gt;0,"Partial","Unpaid")))</f>
        <v/>
      </c>
      <c r="O1625" s="5" t="n"/>
      <c r="P1625" s="8" t="n"/>
      <c r="Q1625" s="8" t="n"/>
      <c r="R1625" s="11">
        <f>IF(B1625="","",IFERROR(K1625,0)+IFERROR(P1625,0)-IFERROR(Q1625,0))</f>
        <v/>
      </c>
      <c r="S1625" s="5" t="n"/>
      <c r="T1625" s="5" t="n"/>
      <c r="U1625" s="11">
        <f>IF(B1625="","",TRIM(LOWER(C1625)&amp;"|"&amp;LOWER(D1625)))</f>
        <v/>
      </c>
    </row>
    <row r="1626">
      <c r="A1626" s="11">
        <f>IF(B1626="","",TEXT(ROW()-3,"""DC-""0000"))</f>
        <v/>
      </c>
      <c r="B1626" s="5" t="n"/>
      <c r="C1626" s="5" t="n"/>
      <c r="D1626" s="5" t="n"/>
      <c r="E1626" s="5" t="n"/>
      <c r="F1626" s="5" t="n"/>
      <c r="G1626" s="5" t="n"/>
      <c r="H1626" s="8" t="n"/>
      <c r="I1626" s="8" t="n"/>
      <c r="J1626" s="8" t="n"/>
      <c r="K1626" s="11">
        <f>IF(B1626="","",MAX(0,IFERROR(I1626,0)*IFERROR(H1626,0)-IFERROR(J1626,0)))</f>
        <v/>
      </c>
      <c r="L1626" s="8" t="n"/>
      <c r="M1626" s="11">
        <f>IF(B1626="","",MAX(0,K1626-L1626))</f>
        <v/>
      </c>
      <c r="N1626" s="11">
        <f>IF(B1626="","",IF(L1626&gt;=K1626,"Paid",IF(L1626&gt;0,"Partial","Unpaid")))</f>
        <v/>
      </c>
      <c r="O1626" s="5" t="n"/>
      <c r="P1626" s="8" t="n"/>
      <c r="Q1626" s="8" t="n"/>
      <c r="R1626" s="11">
        <f>IF(B1626="","",IFERROR(K1626,0)+IFERROR(P1626,0)-IFERROR(Q1626,0))</f>
        <v/>
      </c>
      <c r="S1626" s="5" t="n"/>
      <c r="T1626" s="5" t="n"/>
      <c r="U1626" s="11">
        <f>IF(B1626="","",TRIM(LOWER(C1626)&amp;"|"&amp;LOWER(D1626)))</f>
        <v/>
      </c>
    </row>
    <row r="1627">
      <c r="A1627" s="11">
        <f>IF(B1627="","",TEXT(ROW()-3,"""DC-""0000"))</f>
        <v/>
      </c>
      <c r="B1627" s="5" t="n"/>
      <c r="C1627" s="5" t="n"/>
      <c r="D1627" s="5" t="n"/>
      <c r="E1627" s="5" t="n"/>
      <c r="F1627" s="5" t="n"/>
      <c r="G1627" s="5" t="n"/>
      <c r="H1627" s="8" t="n"/>
      <c r="I1627" s="8" t="n"/>
      <c r="J1627" s="8" t="n"/>
      <c r="K1627" s="11">
        <f>IF(B1627="","",MAX(0,IFERROR(I1627,0)*IFERROR(H1627,0)-IFERROR(J1627,0)))</f>
        <v/>
      </c>
      <c r="L1627" s="8" t="n"/>
      <c r="M1627" s="11">
        <f>IF(B1627="","",MAX(0,K1627-L1627))</f>
        <v/>
      </c>
      <c r="N1627" s="11">
        <f>IF(B1627="","",IF(L1627&gt;=K1627,"Paid",IF(L1627&gt;0,"Partial","Unpaid")))</f>
        <v/>
      </c>
      <c r="O1627" s="5" t="n"/>
      <c r="P1627" s="8" t="n"/>
      <c r="Q1627" s="8" t="n"/>
      <c r="R1627" s="11">
        <f>IF(B1627="","",IFERROR(K1627,0)+IFERROR(P1627,0)-IFERROR(Q1627,0))</f>
        <v/>
      </c>
      <c r="S1627" s="5" t="n"/>
      <c r="T1627" s="5" t="n"/>
      <c r="U1627" s="11">
        <f>IF(B1627="","",TRIM(LOWER(C1627)&amp;"|"&amp;LOWER(D1627)))</f>
        <v/>
      </c>
    </row>
    <row r="1628">
      <c r="A1628" s="11">
        <f>IF(B1628="","",TEXT(ROW()-3,"""DC-""0000"))</f>
        <v/>
      </c>
      <c r="B1628" s="5" t="n"/>
      <c r="C1628" s="5" t="n"/>
      <c r="D1628" s="5" t="n"/>
      <c r="E1628" s="5" t="n"/>
      <c r="F1628" s="5" t="n"/>
      <c r="G1628" s="5" t="n"/>
      <c r="H1628" s="8" t="n"/>
      <c r="I1628" s="8" t="n"/>
      <c r="J1628" s="8" t="n"/>
      <c r="K1628" s="11">
        <f>IF(B1628="","",MAX(0,IFERROR(I1628,0)*IFERROR(H1628,0)-IFERROR(J1628,0)))</f>
        <v/>
      </c>
      <c r="L1628" s="8" t="n"/>
      <c r="M1628" s="11">
        <f>IF(B1628="","",MAX(0,K1628-L1628))</f>
        <v/>
      </c>
      <c r="N1628" s="11">
        <f>IF(B1628="","",IF(L1628&gt;=K1628,"Paid",IF(L1628&gt;0,"Partial","Unpaid")))</f>
        <v/>
      </c>
      <c r="O1628" s="5" t="n"/>
      <c r="P1628" s="8" t="n"/>
      <c r="Q1628" s="8" t="n"/>
      <c r="R1628" s="11">
        <f>IF(B1628="","",IFERROR(K1628,0)+IFERROR(P1628,0)-IFERROR(Q1628,0))</f>
        <v/>
      </c>
      <c r="S1628" s="5" t="n"/>
      <c r="T1628" s="5" t="n"/>
      <c r="U1628" s="11">
        <f>IF(B1628="","",TRIM(LOWER(C1628)&amp;"|"&amp;LOWER(D1628)))</f>
        <v/>
      </c>
    </row>
    <row r="1629">
      <c r="A1629" s="11">
        <f>IF(B1629="","",TEXT(ROW()-3,"""DC-""0000"))</f>
        <v/>
      </c>
      <c r="B1629" s="5" t="n"/>
      <c r="C1629" s="5" t="n"/>
      <c r="D1629" s="5" t="n"/>
      <c r="E1629" s="5" t="n"/>
      <c r="F1629" s="5" t="n"/>
      <c r="G1629" s="5" t="n"/>
      <c r="H1629" s="8" t="n"/>
      <c r="I1629" s="8" t="n"/>
      <c r="J1629" s="8" t="n"/>
      <c r="K1629" s="11">
        <f>IF(B1629="","",MAX(0,IFERROR(I1629,0)*IFERROR(H1629,0)-IFERROR(J1629,0)))</f>
        <v/>
      </c>
      <c r="L1629" s="8" t="n"/>
      <c r="M1629" s="11">
        <f>IF(B1629="","",MAX(0,K1629-L1629))</f>
        <v/>
      </c>
      <c r="N1629" s="11">
        <f>IF(B1629="","",IF(L1629&gt;=K1629,"Paid",IF(L1629&gt;0,"Partial","Unpaid")))</f>
        <v/>
      </c>
      <c r="O1629" s="5" t="n"/>
      <c r="P1629" s="8" t="n"/>
      <c r="Q1629" s="8" t="n"/>
      <c r="R1629" s="11">
        <f>IF(B1629="","",IFERROR(K1629,0)+IFERROR(P1629,0)-IFERROR(Q1629,0))</f>
        <v/>
      </c>
      <c r="S1629" s="5" t="n"/>
      <c r="T1629" s="5" t="n"/>
      <c r="U1629" s="11">
        <f>IF(B1629="","",TRIM(LOWER(C1629)&amp;"|"&amp;LOWER(D1629)))</f>
        <v/>
      </c>
    </row>
    <row r="1630">
      <c r="A1630" s="11">
        <f>IF(B1630="","",TEXT(ROW()-3,"""DC-""0000"))</f>
        <v/>
      </c>
      <c r="B1630" s="5" t="n"/>
      <c r="C1630" s="5" t="n"/>
      <c r="D1630" s="5" t="n"/>
      <c r="E1630" s="5" t="n"/>
      <c r="F1630" s="5" t="n"/>
      <c r="G1630" s="5" t="n"/>
      <c r="H1630" s="8" t="n"/>
      <c r="I1630" s="8" t="n"/>
      <c r="J1630" s="8" t="n"/>
      <c r="K1630" s="11">
        <f>IF(B1630="","",MAX(0,IFERROR(I1630,0)*IFERROR(H1630,0)-IFERROR(J1630,0)))</f>
        <v/>
      </c>
      <c r="L1630" s="8" t="n"/>
      <c r="M1630" s="11">
        <f>IF(B1630="","",MAX(0,K1630-L1630))</f>
        <v/>
      </c>
      <c r="N1630" s="11">
        <f>IF(B1630="","",IF(L1630&gt;=K1630,"Paid",IF(L1630&gt;0,"Partial","Unpaid")))</f>
        <v/>
      </c>
      <c r="O1630" s="5" t="n"/>
      <c r="P1630" s="8" t="n"/>
      <c r="Q1630" s="8" t="n"/>
      <c r="R1630" s="11">
        <f>IF(B1630="","",IFERROR(K1630,0)+IFERROR(P1630,0)-IFERROR(Q1630,0))</f>
        <v/>
      </c>
      <c r="S1630" s="5" t="n"/>
      <c r="T1630" s="5" t="n"/>
      <c r="U1630" s="11">
        <f>IF(B1630="","",TRIM(LOWER(C1630)&amp;"|"&amp;LOWER(D1630)))</f>
        <v/>
      </c>
    </row>
    <row r="1631">
      <c r="A1631" s="11">
        <f>IF(B1631="","",TEXT(ROW()-3,"""DC-""0000"))</f>
        <v/>
      </c>
      <c r="B1631" s="5" t="n"/>
      <c r="C1631" s="5" t="n"/>
      <c r="D1631" s="5" t="n"/>
      <c r="E1631" s="5" t="n"/>
      <c r="F1631" s="5" t="n"/>
      <c r="G1631" s="5" t="n"/>
      <c r="H1631" s="8" t="n"/>
      <c r="I1631" s="8" t="n"/>
      <c r="J1631" s="8" t="n"/>
      <c r="K1631" s="11">
        <f>IF(B1631="","",MAX(0,IFERROR(I1631,0)*IFERROR(H1631,0)-IFERROR(J1631,0)))</f>
        <v/>
      </c>
      <c r="L1631" s="8" t="n"/>
      <c r="M1631" s="11">
        <f>IF(B1631="","",MAX(0,K1631-L1631))</f>
        <v/>
      </c>
      <c r="N1631" s="11">
        <f>IF(B1631="","",IF(L1631&gt;=K1631,"Paid",IF(L1631&gt;0,"Partial","Unpaid")))</f>
        <v/>
      </c>
      <c r="O1631" s="5" t="n"/>
      <c r="P1631" s="8" t="n"/>
      <c r="Q1631" s="8" t="n"/>
      <c r="R1631" s="11">
        <f>IF(B1631="","",IFERROR(K1631,0)+IFERROR(P1631,0)-IFERROR(Q1631,0))</f>
        <v/>
      </c>
      <c r="S1631" s="5" t="n"/>
      <c r="T1631" s="5" t="n"/>
      <c r="U1631" s="11">
        <f>IF(B1631="","",TRIM(LOWER(C1631)&amp;"|"&amp;LOWER(D1631)))</f>
        <v/>
      </c>
    </row>
    <row r="1632">
      <c r="A1632" s="11">
        <f>IF(B1632="","",TEXT(ROW()-3,"""DC-""0000"))</f>
        <v/>
      </c>
      <c r="B1632" s="5" t="n"/>
      <c r="C1632" s="5" t="n"/>
      <c r="D1632" s="5" t="n"/>
      <c r="E1632" s="5" t="n"/>
      <c r="F1632" s="5" t="n"/>
      <c r="G1632" s="5" t="n"/>
      <c r="H1632" s="8" t="n"/>
      <c r="I1632" s="8" t="n"/>
      <c r="J1632" s="8" t="n"/>
      <c r="K1632" s="11">
        <f>IF(B1632="","",MAX(0,IFERROR(I1632,0)*IFERROR(H1632,0)-IFERROR(J1632,0)))</f>
        <v/>
      </c>
      <c r="L1632" s="8" t="n"/>
      <c r="M1632" s="11">
        <f>IF(B1632="","",MAX(0,K1632-L1632))</f>
        <v/>
      </c>
      <c r="N1632" s="11">
        <f>IF(B1632="","",IF(L1632&gt;=K1632,"Paid",IF(L1632&gt;0,"Partial","Unpaid")))</f>
        <v/>
      </c>
      <c r="O1632" s="5" t="n"/>
      <c r="P1632" s="8" t="n"/>
      <c r="Q1632" s="8" t="n"/>
      <c r="R1632" s="11">
        <f>IF(B1632="","",IFERROR(K1632,0)+IFERROR(P1632,0)-IFERROR(Q1632,0))</f>
        <v/>
      </c>
      <c r="S1632" s="5" t="n"/>
      <c r="T1632" s="5" t="n"/>
      <c r="U1632" s="11">
        <f>IF(B1632="","",TRIM(LOWER(C1632)&amp;"|"&amp;LOWER(D1632)))</f>
        <v/>
      </c>
    </row>
    <row r="1633">
      <c r="A1633" s="11">
        <f>IF(B1633="","",TEXT(ROW()-3,"""DC-""0000"))</f>
        <v/>
      </c>
      <c r="B1633" s="5" t="n"/>
      <c r="C1633" s="5" t="n"/>
      <c r="D1633" s="5" t="n"/>
      <c r="E1633" s="5" t="n"/>
      <c r="F1633" s="5" t="n"/>
      <c r="G1633" s="5" t="n"/>
      <c r="H1633" s="8" t="n"/>
      <c r="I1633" s="8" t="n"/>
      <c r="J1633" s="8" t="n"/>
      <c r="K1633" s="11">
        <f>IF(B1633="","",MAX(0,IFERROR(I1633,0)*IFERROR(H1633,0)-IFERROR(J1633,0)))</f>
        <v/>
      </c>
      <c r="L1633" s="8" t="n"/>
      <c r="M1633" s="11">
        <f>IF(B1633="","",MAX(0,K1633-L1633))</f>
        <v/>
      </c>
      <c r="N1633" s="11">
        <f>IF(B1633="","",IF(L1633&gt;=K1633,"Paid",IF(L1633&gt;0,"Partial","Unpaid")))</f>
        <v/>
      </c>
      <c r="O1633" s="5" t="n"/>
      <c r="P1633" s="8" t="n"/>
      <c r="Q1633" s="8" t="n"/>
      <c r="R1633" s="11">
        <f>IF(B1633="","",IFERROR(K1633,0)+IFERROR(P1633,0)-IFERROR(Q1633,0))</f>
        <v/>
      </c>
      <c r="S1633" s="5" t="n"/>
      <c r="T1633" s="5" t="n"/>
      <c r="U1633" s="11">
        <f>IF(B1633="","",TRIM(LOWER(C1633)&amp;"|"&amp;LOWER(D1633)))</f>
        <v/>
      </c>
    </row>
    <row r="1634">
      <c r="A1634" s="11">
        <f>IF(B1634="","",TEXT(ROW()-3,"""DC-""0000"))</f>
        <v/>
      </c>
      <c r="B1634" s="5" t="n"/>
      <c r="C1634" s="5" t="n"/>
      <c r="D1634" s="5" t="n"/>
      <c r="E1634" s="5" t="n"/>
      <c r="F1634" s="5" t="n"/>
      <c r="G1634" s="5" t="n"/>
      <c r="H1634" s="8" t="n"/>
      <c r="I1634" s="8" t="n"/>
      <c r="J1634" s="8" t="n"/>
      <c r="K1634" s="11">
        <f>IF(B1634="","",MAX(0,IFERROR(I1634,0)*IFERROR(H1634,0)-IFERROR(J1634,0)))</f>
        <v/>
      </c>
      <c r="L1634" s="8" t="n"/>
      <c r="M1634" s="11">
        <f>IF(B1634="","",MAX(0,K1634-L1634))</f>
        <v/>
      </c>
      <c r="N1634" s="11">
        <f>IF(B1634="","",IF(L1634&gt;=K1634,"Paid",IF(L1634&gt;0,"Partial","Unpaid")))</f>
        <v/>
      </c>
      <c r="O1634" s="5" t="n"/>
      <c r="P1634" s="8" t="n"/>
      <c r="Q1634" s="8" t="n"/>
      <c r="R1634" s="11">
        <f>IF(B1634="","",IFERROR(K1634,0)+IFERROR(P1634,0)-IFERROR(Q1634,0))</f>
        <v/>
      </c>
      <c r="S1634" s="5" t="n"/>
      <c r="T1634" s="5" t="n"/>
      <c r="U1634" s="11">
        <f>IF(B1634="","",TRIM(LOWER(C1634)&amp;"|"&amp;LOWER(D1634)))</f>
        <v/>
      </c>
    </row>
    <row r="1635">
      <c r="A1635" s="11">
        <f>IF(B1635="","",TEXT(ROW()-3,"""DC-""0000"))</f>
        <v/>
      </c>
      <c r="B1635" s="5" t="n"/>
      <c r="C1635" s="5" t="n"/>
      <c r="D1635" s="5" t="n"/>
      <c r="E1635" s="5" t="n"/>
      <c r="F1635" s="5" t="n"/>
      <c r="G1635" s="5" t="n"/>
      <c r="H1635" s="8" t="n"/>
      <c r="I1635" s="8" t="n"/>
      <c r="J1635" s="8" t="n"/>
      <c r="K1635" s="11">
        <f>IF(B1635="","",MAX(0,IFERROR(I1635,0)*IFERROR(H1635,0)-IFERROR(J1635,0)))</f>
        <v/>
      </c>
      <c r="L1635" s="8" t="n"/>
      <c r="M1635" s="11">
        <f>IF(B1635="","",MAX(0,K1635-L1635))</f>
        <v/>
      </c>
      <c r="N1635" s="11">
        <f>IF(B1635="","",IF(L1635&gt;=K1635,"Paid",IF(L1635&gt;0,"Partial","Unpaid")))</f>
        <v/>
      </c>
      <c r="O1635" s="5" t="n"/>
      <c r="P1635" s="8" t="n"/>
      <c r="Q1635" s="8" t="n"/>
      <c r="R1635" s="11">
        <f>IF(B1635="","",IFERROR(K1635,0)+IFERROR(P1635,0)-IFERROR(Q1635,0))</f>
        <v/>
      </c>
      <c r="S1635" s="5" t="n"/>
      <c r="T1635" s="5" t="n"/>
      <c r="U1635" s="11">
        <f>IF(B1635="","",TRIM(LOWER(C1635)&amp;"|"&amp;LOWER(D1635)))</f>
        <v/>
      </c>
    </row>
    <row r="1636">
      <c r="A1636" s="11">
        <f>IF(B1636="","",TEXT(ROW()-3,"""DC-""0000"))</f>
        <v/>
      </c>
      <c r="B1636" s="5" t="n"/>
      <c r="C1636" s="5" t="n"/>
      <c r="D1636" s="5" t="n"/>
      <c r="E1636" s="5" t="n"/>
      <c r="F1636" s="5" t="n"/>
      <c r="G1636" s="5" t="n"/>
      <c r="H1636" s="8" t="n"/>
      <c r="I1636" s="8" t="n"/>
      <c r="J1636" s="8" t="n"/>
      <c r="K1636" s="11">
        <f>IF(B1636="","",MAX(0,IFERROR(I1636,0)*IFERROR(H1636,0)-IFERROR(J1636,0)))</f>
        <v/>
      </c>
      <c r="L1636" s="8" t="n"/>
      <c r="M1636" s="11">
        <f>IF(B1636="","",MAX(0,K1636-L1636))</f>
        <v/>
      </c>
      <c r="N1636" s="11">
        <f>IF(B1636="","",IF(L1636&gt;=K1636,"Paid",IF(L1636&gt;0,"Partial","Unpaid")))</f>
        <v/>
      </c>
      <c r="O1636" s="5" t="n"/>
      <c r="P1636" s="8" t="n"/>
      <c r="Q1636" s="8" t="n"/>
      <c r="R1636" s="11">
        <f>IF(B1636="","",IFERROR(K1636,0)+IFERROR(P1636,0)-IFERROR(Q1636,0))</f>
        <v/>
      </c>
      <c r="S1636" s="5" t="n"/>
      <c r="T1636" s="5" t="n"/>
      <c r="U1636" s="11">
        <f>IF(B1636="","",TRIM(LOWER(C1636)&amp;"|"&amp;LOWER(D1636)))</f>
        <v/>
      </c>
    </row>
    <row r="1637">
      <c r="A1637" s="11">
        <f>IF(B1637="","",TEXT(ROW()-3,"""DC-""0000"))</f>
        <v/>
      </c>
      <c r="B1637" s="5" t="n"/>
      <c r="C1637" s="5" t="n"/>
      <c r="D1637" s="5" t="n"/>
      <c r="E1637" s="5" t="n"/>
      <c r="F1637" s="5" t="n"/>
      <c r="G1637" s="5" t="n"/>
      <c r="H1637" s="8" t="n"/>
      <c r="I1637" s="8" t="n"/>
      <c r="J1637" s="8" t="n"/>
      <c r="K1637" s="11">
        <f>IF(B1637="","",MAX(0,IFERROR(I1637,0)*IFERROR(H1637,0)-IFERROR(J1637,0)))</f>
        <v/>
      </c>
      <c r="L1637" s="8" t="n"/>
      <c r="M1637" s="11">
        <f>IF(B1637="","",MAX(0,K1637-L1637))</f>
        <v/>
      </c>
      <c r="N1637" s="11">
        <f>IF(B1637="","",IF(L1637&gt;=K1637,"Paid",IF(L1637&gt;0,"Partial","Unpaid")))</f>
        <v/>
      </c>
      <c r="O1637" s="5" t="n"/>
      <c r="P1637" s="8" t="n"/>
      <c r="Q1637" s="8" t="n"/>
      <c r="R1637" s="11">
        <f>IF(B1637="","",IFERROR(K1637,0)+IFERROR(P1637,0)-IFERROR(Q1637,0))</f>
        <v/>
      </c>
      <c r="S1637" s="5" t="n"/>
      <c r="T1637" s="5" t="n"/>
      <c r="U1637" s="11">
        <f>IF(B1637="","",TRIM(LOWER(C1637)&amp;"|"&amp;LOWER(D1637)))</f>
        <v/>
      </c>
    </row>
    <row r="1638">
      <c r="A1638" s="11">
        <f>IF(B1638="","",TEXT(ROW()-3,"""DC-""0000"))</f>
        <v/>
      </c>
      <c r="B1638" s="5" t="n"/>
      <c r="C1638" s="5" t="n"/>
      <c r="D1638" s="5" t="n"/>
      <c r="E1638" s="5" t="n"/>
      <c r="F1638" s="5" t="n"/>
      <c r="G1638" s="5" t="n"/>
      <c r="H1638" s="8" t="n"/>
      <c r="I1638" s="8" t="n"/>
      <c r="J1638" s="8" t="n"/>
      <c r="K1638" s="11">
        <f>IF(B1638="","",MAX(0,IFERROR(I1638,0)*IFERROR(H1638,0)-IFERROR(J1638,0)))</f>
        <v/>
      </c>
      <c r="L1638" s="8" t="n"/>
      <c r="M1638" s="11">
        <f>IF(B1638="","",MAX(0,K1638-L1638))</f>
        <v/>
      </c>
      <c r="N1638" s="11">
        <f>IF(B1638="","",IF(L1638&gt;=K1638,"Paid",IF(L1638&gt;0,"Partial","Unpaid")))</f>
        <v/>
      </c>
      <c r="O1638" s="5" t="n"/>
      <c r="P1638" s="8" t="n"/>
      <c r="Q1638" s="8" t="n"/>
      <c r="R1638" s="11">
        <f>IF(B1638="","",IFERROR(K1638,0)+IFERROR(P1638,0)-IFERROR(Q1638,0))</f>
        <v/>
      </c>
      <c r="S1638" s="5" t="n"/>
      <c r="T1638" s="5" t="n"/>
      <c r="U1638" s="11">
        <f>IF(B1638="","",TRIM(LOWER(C1638)&amp;"|"&amp;LOWER(D1638)))</f>
        <v/>
      </c>
    </row>
    <row r="1639">
      <c r="A1639" s="11">
        <f>IF(B1639="","",TEXT(ROW()-3,"""DC-""0000"))</f>
        <v/>
      </c>
      <c r="B1639" s="5" t="n"/>
      <c r="C1639" s="5" t="n"/>
      <c r="D1639" s="5" t="n"/>
      <c r="E1639" s="5" t="n"/>
      <c r="F1639" s="5" t="n"/>
      <c r="G1639" s="5" t="n"/>
      <c r="H1639" s="8" t="n"/>
      <c r="I1639" s="8" t="n"/>
      <c r="J1639" s="8" t="n"/>
      <c r="K1639" s="11">
        <f>IF(B1639="","",MAX(0,IFERROR(I1639,0)*IFERROR(H1639,0)-IFERROR(J1639,0)))</f>
        <v/>
      </c>
      <c r="L1639" s="8" t="n"/>
      <c r="M1639" s="11">
        <f>IF(B1639="","",MAX(0,K1639-L1639))</f>
        <v/>
      </c>
      <c r="N1639" s="11">
        <f>IF(B1639="","",IF(L1639&gt;=K1639,"Paid",IF(L1639&gt;0,"Partial","Unpaid")))</f>
        <v/>
      </c>
      <c r="O1639" s="5" t="n"/>
      <c r="P1639" s="8" t="n"/>
      <c r="Q1639" s="8" t="n"/>
      <c r="R1639" s="11">
        <f>IF(B1639="","",IFERROR(K1639,0)+IFERROR(P1639,0)-IFERROR(Q1639,0))</f>
        <v/>
      </c>
      <c r="S1639" s="5" t="n"/>
      <c r="T1639" s="5" t="n"/>
      <c r="U1639" s="11">
        <f>IF(B1639="","",TRIM(LOWER(C1639)&amp;"|"&amp;LOWER(D1639)))</f>
        <v/>
      </c>
    </row>
    <row r="1640">
      <c r="A1640" s="11">
        <f>IF(B1640="","",TEXT(ROW()-3,"""DC-""0000"))</f>
        <v/>
      </c>
      <c r="B1640" s="5" t="n"/>
      <c r="C1640" s="5" t="n"/>
      <c r="D1640" s="5" t="n"/>
      <c r="E1640" s="5" t="n"/>
      <c r="F1640" s="5" t="n"/>
      <c r="G1640" s="5" t="n"/>
      <c r="H1640" s="8" t="n"/>
      <c r="I1640" s="8" t="n"/>
      <c r="J1640" s="8" t="n"/>
      <c r="K1640" s="11">
        <f>IF(B1640="","",MAX(0,IFERROR(I1640,0)*IFERROR(H1640,0)-IFERROR(J1640,0)))</f>
        <v/>
      </c>
      <c r="L1640" s="8" t="n"/>
      <c r="M1640" s="11">
        <f>IF(B1640="","",MAX(0,K1640-L1640))</f>
        <v/>
      </c>
      <c r="N1640" s="11">
        <f>IF(B1640="","",IF(L1640&gt;=K1640,"Paid",IF(L1640&gt;0,"Partial","Unpaid")))</f>
        <v/>
      </c>
      <c r="O1640" s="5" t="n"/>
      <c r="P1640" s="8" t="n"/>
      <c r="Q1640" s="8" t="n"/>
      <c r="R1640" s="11">
        <f>IF(B1640="","",IFERROR(K1640,0)+IFERROR(P1640,0)-IFERROR(Q1640,0))</f>
        <v/>
      </c>
      <c r="S1640" s="5" t="n"/>
      <c r="T1640" s="5" t="n"/>
      <c r="U1640" s="11">
        <f>IF(B1640="","",TRIM(LOWER(C1640)&amp;"|"&amp;LOWER(D1640)))</f>
        <v/>
      </c>
    </row>
    <row r="1641">
      <c r="A1641" s="11">
        <f>IF(B1641="","",TEXT(ROW()-3,"""DC-""0000"))</f>
        <v/>
      </c>
      <c r="B1641" s="5" t="n"/>
      <c r="C1641" s="5" t="n"/>
      <c r="D1641" s="5" t="n"/>
      <c r="E1641" s="5" t="n"/>
      <c r="F1641" s="5" t="n"/>
      <c r="G1641" s="5" t="n"/>
      <c r="H1641" s="8" t="n"/>
      <c r="I1641" s="8" t="n"/>
      <c r="J1641" s="8" t="n"/>
      <c r="K1641" s="11">
        <f>IF(B1641="","",MAX(0,IFERROR(I1641,0)*IFERROR(H1641,0)-IFERROR(J1641,0)))</f>
        <v/>
      </c>
      <c r="L1641" s="8" t="n"/>
      <c r="M1641" s="11">
        <f>IF(B1641="","",MAX(0,K1641-L1641))</f>
        <v/>
      </c>
      <c r="N1641" s="11">
        <f>IF(B1641="","",IF(L1641&gt;=K1641,"Paid",IF(L1641&gt;0,"Partial","Unpaid")))</f>
        <v/>
      </c>
      <c r="O1641" s="5" t="n"/>
      <c r="P1641" s="8" t="n"/>
      <c r="Q1641" s="8" t="n"/>
      <c r="R1641" s="11">
        <f>IF(B1641="","",IFERROR(K1641,0)+IFERROR(P1641,0)-IFERROR(Q1641,0))</f>
        <v/>
      </c>
      <c r="S1641" s="5" t="n"/>
      <c r="T1641" s="5" t="n"/>
      <c r="U1641" s="11">
        <f>IF(B1641="","",TRIM(LOWER(C1641)&amp;"|"&amp;LOWER(D1641)))</f>
        <v/>
      </c>
    </row>
    <row r="1642">
      <c r="A1642" s="11">
        <f>IF(B1642="","",TEXT(ROW()-3,"""DC-""0000"))</f>
        <v/>
      </c>
      <c r="B1642" s="5" t="n"/>
      <c r="C1642" s="5" t="n"/>
      <c r="D1642" s="5" t="n"/>
      <c r="E1642" s="5" t="n"/>
      <c r="F1642" s="5" t="n"/>
      <c r="G1642" s="5" t="n"/>
      <c r="H1642" s="8" t="n"/>
      <c r="I1642" s="8" t="n"/>
      <c r="J1642" s="8" t="n"/>
      <c r="K1642" s="11">
        <f>IF(B1642="","",MAX(0,IFERROR(I1642,0)*IFERROR(H1642,0)-IFERROR(J1642,0)))</f>
        <v/>
      </c>
      <c r="L1642" s="8" t="n"/>
      <c r="M1642" s="11">
        <f>IF(B1642="","",MAX(0,K1642-L1642))</f>
        <v/>
      </c>
      <c r="N1642" s="11">
        <f>IF(B1642="","",IF(L1642&gt;=K1642,"Paid",IF(L1642&gt;0,"Partial","Unpaid")))</f>
        <v/>
      </c>
      <c r="O1642" s="5" t="n"/>
      <c r="P1642" s="8" t="n"/>
      <c r="Q1642" s="8" t="n"/>
      <c r="R1642" s="11">
        <f>IF(B1642="","",IFERROR(K1642,0)+IFERROR(P1642,0)-IFERROR(Q1642,0))</f>
        <v/>
      </c>
      <c r="S1642" s="5" t="n"/>
      <c r="T1642" s="5" t="n"/>
      <c r="U1642" s="11">
        <f>IF(B1642="","",TRIM(LOWER(C1642)&amp;"|"&amp;LOWER(D1642)))</f>
        <v/>
      </c>
    </row>
    <row r="1643">
      <c r="A1643" s="11">
        <f>IF(B1643="","",TEXT(ROW()-3,"""DC-""0000"))</f>
        <v/>
      </c>
      <c r="B1643" s="5" t="n"/>
      <c r="C1643" s="5" t="n"/>
      <c r="D1643" s="5" t="n"/>
      <c r="E1643" s="5" t="n"/>
      <c r="F1643" s="5" t="n"/>
      <c r="G1643" s="5" t="n"/>
      <c r="H1643" s="8" t="n"/>
      <c r="I1643" s="8" t="n"/>
      <c r="J1643" s="8" t="n"/>
      <c r="K1643" s="11">
        <f>IF(B1643="","",MAX(0,IFERROR(I1643,0)*IFERROR(H1643,0)-IFERROR(J1643,0)))</f>
        <v/>
      </c>
      <c r="L1643" s="8" t="n"/>
      <c r="M1643" s="11">
        <f>IF(B1643="","",MAX(0,K1643-L1643))</f>
        <v/>
      </c>
      <c r="N1643" s="11">
        <f>IF(B1643="","",IF(L1643&gt;=K1643,"Paid",IF(L1643&gt;0,"Partial","Unpaid")))</f>
        <v/>
      </c>
      <c r="O1643" s="5" t="n"/>
      <c r="P1643" s="8" t="n"/>
      <c r="Q1643" s="8" t="n"/>
      <c r="R1643" s="11">
        <f>IF(B1643="","",IFERROR(K1643,0)+IFERROR(P1643,0)-IFERROR(Q1643,0))</f>
        <v/>
      </c>
      <c r="S1643" s="5" t="n"/>
      <c r="T1643" s="5" t="n"/>
      <c r="U1643" s="11">
        <f>IF(B1643="","",TRIM(LOWER(C1643)&amp;"|"&amp;LOWER(D1643)))</f>
        <v/>
      </c>
    </row>
    <row r="1644">
      <c r="A1644" s="11">
        <f>IF(B1644="","",TEXT(ROW()-3,"""DC-""0000"))</f>
        <v/>
      </c>
      <c r="B1644" s="5" t="n"/>
      <c r="C1644" s="5" t="n"/>
      <c r="D1644" s="5" t="n"/>
      <c r="E1644" s="5" t="n"/>
      <c r="F1644" s="5" t="n"/>
      <c r="G1644" s="5" t="n"/>
      <c r="H1644" s="8" t="n"/>
      <c r="I1644" s="8" t="n"/>
      <c r="J1644" s="8" t="n"/>
      <c r="K1644" s="11">
        <f>IF(B1644="","",MAX(0,IFERROR(I1644,0)*IFERROR(H1644,0)-IFERROR(J1644,0)))</f>
        <v/>
      </c>
      <c r="L1644" s="8" t="n"/>
      <c r="M1644" s="11">
        <f>IF(B1644="","",MAX(0,K1644-L1644))</f>
        <v/>
      </c>
      <c r="N1644" s="11">
        <f>IF(B1644="","",IF(L1644&gt;=K1644,"Paid",IF(L1644&gt;0,"Partial","Unpaid")))</f>
        <v/>
      </c>
      <c r="O1644" s="5" t="n"/>
      <c r="P1644" s="8" t="n"/>
      <c r="Q1644" s="8" t="n"/>
      <c r="R1644" s="11">
        <f>IF(B1644="","",IFERROR(K1644,0)+IFERROR(P1644,0)-IFERROR(Q1644,0))</f>
        <v/>
      </c>
      <c r="S1644" s="5" t="n"/>
      <c r="T1644" s="5" t="n"/>
      <c r="U1644" s="11">
        <f>IF(B1644="","",TRIM(LOWER(C1644)&amp;"|"&amp;LOWER(D1644)))</f>
        <v/>
      </c>
    </row>
    <row r="1645">
      <c r="A1645" s="11">
        <f>IF(B1645="","",TEXT(ROW()-3,"""DC-""0000"))</f>
        <v/>
      </c>
      <c r="B1645" s="5" t="n"/>
      <c r="C1645" s="5" t="n"/>
      <c r="D1645" s="5" t="n"/>
      <c r="E1645" s="5" t="n"/>
      <c r="F1645" s="5" t="n"/>
      <c r="G1645" s="5" t="n"/>
      <c r="H1645" s="8" t="n"/>
      <c r="I1645" s="8" t="n"/>
      <c r="J1645" s="8" t="n"/>
      <c r="K1645" s="11">
        <f>IF(B1645="","",MAX(0,IFERROR(I1645,0)*IFERROR(H1645,0)-IFERROR(J1645,0)))</f>
        <v/>
      </c>
      <c r="L1645" s="8" t="n"/>
      <c r="M1645" s="11">
        <f>IF(B1645="","",MAX(0,K1645-L1645))</f>
        <v/>
      </c>
      <c r="N1645" s="11">
        <f>IF(B1645="","",IF(L1645&gt;=K1645,"Paid",IF(L1645&gt;0,"Partial","Unpaid")))</f>
        <v/>
      </c>
      <c r="O1645" s="5" t="n"/>
      <c r="P1645" s="8" t="n"/>
      <c r="Q1645" s="8" t="n"/>
      <c r="R1645" s="11">
        <f>IF(B1645="","",IFERROR(K1645,0)+IFERROR(P1645,0)-IFERROR(Q1645,0))</f>
        <v/>
      </c>
      <c r="S1645" s="5" t="n"/>
      <c r="T1645" s="5" t="n"/>
      <c r="U1645" s="11">
        <f>IF(B1645="","",TRIM(LOWER(C1645)&amp;"|"&amp;LOWER(D1645)))</f>
        <v/>
      </c>
    </row>
    <row r="1646">
      <c r="A1646" s="11">
        <f>IF(B1646="","",TEXT(ROW()-3,"""DC-""0000"))</f>
        <v/>
      </c>
      <c r="B1646" s="5" t="n"/>
      <c r="C1646" s="5" t="n"/>
      <c r="D1646" s="5" t="n"/>
      <c r="E1646" s="5" t="n"/>
      <c r="F1646" s="5" t="n"/>
      <c r="G1646" s="5" t="n"/>
      <c r="H1646" s="8" t="n"/>
      <c r="I1646" s="8" t="n"/>
      <c r="J1646" s="8" t="n"/>
      <c r="K1646" s="11">
        <f>IF(B1646="","",MAX(0,IFERROR(I1646,0)*IFERROR(H1646,0)-IFERROR(J1646,0)))</f>
        <v/>
      </c>
      <c r="L1646" s="8" t="n"/>
      <c r="M1646" s="11">
        <f>IF(B1646="","",MAX(0,K1646-L1646))</f>
        <v/>
      </c>
      <c r="N1646" s="11">
        <f>IF(B1646="","",IF(L1646&gt;=K1646,"Paid",IF(L1646&gt;0,"Partial","Unpaid")))</f>
        <v/>
      </c>
      <c r="O1646" s="5" t="n"/>
      <c r="P1646" s="8" t="n"/>
      <c r="Q1646" s="8" t="n"/>
      <c r="R1646" s="11">
        <f>IF(B1646="","",IFERROR(K1646,0)+IFERROR(P1646,0)-IFERROR(Q1646,0))</f>
        <v/>
      </c>
      <c r="S1646" s="5" t="n"/>
      <c r="T1646" s="5" t="n"/>
      <c r="U1646" s="11">
        <f>IF(B1646="","",TRIM(LOWER(C1646)&amp;"|"&amp;LOWER(D1646)))</f>
        <v/>
      </c>
    </row>
    <row r="1647">
      <c r="A1647" s="11">
        <f>IF(B1647="","",TEXT(ROW()-3,"""DC-""0000"))</f>
        <v/>
      </c>
      <c r="B1647" s="5" t="n"/>
      <c r="C1647" s="5" t="n"/>
      <c r="D1647" s="5" t="n"/>
      <c r="E1647" s="5" t="n"/>
      <c r="F1647" s="5" t="n"/>
      <c r="G1647" s="5" t="n"/>
      <c r="H1647" s="8" t="n"/>
      <c r="I1647" s="8" t="n"/>
      <c r="J1647" s="8" t="n"/>
      <c r="K1647" s="11">
        <f>IF(B1647="","",MAX(0,IFERROR(I1647,0)*IFERROR(H1647,0)-IFERROR(J1647,0)))</f>
        <v/>
      </c>
      <c r="L1647" s="8" t="n"/>
      <c r="M1647" s="11">
        <f>IF(B1647="","",MAX(0,K1647-L1647))</f>
        <v/>
      </c>
      <c r="N1647" s="11">
        <f>IF(B1647="","",IF(L1647&gt;=K1647,"Paid",IF(L1647&gt;0,"Partial","Unpaid")))</f>
        <v/>
      </c>
      <c r="O1647" s="5" t="n"/>
      <c r="P1647" s="8" t="n"/>
      <c r="Q1647" s="8" t="n"/>
      <c r="R1647" s="11">
        <f>IF(B1647="","",IFERROR(K1647,0)+IFERROR(P1647,0)-IFERROR(Q1647,0))</f>
        <v/>
      </c>
      <c r="S1647" s="5" t="n"/>
      <c r="T1647" s="5" t="n"/>
      <c r="U1647" s="11">
        <f>IF(B1647="","",TRIM(LOWER(C1647)&amp;"|"&amp;LOWER(D1647)))</f>
        <v/>
      </c>
    </row>
    <row r="1648">
      <c r="A1648" s="11">
        <f>IF(B1648="","",TEXT(ROW()-3,"""DC-""0000"))</f>
        <v/>
      </c>
      <c r="B1648" s="5" t="n"/>
      <c r="C1648" s="5" t="n"/>
      <c r="D1648" s="5" t="n"/>
      <c r="E1648" s="5" t="n"/>
      <c r="F1648" s="5" t="n"/>
      <c r="G1648" s="5" t="n"/>
      <c r="H1648" s="8" t="n"/>
      <c r="I1648" s="8" t="n"/>
      <c r="J1648" s="8" t="n"/>
      <c r="K1648" s="11">
        <f>IF(B1648="","",MAX(0,IFERROR(I1648,0)*IFERROR(H1648,0)-IFERROR(J1648,0)))</f>
        <v/>
      </c>
      <c r="L1648" s="8" t="n"/>
      <c r="M1648" s="11">
        <f>IF(B1648="","",MAX(0,K1648-L1648))</f>
        <v/>
      </c>
      <c r="N1648" s="11">
        <f>IF(B1648="","",IF(L1648&gt;=K1648,"Paid",IF(L1648&gt;0,"Partial","Unpaid")))</f>
        <v/>
      </c>
      <c r="O1648" s="5" t="n"/>
      <c r="P1648" s="8" t="n"/>
      <c r="Q1648" s="8" t="n"/>
      <c r="R1648" s="11">
        <f>IF(B1648="","",IFERROR(K1648,0)+IFERROR(P1648,0)-IFERROR(Q1648,0))</f>
        <v/>
      </c>
      <c r="S1648" s="5" t="n"/>
      <c r="T1648" s="5" t="n"/>
      <c r="U1648" s="11">
        <f>IF(B1648="","",TRIM(LOWER(C1648)&amp;"|"&amp;LOWER(D1648)))</f>
        <v/>
      </c>
    </row>
    <row r="1649">
      <c r="A1649" s="11">
        <f>IF(B1649="","",TEXT(ROW()-3,"""DC-""0000"))</f>
        <v/>
      </c>
      <c r="B1649" s="5" t="n"/>
      <c r="C1649" s="5" t="n"/>
      <c r="D1649" s="5" t="n"/>
      <c r="E1649" s="5" t="n"/>
      <c r="F1649" s="5" t="n"/>
      <c r="G1649" s="5" t="n"/>
      <c r="H1649" s="8" t="n"/>
      <c r="I1649" s="8" t="n"/>
      <c r="J1649" s="8" t="n"/>
      <c r="K1649" s="11">
        <f>IF(B1649="","",MAX(0,IFERROR(I1649,0)*IFERROR(H1649,0)-IFERROR(J1649,0)))</f>
        <v/>
      </c>
      <c r="L1649" s="8" t="n"/>
      <c r="M1649" s="11">
        <f>IF(B1649="","",MAX(0,K1649-L1649))</f>
        <v/>
      </c>
      <c r="N1649" s="11">
        <f>IF(B1649="","",IF(L1649&gt;=K1649,"Paid",IF(L1649&gt;0,"Partial","Unpaid")))</f>
        <v/>
      </c>
      <c r="O1649" s="5" t="n"/>
      <c r="P1649" s="8" t="n"/>
      <c r="Q1649" s="8" t="n"/>
      <c r="R1649" s="11">
        <f>IF(B1649="","",IFERROR(K1649,0)+IFERROR(P1649,0)-IFERROR(Q1649,0))</f>
        <v/>
      </c>
      <c r="S1649" s="5" t="n"/>
      <c r="T1649" s="5" t="n"/>
      <c r="U1649" s="11">
        <f>IF(B1649="","",TRIM(LOWER(C1649)&amp;"|"&amp;LOWER(D1649)))</f>
        <v/>
      </c>
    </row>
    <row r="1650">
      <c r="A1650" s="11">
        <f>IF(B1650="","",TEXT(ROW()-3,"""DC-""0000"))</f>
        <v/>
      </c>
      <c r="B1650" s="5" t="n"/>
      <c r="C1650" s="5" t="n"/>
      <c r="D1650" s="5" t="n"/>
      <c r="E1650" s="5" t="n"/>
      <c r="F1650" s="5" t="n"/>
      <c r="G1650" s="5" t="n"/>
      <c r="H1650" s="8" t="n"/>
      <c r="I1650" s="8" t="n"/>
      <c r="J1650" s="8" t="n"/>
      <c r="K1650" s="11">
        <f>IF(B1650="","",MAX(0,IFERROR(I1650,0)*IFERROR(H1650,0)-IFERROR(J1650,0)))</f>
        <v/>
      </c>
      <c r="L1650" s="8" t="n"/>
      <c r="M1650" s="11">
        <f>IF(B1650="","",MAX(0,K1650-L1650))</f>
        <v/>
      </c>
      <c r="N1650" s="11">
        <f>IF(B1650="","",IF(L1650&gt;=K1650,"Paid",IF(L1650&gt;0,"Partial","Unpaid")))</f>
        <v/>
      </c>
      <c r="O1650" s="5" t="n"/>
      <c r="P1650" s="8" t="n"/>
      <c r="Q1650" s="8" t="n"/>
      <c r="R1650" s="11">
        <f>IF(B1650="","",IFERROR(K1650,0)+IFERROR(P1650,0)-IFERROR(Q1650,0))</f>
        <v/>
      </c>
      <c r="S1650" s="5" t="n"/>
      <c r="T1650" s="5" t="n"/>
      <c r="U1650" s="11">
        <f>IF(B1650="","",TRIM(LOWER(C1650)&amp;"|"&amp;LOWER(D1650)))</f>
        <v/>
      </c>
    </row>
    <row r="1651">
      <c r="A1651" s="11">
        <f>IF(B1651="","",TEXT(ROW()-3,"""DC-""0000"))</f>
        <v/>
      </c>
      <c r="B1651" s="5" t="n"/>
      <c r="C1651" s="5" t="n"/>
      <c r="D1651" s="5" t="n"/>
      <c r="E1651" s="5" t="n"/>
      <c r="F1651" s="5" t="n"/>
      <c r="G1651" s="5" t="n"/>
      <c r="H1651" s="8" t="n"/>
      <c r="I1651" s="8" t="n"/>
      <c r="J1651" s="8" t="n"/>
      <c r="K1651" s="11">
        <f>IF(B1651="","",MAX(0,IFERROR(I1651,0)*IFERROR(H1651,0)-IFERROR(J1651,0)))</f>
        <v/>
      </c>
      <c r="L1651" s="8" t="n"/>
      <c r="M1651" s="11">
        <f>IF(B1651="","",MAX(0,K1651-L1651))</f>
        <v/>
      </c>
      <c r="N1651" s="11">
        <f>IF(B1651="","",IF(L1651&gt;=K1651,"Paid",IF(L1651&gt;0,"Partial","Unpaid")))</f>
        <v/>
      </c>
      <c r="O1651" s="5" t="n"/>
      <c r="P1651" s="8" t="n"/>
      <c r="Q1651" s="8" t="n"/>
      <c r="R1651" s="11">
        <f>IF(B1651="","",IFERROR(K1651,0)+IFERROR(P1651,0)-IFERROR(Q1651,0))</f>
        <v/>
      </c>
      <c r="S1651" s="5" t="n"/>
      <c r="T1651" s="5" t="n"/>
      <c r="U1651" s="11">
        <f>IF(B1651="","",TRIM(LOWER(C1651)&amp;"|"&amp;LOWER(D1651)))</f>
        <v/>
      </c>
    </row>
    <row r="1652">
      <c r="A1652" s="11">
        <f>IF(B1652="","",TEXT(ROW()-3,"""DC-""0000"))</f>
        <v/>
      </c>
      <c r="B1652" s="5" t="n"/>
      <c r="C1652" s="5" t="n"/>
      <c r="D1652" s="5" t="n"/>
      <c r="E1652" s="5" t="n"/>
      <c r="F1652" s="5" t="n"/>
      <c r="G1652" s="5" t="n"/>
      <c r="H1652" s="8" t="n"/>
      <c r="I1652" s="8" t="n"/>
      <c r="J1652" s="8" t="n"/>
      <c r="K1652" s="11">
        <f>IF(B1652="","",MAX(0,IFERROR(I1652,0)*IFERROR(H1652,0)-IFERROR(J1652,0)))</f>
        <v/>
      </c>
      <c r="L1652" s="8" t="n"/>
      <c r="M1652" s="11">
        <f>IF(B1652="","",MAX(0,K1652-L1652))</f>
        <v/>
      </c>
      <c r="N1652" s="11">
        <f>IF(B1652="","",IF(L1652&gt;=K1652,"Paid",IF(L1652&gt;0,"Partial","Unpaid")))</f>
        <v/>
      </c>
      <c r="O1652" s="5" t="n"/>
      <c r="P1652" s="8" t="n"/>
      <c r="Q1652" s="8" t="n"/>
      <c r="R1652" s="11">
        <f>IF(B1652="","",IFERROR(K1652,0)+IFERROR(P1652,0)-IFERROR(Q1652,0))</f>
        <v/>
      </c>
      <c r="S1652" s="5" t="n"/>
      <c r="T1652" s="5" t="n"/>
      <c r="U1652" s="11">
        <f>IF(B1652="","",TRIM(LOWER(C1652)&amp;"|"&amp;LOWER(D1652)))</f>
        <v/>
      </c>
    </row>
    <row r="1653">
      <c r="A1653" s="11">
        <f>IF(B1653="","",TEXT(ROW()-3,"""DC-""0000"))</f>
        <v/>
      </c>
      <c r="B1653" s="5" t="n"/>
      <c r="C1653" s="5" t="n"/>
      <c r="D1653" s="5" t="n"/>
      <c r="E1653" s="5" t="n"/>
      <c r="F1653" s="5" t="n"/>
      <c r="G1653" s="5" t="n"/>
      <c r="H1653" s="8" t="n"/>
      <c r="I1653" s="8" t="n"/>
      <c r="J1653" s="8" t="n"/>
      <c r="K1653" s="11">
        <f>IF(B1653="","",MAX(0,IFERROR(I1653,0)*IFERROR(H1653,0)-IFERROR(J1653,0)))</f>
        <v/>
      </c>
      <c r="L1653" s="8" t="n"/>
      <c r="M1653" s="11">
        <f>IF(B1653="","",MAX(0,K1653-L1653))</f>
        <v/>
      </c>
      <c r="N1653" s="11">
        <f>IF(B1653="","",IF(L1653&gt;=K1653,"Paid",IF(L1653&gt;0,"Partial","Unpaid")))</f>
        <v/>
      </c>
      <c r="O1653" s="5" t="n"/>
      <c r="P1653" s="8" t="n"/>
      <c r="Q1653" s="8" t="n"/>
      <c r="R1653" s="11">
        <f>IF(B1653="","",IFERROR(K1653,0)+IFERROR(P1653,0)-IFERROR(Q1653,0))</f>
        <v/>
      </c>
      <c r="S1653" s="5" t="n"/>
      <c r="T1653" s="5" t="n"/>
      <c r="U1653" s="11">
        <f>IF(B1653="","",TRIM(LOWER(C1653)&amp;"|"&amp;LOWER(D1653)))</f>
        <v/>
      </c>
    </row>
    <row r="1654">
      <c r="A1654" s="11">
        <f>IF(B1654="","",TEXT(ROW()-3,"""DC-""0000"))</f>
        <v/>
      </c>
      <c r="B1654" s="5" t="n"/>
      <c r="C1654" s="5" t="n"/>
      <c r="D1654" s="5" t="n"/>
      <c r="E1654" s="5" t="n"/>
      <c r="F1654" s="5" t="n"/>
      <c r="G1654" s="5" t="n"/>
      <c r="H1654" s="8" t="n"/>
      <c r="I1654" s="8" t="n"/>
      <c r="J1654" s="8" t="n"/>
      <c r="K1654" s="11">
        <f>IF(B1654="","",MAX(0,IFERROR(I1654,0)*IFERROR(H1654,0)-IFERROR(J1654,0)))</f>
        <v/>
      </c>
      <c r="L1654" s="8" t="n"/>
      <c r="M1654" s="11">
        <f>IF(B1654="","",MAX(0,K1654-L1654))</f>
        <v/>
      </c>
      <c r="N1654" s="11">
        <f>IF(B1654="","",IF(L1654&gt;=K1654,"Paid",IF(L1654&gt;0,"Partial","Unpaid")))</f>
        <v/>
      </c>
      <c r="O1654" s="5" t="n"/>
      <c r="P1654" s="8" t="n"/>
      <c r="Q1654" s="8" t="n"/>
      <c r="R1654" s="11">
        <f>IF(B1654="","",IFERROR(K1654,0)+IFERROR(P1654,0)-IFERROR(Q1654,0))</f>
        <v/>
      </c>
      <c r="S1654" s="5" t="n"/>
      <c r="T1654" s="5" t="n"/>
      <c r="U1654" s="11">
        <f>IF(B1654="","",TRIM(LOWER(C1654)&amp;"|"&amp;LOWER(D1654)))</f>
        <v/>
      </c>
    </row>
    <row r="1655">
      <c r="A1655" s="11">
        <f>IF(B1655="","",TEXT(ROW()-3,"""DC-""0000"))</f>
        <v/>
      </c>
      <c r="B1655" s="5" t="n"/>
      <c r="C1655" s="5" t="n"/>
      <c r="D1655" s="5" t="n"/>
      <c r="E1655" s="5" t="n"/>
      <c r="F1655" s="5" t="n"/>
      <c r="G1655" s="5" t="n"/>
      <c r="H1655" s="8" t="n"/>
      <c r="I1655" s="8" t="n"/>
      <c r="J1655" s="8" t="n"/>
      <c r="K1655" s="11">
        <f>IF(B1655="","",MAX(0,IFERROR(I1655,0)*IFERROR(H1655,0)-IFERROR(J1655,0)))</f>
        <v/>
      </c>
      <c r="L1655" s="8" t="n"/>
      <c r="M1655" s="11">
        <f>IF(B1655="","",MAX(0,K1655-L1655))</f>
        <v/>
      </c>
      <c r="N1655" s="11">
        <f>IF(B1655="","",IF(L1655&gt;=K1655,"Paid",IF(L1655&gt;0,"Partial","Unpaid")))</f>
        <v/>
      </c>
      <c r="O1655" s="5" t="n"/>
      <c r="P1655" s="8" t="n"/>
      <c r="Q1655" s="8" t="n"/>
      <c r="R1655" s="11">
        <f>IF(B1655="","",IFERROR(K1655,0)+IFERROR(P1655,0)-IFERROR(Q1655,0))</f>
        <v/>
      </c>
      <c r="S1655" s="5" t="n"/>
      <c r="T1655" s="5" t="n"/>
      <c r="U1655" s="11">
        <f>IF(B1655="","",TRIM(LOWER(C1655)&amp;"|"&amp;LOWER(D1655)))</f>
        <v/>
      </c>
    </row>
    <row r="1656">
      <c r="A1656" s="11">
        <f>IF(B1656="","",TEXT(ROW()-3,"""DC-""0000"))</f>
        <v/>
      </c>
      <c r="B1656" s="5" t="n"/>
      <c r="C1656" s="5" t="n"/>
      <c r="D1656" s="5" t="n"/>
      <c r="E1656" s="5" t="n"/>
      <c r="F1656" s="5" t="n"/>
      <c r="G1656" s="5" t="n"/>
      <c r="H1656" s="8" t="n"/>
      <c r="I1656" s="8" t="n"/>
      <c r="J1656" s="8" t="n"/>
      <c r="K1656" s="11">
        <f>IF(B1656="","",MAX(0,IFERROR(I1656,0)*IFERROR(H1656,0)-IFERROR(J1656,0)))</f>
        <v/>
      </c>
      <c r="L1656" s="8" t="n"/>
      <c r="M1656" s="11">
        <f>IF(B1656="","",MAX(0,K1656-L1656))</f>
        <v/>
      </c>
      <c r="N1656" s="11">
        <f>IF(B1656="","",IF(L1656&gt;=K1656,"Paid",IF(L1656&gt;0,"Partial","Unpaid")))</f>
        <v/>
      </c>
      <c r="O1656" s="5" t="n"/>
      <c r="P1656" s="8" t="n"/>
      <c r="Q1656" s="8" t="n"/>
      <c r="R1656" s="11">
        <f>IF(B1656="","",IFERROR(K1656,0)+IFERROR(P1656,0)-IFERROR(Q1656,0))</f>
        <v/>
      </c>
      <c r="S1656" s="5" t="n"/>
      <c r="T1656" s="5" t="n"/>
      <c r="U1656" s="11">
        <f>IF(B1656="","",TRIM(LOWER(C1656)&amp;"|"&amp;LOWER(D1656)))</f>
        <v/>
      </c>
    </row>
    <row r="1657">
      <c r="A1657" s="11">
        <f>IF(B1657="","",TEXT(ROW()-3,"""DC-""0000"))</f>
        <v/>
      </c>
      <c r="B1657" s="5" t="n"/>
      <c r="C1657" s="5" t="n"/>
      <c r="D1657" s="5" t="n"/>
      <c r="E1657" s="5" t="n"/>
      <c r="F1657" s="5" t="n"/>
      <c r="G1657" s="5" t="n"/>
      <c r="H1657" s="8" t="n"/>
      <c r="I1657" s="8" t="n"/>
      <c r="J1657" s="8" t="n"/>
      <c r="K1657" s="11">
        <f>IF(B1657="","",MAX(0,IFERROR(I1657,0)*IFERROR(H1657,0)-IFERROR(J1657,0)))</f>
        <v/>
      </c>
      <c r="L1657" s="8" t="n"/>
      <c r="M1657" s="11">
        <f>IF(B1657="","",MAX(0,K1657-L1657))</f>
        <v/>
      </c>
      <c r="N1657" s="11">
        <f>IF(B1657="","",IF(L1657&gt;=K1657,"Paid",IF(L1657&gt;0,"Partial","Unpaid")))</f>
        <v/>
      </c>
      <c r="O1657" s="5" t="n"/>
      <c r="P1657" s="8" t="n"/>
      <c r="Q1657" s="8" t="n"/>
      <c r="R1657" s="11">
        <f>IF(B1657="","",IFERROR(K1657,0)+IFERROR(P1657,0)-IFERROR(Q1657,0))</f>
        <v/>
      </c>
      <c r="S1657" s="5" t="n"/>
      <c r="T1657" s="5" t="n"/>
      <c r="U1657" s="11">
        <f>IF(B1657="","",TRIM(LOWER(C1657)&amp;"|"&amp;LOWER(D1657)))</f>
        <v/>
      </c>
    </row>
    <row r="1658">
      <c r="A1658" s="11">
        <f>IF(B1658="","",TEXT(ROW()-3,"""DC-""0000"))</f>
        <v/>
      </c>
      <c r="B1658" s="5" t="n"/>
      <c r="C1658" s="5" t="n"/>
      <c r="D1658" s="5" t="n"/>
      <c r="E1658" s="5" t="n"/>
      <c r="F1658" s="5" t="n"/>
      <c r="G1658" s="5" t="n"/>
      <c r="H1658" s="8" t="n"/>
      <c r="I1658" s="8" t="n"/>
      <c r="J1658" s="8" t="n"/>
      <c r="K1658" s="11">
        <f>IF(B1658="","",MAX(0,IFERROR(I1658,0)*IFERROR(H1658,0)-IFERROR(J1658,0)))</f>
        <v/>
      </c>
      <c r="L1658" s="8" t="n"/>
      <c r="M1658" s="11">
        <f>IF(B1658="","",MAX(0,K1658-L1658))</f>
        <v/>
      </c>
      <c r="N1658" s="11">
        <f>IF(B1658="","",IF(L1658&gt;=K1658,"Paid",IF(L1658&gt;0,"Partial","Unpaid")))</f>
        <v/>
      </c>
      <c r="O1658" s="5" t="n"/>
      <c r="P1658" s="8" t="n"/>
      <c r="Q1658" s="8" t="n"/>
      <c r="R1658" s="11">
        <f>IF(B1658="","",IFERROR(K1658,0)+IFERROR(P1658,0)-IFERROR(Q1658,0))</f>
        <v/>
      </c>
      <c r="S1658" s="5" t="n"/>
      <c r="T1658" s="5" t="n"/>
      <c r="U1658" s="11">
        <f>IF(B1658="","",TRIM(LOWER(C1658)&amp;"|"&amp;LOWER(D1658)))</f>
        <v/>
      </c>
    </row>
    <row r="1659">
      <c r="A1659" s="11">
        <f>IF(B1659="","",TEXT(ROW()-3,"""DC-""0000"))</f>
        <v/>
      </c>
      <c r="B1659" s="5" t="n"/>
      <c r="C1659" s="5" t="n"/>
      <c r="D1659" s="5" t="n"/>
      <c r="E1659" s="5" t="n"/>
      <c r="F1659" s="5" t="n"/>
      <c r="G1659" s="5" t="n"/>
      <c r="H1659" s="8" t="n"/>
      <c r="I1659" s="8" t="n"/>
      <c r="J1659" s="8" t="n"/>
      <c r="K1659" s="11">
        <f>IF(B1659="","",MAX(0,IFERROR(I1659,0)*IFERROR(H1659,0)-IFERROR(J1659,0)))</f>
        <v/>
      </c>
      <c r="L1659" s="8" t="n"/>
      <c r="M1659" s="11">
        <f>IF(B1659="","",MAX(0,K1659-L1659))</f>
        <v/>
      </c>
      <c r="N1659" s="11">
        <f>IF(B1659="","",IF(L1659&gt;=K1659,"Paid",IF(L1659&gt;0,"Partial","Unpaid")))</f>
        <v/>
      </c>
      <c r="O1659" s="5" t="n"/>
      <c r="P1659" s="8" t="n"/>
      <c r="Q1659" s="8" t="n"/>
      <c r="R1659" s="11">
        <f>IF(B1659="","",IFERROR(K1659,0)+IFERROR(P1659,0)-IFERROR(Q1659,0))</f>
        <v/>
      </c>
      <c r="S1659" s="5" t="n"/>
      <c r="T1659" s="5" t="n"/>
      <c r="U1659" s="11">
        <f>IF(B1659="","",TRIM(LOWER(C1659)&amp;"|"&amp;LOWER(D1659)))</f>
        <v/>
      </c>
    </row>
    <row r="1660">
      <c r="A1660" s="11">
        <f>IF(B1660="","",TEXT(ROW()-3,"""DC-""0000"))</f>
        <v/>
      </c>
      <c r="B1660" s="5" t="n"/>
      <c r="C1660" s="5" t="n"/>
      <c r="D1660" s="5" t="n"/>
      <c r="E1660" s="5" t="n"/>
      <c r="F1660" s="5" t="n"/>
      <c r="G1660" s="5" t="n"/>
      <c r="H1660" s="8" t="n"/>
      <c r="I1660" s="8" t="n"/>
      <c r="J1660" s="8" t="n"/>
      <c r="K1660" s="11">
        <f>IF(B1660="","",MAX(0,IFERROR(I1660,0)*IFERROR(H1660,0)-IFERROR(J1660,0)))</f>
        <v/>
      </c>
      <c r="L1660" s="8" t="n"/>
      <c r="M1660" s="11">
        <f>IF(B1660="","",MAX(0,K1660-L1660))</f>
        <v/>
      </c>
      <c r="N1660" s="11">
        <f>IF(B1660="","",IF(L1660&gt;=K1660,"Paid",IF(L1660&gt;0,"Partial","Unpaid")))</f>
        <v/>
      </c>
      <c r="O1660" s="5" t="n"/>
      <c r="P1660" s="8" t="n"/>
      <c r="Q1660" s="8" t="n"/>
      <c r="R1660" s="11">
        <f>IF(B1660="","",IFERROR(K1660,0)+IFERROR(P1660,0)-IFERROR(Q1660,0))</f>
        <v/>
      </c>
      <c r="S1660" s="5" t="n"/>
      <c r="T1660" s="5" t="n"/>
      <c r="U1660" s="11">
        <f>IF(B1660="","",TRIM(LOWER(C1660)&amp;"|"&amp;LOWER(D1660)))</f>
        <v/>
      </c>
    </row>
    <row r="1661">
      <c r="A1661" s="11">
        <f>IF(B1661="","",TEXT(ROW()-3,"""DC-""0000"))</f>
        <v/>
      </c>
      <c r="B1661" s="5" t="n"/>
      <c r="C1661" s="5" t="n"/>
      <c r="D1661" s="5" t="n"/>
      <c r="E1661" s="5" t="n"/>
      <c r="F1661" s="5" t="n"/>
      <c r="G1661" s="5" t="n"/>
      <c r="H1661" s="8" t="n"/>
      <c r="I1661" s="8" t="n"/>
      <c r="J1661" s="8" t="n"/>
      <c r="K1661" s="11">
        <f>IF(B1661="","",MAX(0,IFERROR(I1661,0)*IFERROR(H1661,0)-IFERROR(J1661,0)))</f>
        <v/>
      </c>
      <c r="L1661" s="8" t="n"/>
      <c r="M1661" s="11">
        <f>IF(B1661="","",MAX(0,K1661-L1661))</f>
        <v/>
      </c>
      <c r="N1661" s="11">
        <f>IF(B1661="","",IF(L1661&gt;=K1661,"Paid",IF(L1661&gt;0,"Partial","Unpaid")))</f>
        <v/>
      </c>
      <c r="O1661" s="5" t="n"/>
      <c r="P1661" s="8" t="n"/>
      <c r="Q1661" s="8" t="n"/>
      <c r="R1661" s="11">
        <f>IF(B1661="","",IFERROR(K1661,0)+IFERROR(P1661,0)-IFERROR(Q1661,0))</f>
        <v/>
      </c>
      <c r="S1661" s="5" t="n"/>
      <c r="T1661" s="5" t="n"/>
      <c r="U1661" s="11">
        <f>IF(B1661="","",TRIM(LOWER(C1661)&amp;"|"&amp;LOWER(D1661)))</f>
        <v/>
      </c>
    </row>
    <row r="1662">
      <c r="A1662" s="11">
        <f>IF(B1662="","",TEXT(ROW()-3,"""DC-""0000"))</f>
        <v/>
      </c>
      <c r="B1662" s="5" t="n"/>
      <c r="C1662" s="5" t="n"/>
      <c r="D1662" s="5" t="n"/>
      <c r="E1662" s="5" t="n"/>
      <c r="F1662" s="5" t="n"/>
      <c r="G1662" s="5" t="n"/>
      <c r="H1662" s="8" t="n"/>
      <c r="I1662" s="8" t="n"/>
      <c r="J1662" s="8" t="n"/>
      <c r="K1662" s="11">
        <f>IF(B1662="","",MAX(0,IFERROR(I1662,0)*IFERROR(H1662,0)-IFERROR(J1662,0)))</f>
        <v/>
      </c>
      <c r="L1662" s="8" t="n"/>
      <c r="M1662" s="11">
        <f>IF(B1662="","",MAX(0,K1662-L1662))</f>
        <v/>
      </c>
      <c r="N1662" s="11">
        <f>IF(B1662="","",IF(L1662&gt;=K1662,"Paid",IF(L1662&gt;0,"Partial","Unpaid")))</f>
        <v/>
      </c>
      <c r="O1662" s="5" t="n"/>
      <c r="P1662" s="8" t="n"/>
      <c r="Q1662" s="8" t="n"/>
      <c r="R1662" s="11">
        <f>IF(B1662="","",IFERROR(K1662,0)+IFERROR(P1662,0)-IFERROR(Q1662,0))</f>
        <v/>
      </c>
      <c r="S1662" s="5" t="n"/>
      <c r="T1662" s="5" t="n"/>
      <c r="U1662" s="11">
        <f>IF(B1662="","",TRIM(LOWER(C1662)&amp;"|"&amp;LOWER(D1662)))</f>
        <v/>
      </c>
    </row>
    <row r="1663">
      <c r="A1663" s="11">
        <f>IF(B1663="","",TEXT(ROW()-3,"""DC-""0000"))</f>
        <v/>
      </c>
      <c r="B1663" s="5" t="n"/>
      <c r="C1663" s="5" t="n"/>
      <c r="D1663" s="5" t="n"/>
      <c r="E1663" s="5" t="n"/>
      <c r="F1663" s="5" t="n"/>
      <c r="G1663" s="5" t="n"/>
      <c r="H1663" s="8" t="n"/>
      <c r="I1663" s="8" t="n"/>
      <c r="J1663" s="8" t="n"/>
      <c r="K1663" s="11">
        <f>IF(B1663="","",MAX(0,IFERROR(I1663,0)*IFERROR(H1663,0)-IFERROR(J1663,0)))</f>
        <v/>
      </c>
      <c r="L1663" s="8" t="n"/>
      <c r="M1663" s="11">
        <f>IF(B1663="","",MAX(0,K1663-L1663))</f>
        <v/>
      </c>
      <c r="N1663" s="11">
        <f>IF(B1663="","",IF(L1663&gt;=K1663,"Paid",IF(L1663&gt;0,"Partial","Unpaid")))</f>
        <v/>
      </c>
      <c r="O1663" s="5" t="n"/>
      <c r="P1663" s="8" t="n"/>
      <c r="Q1663" s="8" t="n"/>
      <c r="R1663" s="11">
        <f>IF(B1663="","",IFERROR(K1663,0)+IFERROR(P1663,0)-IFERROR(Q1663,0))</f>
        <v/>
      </c>
      <c r="S1663" s="5" t="n"/>
      <c r="T1663" s="5" t="n"/>
      <c r="U1663" s="11">
        <f>IF(B1663="","",TRIM(LOWER(C1663)&amp;"|"&amp;LOWER(D1663)))</f>
        <v/>
      </c>
    </row>
    <row r="1664">
      <c r="A1664" s="11">
        <f>IF(B1664="","",TEXT(ROW()-3,"""DC-""0000"))</f>
        <v/>
      </c>
      <c r="B1664" s="5" t="n"/>
      <c r="C1664" s="5" t="n"/>
      <c r="D1664" s="5" t="n"/>
      <c r="E1664" s="5" t="n"/>
      <c r="F1664" s="5" t="n"/>
      <c r="G1664" s="5" t="n"/>
      <c r="H1664" s="8" t="n"/>
      <c r="I1664" s="8" t="n"/>
      <c r="J1664" s="8" t="n"/>
      <c r="K1664" s="11">
        <f>IF(B1664="","",MAX(0,IFERROR(I1664,0)*IFERROR(H1664,0)-IFERROR(J1664,0)))</f>
        <v/>
      </c>
      <c r="L1664" s="8" t="n"/>
      <c r="M1664" s="11">
        <f>IF(B1664="","",MAX(0,K1664-L1664))</f>
        <v/>
      </c>
      <c r="N1664" s="11">
        <f>IF(B1664="","",IF(L1664&gt;=K1664,"Paid",IF(L1664&gt;0,"Partial","Unpaid")))</f>
        <v/>
      </c>
      <c r="O1664" s="5" t="n"/>
      <c r="P1664" s="8" t="n"/>
      <c r="Q1664" s="8" t="n"/>
      <c r="R1664" s="11">
        <f>IF(B1664="","",IFERROR(K1664,0)+IFERROR(P1664,0)-IFERROR(Q1664,0))</f>
        <v/>
      </c>
      <c r="S1664" s="5" t="n"/>
      <c r="T1664" s="5" t="n"/>
      <c r="U1664" s="11">
        <f>IF(B1664="","",TRIM(LOWER(C1664)&amp;"|"&amp;LOWER(D1664)))</f>
        <v/>
      </c>
    </row>
    <row r="1665">
      <c r="A1665" s="11">
        <f>IF(B1665="","",TEXT(ROW()-3,"""DC-""0000"))</f>
        <v/>
      </c>
      <c r="B1665" s="5" t="n"/>
      <c r="C1665" s="5" t="n"/>
      <c r="D1665" s="5" t="n"/>
      <c r="E1665" s="5" t="n"/>
      <c r="F1665" s="5" t="n"/>
      <c r="G1665" s="5" t="n"/>
      <c r="H1665" s="8" t="n"/>
      <c r="I1665" s="8" t="n"/>
      <c r="J1665" s="8" t="n"/>
      <c r="K1665" s="11">
        <f>IF(B1665="","",MAX(0,IFERROR(I1665,0)*IFERROR(H1665,0)-IFERROR(J1665,0)))</f>
        <v/>
      </c>
      <c r="L1665" s="8" t="n"/>
      <c r="M1665" s="11">
        <f>IF(B1665="","",MAX(0,K1665-L1665))</f>
        <v/>
      </c>
      <c r="N1665" s="11">
        <f>IF(B1665="","",IF(L1665&gt;=K1665,"Paid",IF(L1665&gt;0,"Partial","Unpaid")))</f>
        <v/>
      </c>
      <c r="O1665" s="5" t="n"/>
      <c r="P1665" s="8" t="n"/>
      <c r="Q1665" s="8" t="n"/>
      <c r="R1665" s="11">
        <f>IF(B1665="","",IFERROR(K1665,0)+IFERROR(P1665,0)-IFERROR(Q1665,0))</f>
        <v/>
      </c>
      <c r="S1665" s="5" t="n"/>
      <c r="T1665" s="5" t="n"/>
      <c r="U1665" s="11">
        <f>IF(B1665="","",TRIM(LOWER(C1665)&amp;"|"&amp;LOWER(D1665)))</f>
        <v/>
      </c>
    </row>
    <row r="1666">
      <c r="A1666" s="11">
        <f>IF(B1666="","",TEXT(ROW()-3,"""DC-""0000"))</f>
        <v/>
      </c>
      <c r="B1666" s="5" t="n"/>
      <c r="C1666" s="5" t="n"/>
      <c r="D1666" s="5" t="n"/>
      <c r="E1666" s="5" t="n"/>
      <c r="F1666" s="5" t="n"/>
      <c r="G1666" s="5" t="n"/>
      <c r="H1666" s="8" t="n"/>
      <c r="I1666" s="8" t="n"/>
      <c r="J1666" s="8" t="n"/>
      <c r="K1666" s="11">
        <f>IF(B1666="","",MAX(0,IFERROR(I1666,0)*IFERROR(H1666,0)-IFERROR(J1666,0)))</f>
        <v/>
      </c>
      <c r="L1666" s="8" t="n"/>
      <c r="M1666" s="11">
        <f>IF(B1666="","",MAX(0,K1666-L1666))</f>
        <v/>
      </c>
      <c r="N1666" s="11">
        <f>IF(B1666="","",IF(L1666&gt;=K1666,"Paid",IF(L1666&gt;0,"Partial","Unpaid")))</f>
        <v/>
      </c>
      <c r="O1666" s="5" t="n"/>
      <c r="P1666" s="8" t="n"/>
      <c r="Q1666" s="8" t="n"/>
      <c r="R1666" s="11">
        <f>IF(B1666="","",IFERROR(K1666,0)+IFERROR(P1666,0)-IFERROR(Q1666,0))</f>
        <v/>
      </c>
      <c r="S1666" s="5" t="n"/>
      <c r="T1666" s="5" t="n"/>
      <c r="U1666" s="11">
        <f>IF(B1666="","",TRIM(LOWER(C1666)&amp;"|"&amp;LOWER(D1666)))</f>
        <v/>
      </c>
    </row>
    <row r="1667">
      <c r="A1667" s="11">
        <f>IF(B1667="","",TEXT(ROW()-3,"""DC-""0000"))</f>
        <v/>
      </c>
      <c r="B1667" s="5" t="n"/>
      <c r="C1667" s="5" t="n"/>
      <c r="D1667" s="5" t="n"/>
      <c r="E1667" s="5" t="n"/>
      <c r="F1667" s="5" t="n"/>
      <c r="G1667" s="5" t="n"/>
      <c r="H1667" s="8" t="n"/>
      <c r="I1667" s="8" t="n"/>
      <c r="J1667" s="8" t="n"/>
      <c r="K1667" s="11">
        <f>IF(B1667="","",MAX(0,IFERROR(I1667,0)*IFERROR(H1667,0)-IFERROR(J1667,0)))</f>
        <v/>
      </c>
      <c r="L1667" s="8" t="n"/>
      <c r="M1667" s="11">
        <f>IF(B1667="","",MAX(0,K1667-L1667))</f>
        <v/>
      </c>
      <c r="N1667" s="11">
        <f>IF(B1667="","",IF(L1667&gt;=K1667,"Paid",IF(L1667&gt;0,"Partial","Unpaid")))</f>
        <v/>
      </c>
      <c r="O1667" s="5" t="n"/>
      <c r="P1667" s="8" t="n"/>
      <c r="Q1667" s="8" t="n"/>
      <c r="R1667" s="11">
        <f>IF(B1667="","",IFERROR(K1667,0)+IFERROR(P1667,0)-IFERROR(Q1667,0))</f>
        <v/>
      </c>
      <c r="S1667" s="5" t="n"/>
      <c r="T1667" s="5" t="n"/>
      <c r="U1667" s="11">
        <f>IF(B1667="","",TRIM(LOWER(C1667)&amp;"|"&amp;LOWER(D1667)))</f>
        <v/>
      </c>
    </row>
    <row r="1668">
      <c r="A1668" s="11">
        <f>IF(B1668="","",TEXT(ROW()-3,"""DC-""0000"))</f>
        <v/>
      </c>
      <c r="B1668" s="5" t="n"/>
      <c r="C1668" s="5" t="n"/>
      <c r="D1668" s="5" t="n"/>
      <c r="E1668" s="5" t="n"/>
      <c r="F1668" s="5" t="n"/>
      <c r="G1668" s="5" t="n"/>
      <c r="H1668" s="8" t="n"/>
      <c r="I1668" s="8" t="n"/>
      <c r="J1668" s="8" t="n"/>
      <c r="K1668" s="11">
        <f>IF(B1668="","",MAX(0,IFERROR(I1668,0)*IFERROR(H1668,0)-IFERROR(J1668,0)))</f>
        <v/>
      </c>
      <c r="L1668" s="8" t="n"/>
      <c r="M1668" s="11">
        <f>IF(B1668="","",MAX(0,K1668-L1668))</f>
        <v/>
      </c>
      <c r="N1668" s="11">
        <f>IF(B1668="","",IF(L1668&gt;=K1668,"Paid",IF(L1668&gt;0,"Partial","Unpaid")))</f>
        <v/>
      </c>
      <c r="O1668" s="5" t="n"/>
      <c r="P1668" s="8" t="n"/>
      <c r="Q1668" s="8" t="n"/>
      <c r="R1668" s="11">
        <f>IF(B1668="","",IFERROR(K1668,0)+IFERROR(P1668,0)-IFERROR(Q1668,0))</f>
        <v/>
      </c>
      <c r="S1668" s="5" t="n"/>
      <c r="T1668" s="5" t="n"/>
      <c r="U1668" s="11">
        <f>IF(B1668="","",TRIM(LOWER(C1668)&amp;"|"&amp;LOWER(D1668)))</f>
        <v/>
      </c>
    </row>
    <row r="1669">
      <c r="A1669" s="11">
        <f>IF(B1669="","",TEXT(ROW()-3,"""DC-""0000"))</f>
        <v/>
      </c>
      <c r="B1669" s="5" t="n"/>
      <c r="C1669" s="5" t="n"/>
      <c r="D1669" s="5" t="n"/>
      <c r="E1669" s="5" t="n"/>
      <c r="F1669" s="5" t="n"/>
      <c r="G1669" s="5" t="n"/>
      <c r="H1669" s="8" t="n"/>
      <c r="I1669" s="8" t="n"/>
      <c r="J1669" s="8" t="n"/>
      <c r="K1669" s="11">
        <f>IF(B1669="","",MAX(0,IFERROR(I1669,0)*IFERROR(H1669,0)-IFERROR(J1669,0)))</f>
        <v/>
      </c>
      <c r="L1669" s="8" t="n"/>
      <c r="M1669" s="11">
        <f>IF(B1669="","",MAX(0,K1669-L1669))</f>
        <v/>
      </c>
      <c r="N1669" s="11">
        <f>IF(B1669="","",IF(L1669&gt;=K1669,"Paid",IF(L1669&gt;0,"Partial","Unpaid")))</f>
        <v/>
      </c>
      <c r="O1669" s="5" t="n"/>
      <c r="P1669" s="8" t="n"/>
      <c r="Q1669" s="8" t="n"/>
      <c r="R1669" s="11">
        <f>IF(B1669="","",IFERROR(K1669,0)+IFERROR(P1669,0)-IFERROR(Q1669,0))</f>
        <v/>
      </c>
      <c r="S1669" s="5" t="n"/>
      <c r="T1669" s="5" t="n"/>
      <c r="U1669" s="11">
        <f>IF(B1669="","",TRIM(LOWER(C1669)&amp;"|"&amp;LOWER(D1669)))</f>
        <v/>
      </c>
    </row>
    <row r="1670">
      <c r="A1670" s="11">
        <f>IF(B1670="","",TEXT(ROW()-3,"""DC-""0000"))</f>
        <v/>
      </c>
      <c r="B1670" s="5" t="n"/>
      <c r="C1670" s="5" t="n"/>
      <c r="D1670" s="5" t="n"/>
      <c r="E1670" s="5" t="n"/>
      <c r="F1670" s="5" t="n"/>
      <c r="G1670" s="5" t="n"/>
      <c r="H1670" s="8" t="n"/>
      <c r="I1670" s="8" t="n"/>
      <c r="J1670" s="8" t="n"/>
      <c r="K1670" s="11">
        <f>IF(B1670="","",MAX(0,IFERROR(I1670,0)*IFERROR(H1670,0)-IFERROR(J1670,0)))</f>
        <v/>
      </c>
      <c r="L1670" s="8" t="n"/>
      <c r="M1670" s="11">
        <f>IF(B1670="","",MAX(0,K1670-L1670))</f>
        <v/>
      </c>
      <c r="N1670" s="11">
        <f>IF(B1670="","",IF(L1670&gt;=K1670,"Paid",IF(L1670&gt;0,"Partial","Unpaid")))</f>
        <v/>
      </c>
      <c r="O1670" s="5" t="n"/>
      <c r="P1670" s="8" t="n"/>
      <c r="Q1670" s="8" t="n"/>
      <c r="R1670" s="11">
        <f>IF(B1670="","",IFERROR(K1670,0)+IFERROR(P1670,0)-IFERROR(Q1670,0))</f>
        <v/>
      </c>
      <c r="S1670" s="5" t="n"/>
      <c r="T1670" s="5" t="n"/>
      <c r="U1670" s="11">
        <f>IF(B1670="","",TRIM(LOWER(C1670)&amp;"|"&amp;LOWER(D1670)))</f>
        <v/>
      </c>
    </row>
    <row r="1671">
      <c r="A1671" s="11">
        <f>IF(B1671="","",TEXT(ROW()-3,"""DC-""0000"))</f>
        <v/>
      </c>
      <c r="B1671" s="5" t="n"/>
      <c r="C1671" s="5" t="n"/>
      <c r="D1671" s="5" t="n"/>
      <c r="E1671" s="5" t="n"/>
      <c r="F1671" s="5" t="n"/>
      <c r="G1671" s="5" t="n"/>
      <c r="H1671" s="8" t="n"/>
      <c r="I1671" s="8" t="n"/>
      <c r="J1671" s="8" t="n"/>
      <c r="K1671" s="11">
        <f>IF(B1671="","",MAX(0,IFERROR(I1671,0)*IFERROR(H1671,0)-IFERROR(J1671,0)))</f>
        <v/>
      </c>
      <c r="L1671" s="8" t="n"/>
      <c r="M1671" s="11">
        <f>IF(B1671="","",MAX(0,K1671-L1671))</f>
        <v/>
      </c>
      <c r="N1671" s="11">
        <f>IF(B1671="","",IF(L1671&gt;=K1671,"Paid",IF(L1671&gt;0,"Partial","Unpaid")))</f>
        <v/>
      </c>
      <c r="O1671" s="5" t="n"/>
      <c r="P1671" s="8" t="n"/>
      <c r="Q1671" s="8" t="n"/>
      <c r="R1671" s="11">
        <f>IF(B1671="","",IFERROR(K1671,0)+IFERROR(P1671,0)-IFERROR(Q1671,0))</f>
        <v/>
      </c>
      <c r="S1671" s="5" t="n"/>
      <c r="T1671" s="5" t="n"/>
      <c r="U1671" s="11">
        <f>IF(B1671="","",TRIM(LOWER(C1671)&amp;"|"&amp;LOWER(D1671)))</f>
        <v/>
      </c>
    </row>
    <row r="1672">
      <c r="A1672" s="11">
        <f>IF(B1672="","",TEXT(ROW()-3,"""DC-""0000"))</f>
        <v/>
      </c>
      <c r="B1672" s="5" t="n"/>
      <c r="C1672" s="5" t="n"/>
      <c r="D1672" s="5" t="n"/>
      <c r="E1672" s="5" t="n"/>
      <c r="F1672" s="5" t="n"/>
      <c r="G1672" s="5" t="n"/>
      <c r="H1672" s="8" t="n"/>
      <c r="I1672" s="8" t="n"/>
      <c r="J1672" s="8" t="n"/>
      <c r="K1672" s="11">
        <f>IF(B1672="","",MAX(0,IFERROR(I1672,0)*IFERROR(H1672,0)-IFERROR(J1672,0)))</f>
        <v/>
      </c>
      <c r="L1672" s="8" t="n"/>
      <c r="M1672" s="11">
        <f>IF(B1672="","",MAX(0,K1672-L1672))</f>
        <v/>
      </c>
      <c r="N1672" s="11">
        <f>IF(B1672="","",IF(L1672&gt;=K1672,"Paid",IF(L1672&gt;0,"Partial","Unpaid")))</f>
        <v/>
      </c>
      <c r="O1672" s="5" t="n"/>
      <c r="P1672" s="8" t="n"/>
      <c r="Q1672" s="8" t="n"/>
      <c r="R1672" s="11">
        <f>IF(B1672="","",IFERROR(K1672,0)+IFERROR(P1672,0)-IFERROR(Q1672,0))</f>
        <v/>
      </c>
      <c r="S1672" s="5" t="n"/>
      <c r="T1672" s="5" t="n"/>
      <c r="U1672" s="11">
        <f>IF(B1672="","",TRIM(LOWER(C1672)&amp;"|"&amp;LOWER(D1672)))</f>
        <v/>
      </c>
    </row>
    <row r="1673">
      <c r="A1673" s="11">
        <f>IF(B1673="","",TEXT(ROW()-3,"""DC-""0000"))</f>
        <v/>
      </c>
      <c r="B1673" s="5" t="n"/>
      <c r="C1673" s="5" t="n"/>
      <c r="D1673" s="5" t="n"/>
      <c r="E1673" s="5" t="n"/>
      <c r="F1673" s="5" t="n"/>
      <c r="G1673" s="5" t="n"/>
      <c r="H1673" s="8" t="n"/>
      <c r="I1673" s="8" t="n"/>
      <c r="J1673" s="8" t="n"/>
      <c r="K1673" s="11">
        <f>IF(B1673="","",MAX(0,IFERROR(I1673,0)*IFERROR(H1673,0)-IFERROR(J1673,0)))</f>
        <v/>
      </c>
      <c r="L1673" s="8" t="n"/>
      <c r="M1673" s="11">
        <f>IF(B1673="","",MAX(0,K1673-L1673))</f>
        <v/>
      </c>
      <c r="N1673" s="11">
        <f>IF(B1673="","",IF(L1673&gt;=K1673,"Paid",IF(L1673&gt;0,"Partial","Unpaid")))</f>
        <v/>
      </c>
      <c r="O1673" s="5" t="n"/>
      <c r="P1673" s="8" t="n"/>
      <c r="Q1673" s="8" t="n"/>
      <c r="R1673" s="11">
        <f>IF(B1673="","",IFERROR(K1673,0)+IFERROR(P1673,0)-IFERROR(Q1673,0))</f>
        <v/>
      </c>
      <c r="S1673" s="5" t="n"/>
      <c r="T1673" s="5" t="n"/>
      <c r="U1673" s="11">
        <f>IF(B1673="","",TRIM(LOWER(C1673)&amp;"|"&amp;LOWER(D1673)))</f>
        <v/>
      </c>
    </row>
    <row r="1674">
      <c r="A1674" s="11">
        <f>IF(B1674="","",TEXT(ROW()-3,"""DC-""0000"))</f>
        <v/>
      </c>
      <c r="B1674" s="5" t="n"/>
      <c r="C1674" s="5" t="n"/>
      <c r="D1674" s="5" t="n"/>
      <c r="E1674" s="5" t="n"/>
      <c r="F1674" s="5" t="n"/>
      <c r="G1674" s="5" t="n"/>
      <c r="H1674" s="8" t="n"/>
      <c r="I1674" s="8" t="n"/>
      <c r="J1674" s="8" t="n"/>
      <c r="K1674" s="11">
        <f>IF(B1674="","",MAX(0,IFERROR(I1674,0)*IFERROR(H1674,0)-IFERROR(J1674,0)))</f>
        <v/>
      </c>
      <c r="L1674" s="8" t="n"/>
      <c r="M1674" s="11">
        <f>IF(B1674="","",MAX(0,K1674-L1674))</f>
        <v/>
      </c>
      <c r="N1674" s="11">
        <f>IF(B1674="","",IF(L1674&gt;=K1674,"Paid",IF(L1674&gt;0,"Partial","Unpaid")))</f>
        <v/>
      </c>
      <c r="O1674" s="5" t="n"/>
      <c r="P1674" s="8" t="n"/>
      <c r="Q1674" s="8" t="n"/>
      <c r="R1674" s="11">
        <f>IF(B1674="","",IFERROR(K1674,0)+IFERROR(P1674,0)-IFERROR(Q1674,0))</f>
        <v/>
      </c>
      <c r="S1674" s="5" t="n"/>
      <c r="T1674" s="5" t="n"/>
      <c r="U1674" s="11">
        <f>IF(B1674="","",TRIM(LOWER(C1674)&amp;"|"&amp;LOWER(D1674)))</f>
        <v/>
      </c>
    </row>
    <row r="1675">
      <c r="A1675" s="11">
        <f>IF(B1675="","",TEXT(ROW()-3,"""DC-""0000"))</f>
        <v/>
      </c>
      <c r="B1675" s="5" t="n"/>
      <c r="C1675" s="5" t="n"/>
      <c r="D1675" s="5" t="n"/>
      <c r="E1675" s="5" t="n"/>
      <c r="F1675" s="5" t="n"/>
      <c r="G1675" s="5" t="n"/>
      <c r="H1675" s="8" t="n"/>
      <c r="I1675" s="8" t="n"/>
      <c r="J1675" s="8" t="n"/>
      <c r="K1675" s="11">
        <f>IF(B1675="","",MAX(0,IFERROR(I1675,0)*IFERROR(H1675,0)-IFERROR(J1675,0)))</f>
        <v/>
      </c>
      <c r="L1675" s="8" t="n"/>
      <c r="M1675" s="11">
        <f>IF(B1675="","",MAX(0,K1675-L1675))</f>
        <v/>
      </c>
      <c r="N1675" s="11">
        <f>IF(B1675="","",IF(L1675&gt;=K1675,"Paid",IF(L1675&gt;0,"Partial","Unpaid")))</f>
        <v/>
      </c>
      <c r="O1675" s="5" t="n"/>
      <c r="P1675" s="8" t="n"/>
      <c r="Q1675" s="8" t="n"/>
      <c r="R1675" s="11">
        <f>IF(B1675="","",IFERROR(K1675,0)+IFERROR(P1675,0)-IFERROR(Q1675,0))</f>
        <v/>
      </c>
      <c r="S1675" s="5" t="n"/>
      <c r="T1675" s="5" t="n"/>
      <c r="U1675" s="11">
        <f>IF(B1675="","",TRIM(LOWER(C1675)&amp;"|"&amp;LOWER(D1675)))</f>
        <v/>
      </c>
    </row>
    <row r="1676">
      <c r="A1676" s="11">
        <f>IF(B1676="","",TEXT(ROW()-3,"""DC-""0000"))</f>
        <v/>
      </c>
      <c r="B1676" s="5" t="n"/>
      <c r="C1676" s="5" t="n"/>
      <c r="D1676" s="5" t="n"/>
      <c r="E1676" s="5" t="n"/>
      <c r="F1676" s="5" t="n"/>
      <c r="G1676" s="5" t="n"/>
      <c r="H1676" s="8" t="n"/>
      <c r="I1676" s="8" t="n"/>
      <c r="J1676" s="8" t="n"/>
      <c r="K1676" s="11">
        <f>IF(B1676="","",MAX(0,IFERROR(I1676,0)*IFERROR(H1676,0)-IFERROR(J1676,0)))</f>
        <v/>
      </c>
      <c r="L1676" s="8" t="n"/>
      <c r="M1676" s="11">
        <f>IF(B1676="","",MAX(0,K1676-L1676))</f>
        <v/>
      </c>
      <c r="N1676" s="11">
        <f>IF(B1676="","",IF(L1676&gt;=K1676,"Paid",IF(L1676&gt;0,"Partial","Unpaid")))</f>
        <v/>
      </c>
      <c r="O1676" s="5" t="n"/>
      <c r="P1676" s="8" t="n"/>
      <c r="Q1676" s="8" t="n"/>
      <c r="R1676" s="11">
        <f>IF(B1676="","",IFERROR(K1676,0)+IFERROR(P1676,0)-IFERROR(Q1676,0))</f>
        <v/>
      </c>
      <c r="S1676" s="5" t="n"/>
      <c r="T1676" s="5" t="n"/>
      <c r="U1676" s="11">
        <f>IF(B1676="","",TRIM(LOWER(C1676)&amp;"|"&amp;LOWER(D1676)))</f>
        <v/>
      </c>
    </row>
    <row r="1677">
      <c r="A1677" s="11">
        <f>IF(B1677="","",TEXT(ROW()-3,"""DC-""0000"))</f>
        <v/>
      </c>
      <c r="B1677" s="5" t="n"/>
      <c r="C1677" s="5" t="n"/>
      <c r="D1677" s="5" t="n"/>
      <c r="E1677" s="5" t="n"/>
      <c r="F1677" s="5" t="n"/>
      <c r="G1677" s="5" t="n"/>
      <c r="H1677" s="8" t="n"/>
      <c r="I1677" s="8" t="n"/>
      <c r="J1677" s="8" t="n"/>
      <c r="K1677" s="11">
        <f>IF(B1677="","",MAX(0,IFERROR(I1677,0)*IFERROR(H1677,0)-IFERROR(J1677,0)))</f>
        <v/>
      </c>
      <c r="L1677" s="8" t="n"/>
      <c r="M1677" s="11">
        <f>IF(B1677="","",MAX(0,K1677-L1677))</f>
        <v/>
      </c>
      <c r="N1677" s="11">
        <f>IF(B1677="","",IF(L1677&gt;=K1677,"Paid",IF(L1677&gt;0,"Partial","Unpaid")))</f>
        <v/>
      </c>
      <c r="O1677" s="5" t="n"/>
      <c r="P1677" s="8" t="n"/>
      <c r="Q1677" s="8" t="n"/>
      <c r="R1677" s="11">
        <f>IF(B1677="","",IFERROR(K1677,0)+IFERROR(P1677,0)-IFERROR(Q1677,0))</f>
        <v/>
      </c>
      <c r="S1677" s="5" t="n"/>
      <c r="T1677" s="5" t="n"/>
      <c r="U1677" s="11">
        <f>IF(B1677="","",TRIM(LOWER(C1677)&amp;"|"&amp;LOWER(D1677)))</f>
        <v/>
      </c>
    </row>
    <row r="1678">
      <c r="A1678" s="11">
        <f>IF(B1678="","",TEXT(ROW()-3,"""DC-""0000"))</f>
        <v/>
      </c>
      <c r="B1678" s="5" t="n"/>
      <c r="C1678" s="5" t="n"/>
      <c r="D1678" s="5" t="n"/>
      <c r="E1678" s="5" t="n"/>
      <c r="F1678" s="5" t="n"/>
      <c r="G1678" s="5" t="n"/>
      <c r="H1678" s="8" t="n"/>
      <c r="I1678" s="8" t="n"/>
      <c r="J1678" s="8" t="n"/>
      <c r="K1678" s="11">
        <f>IF(B1678="","",MAX(0,IFERROR(I1678,0)*IFERROR(H1678,0)-IFERROR(J1678,0)))</f>
        <v/>
      </c>
      <c r="L1678" s="8" t="n"/>
      <c r="M1678" s="11">
        <f>IF(B1678="","",MAX(0,K1678-L1678))</f>
        <v/>
      </c>
      <c r="N1678" s="11">
        <f>IF(B1678="","",IF(L1678&gt;=K1678,"Paid",IF(L1678&gt;0,"Partial","Unpaid")))</f>
        <v/>
      </c>
      <c r="O1678" s="5" t="n"/>
      <c r="P1678" s="8" t="n"/>
      <c r="Q1678" s="8" t="n"/>
      <c r="R1678" s="11">
        <f>IF(B1678="","",IFERROR(K1678,0)+IFERROR(P1678,0)-IFERROR(Q1678,0))</f>
        <v/>
      </c>
      <c r="S1678" s="5" t="n"/>
      <c r="T1678" s="5" t="n"/>
      <c r="U1678" s="11">
        <f>IF(B1678="","",TRIM(LOWER(C1678)&amp;"|"&amp;LOWER(D1678)))</f>
        <v/>
      </c>
    </row>
    <row r="1679">
      <c r="A1679" s="11">
        <f>IF(B1679="","",TEXT(ROW()-3,"""DC-""0000"))</f>
        <v/>
      </c>
      <c r="B1679" s="5" t="n"/>
      <c r="C1679" s="5" t="n"/>
      <c r="D1679" s="5" t="n"/>
      <c r="E1679" s="5" t="n"/>
      <c r="F1679" s="5" t="n"/>
      <c r="G1679" s="5" t="n"/>
      <c r="H1679" s="8" t="n"/>
      <c r="I1679" s="8" t="n"/>
      <c r="J1679" s="8" t="n"/>
      <c r="K1679" s="11">
        <f>IF(B1679="","",MAX(0,IFERROR(I1679,0)*IFERROR(H1679,0)-IFERROR(J1679,0)))</f>
        <v/>
      </c>
      <c r="L1679" s="8" t="n"/>
      <c r="M1679" s="11">
        <f>IF(B1679="","",MAX(0,K1679-L1679))</f>
        <v/>
      </c>
      <c r="N1679" s="11">
        <f>IF(B1679="","",IF(L1679&gt;=K1679,"Paid",IF(L1679&gt;0,"Partial","Unpaid")))</f>
        <v/>
      </c>
      <c r="O1679" s="5" t="n"/>
      <c r="P1679" s="8" t="n"/>
      <c r="Q1679" s="8" t="n"/>
      <c r="R1679" s="11">
        <f>IF(B1679="","",IFERROR(K1679,0)+IFERROR(P1679,0)-IFERROR(Q1679,0))</f>
        <v/>
      </c>
      <c r="S1679" s="5" t="n"/>
      <c r="T1679" s="5" t="n"/>
      <c r="U1679" s="11">
        <f>IF(B1679="","",TRIM(LOWER(C1679)&amp;"|"&amp;LOWER(D1679)))</f>
        <v/>
      </c>
    </row>
    <row r="1680">
      <c r="A1680" s="11">
        <f>IF(B1680="","",TEXT(ROW()-3,"""DC-""0000"))</f>
        <v/>
      </c>
      <c r="B1680" s="5" t="n"/>
      <c r="C1680" s="5" t="n"/>
      <c r="D1680" s="5" t="n"/>
      <c r="E1680" s="5" t="n"/>
      <c r="F1680" s="5" t="n"/>
      <c r="G1680" s="5" t="n"/>
      <c r="H1680" s="8" t="n"/>
      <c r="I1680" s="8" t="n"/>
      <c r="J1680" s="8" t="n"/>
      <c r="K1680" s="11">
        <f>IF(B1680="","",MAX(0,IFERROR(I1680,0)*IFERROR(H1680,0)-IFERROR(J1680,0)))</f>
        <v/>
      </c>
      <c r="L1680" s="8" t="n"/>
      <c r="M1680" s="11">
        <f>IF(B1680="","",MAX(0,K1680-L1680))</f>
        <v/>
      </c>
      <c r="N1680" s="11">
        <f>IF(B1680="","",IF(L1680&gt;=K1680,"Paid",IF(L1680&gt;0,"Partial","Unpaid")))</f>
        <v/>
      </c>
      <c r="O1680" s="5" t="n"/>
      <c r="P1680" s="8" t="n"/>
      <c r="Q1680" s="8" t="n"/>
      <c r="R1680" s="11">
        <f>IF(B1680="","",IFERROR(K1680,0)+IFERROR(P1680,0)-IFERROR(Q1680,0))</f>
        <v/>
      </c>
      <c r="S1680" s="5" t="n"/>
      <c r="T1680" s="5" t="n"/>
      <c r="U1680" s="11">
        <f>IF(B1680="","",TRIM(LOWER(C1680)&amp;"|"&amp;LOWER(D1680)))</f>
        <v/>
      </c>
    </row>
    <row r="1681">
      <c r="A1681" s="11">
        <f>IF(B1681="","",TEXT(ROW()-3,"""DC-""0000"))</f>
        <v/>
      </c>
      <c r="B1681" s="5" t="n"/>
      <c r="C1681" s="5" t="n"/>
      <c r="D1681" s="5" t="n"/>
      <c r="E1681" s="5" t="n"/>
      <c r="F1681" s="5" t="n"/>
      <c r="G1681" s="5" t="n"/>
      <c r="H1681" s="8" t="n"/>
      <c r="I1681" s="8" t="n"/>
      <c r="J1681" s="8" t="n"/>
      <c r="K1681" s="11">
        <f>IF(B1681="","",MAX(0,IFERROR(I1681,0)*IFERROR(H1681,0)-IFERROR(J1681,0)))</f>
        <v/>
      </c>
      <c r="L1681" s="8" t="n"/>
      <c r="M1681" s="11">
        <f>IF(B1681="","",MAX(0,K1681-L1681))</f>
        <v/>
      </c>
      <c r="N1681" s="11">
        <f>IF(B1681="","",IF(L1681&gt;=K1681,"Paid",IF(L1681&gt;0,"Partial","Unpaid")))</f>
        <v/>
      </c>
      <c r="O1681" s="5" t="n"/>
      <c r="P1681" s="8" t="n"/>
      <c r="Q1681" s="8" t="n"/>
      <c r="R1681" s="11">
        <f>IF(B1681="","",IFERROR(K1681,0)+IFERROR(P1681,0)-IFERROR(Q1681,0))</f>
        <v/>
      </c>
      <c r="S1681" s="5" t="n"/>
      <c r="T1681" s="5" t="n"/>
      <c r="U1681" s="11">
        <f>IF(B1681="","",TRIM(LOWER(C1681)&amp;"|"&amp;LOWER(D1681)))</f>
        <v/>
      </c>
    </row>
    <row r="1682">
      <c r="A1682" s="11">
        <f>IF(B1682="","",TEXT(ROW()-3,"""DC-""0000"))</f>
        <v/>
      </c>
      <c r="B1682" s="5" t="n"/>
      <c r="C1682" s="5" t="n"/>
      <c r="D1682" s="5" t="n"/>
      <c r="E1682" s="5" t="n"/>
      <c r="F1682" s="5" t="n"/>
      <c r="G1682" s="5" t="n"/>
      <c r="H1682" s="8" t="n"/>
      <c r="I1682" s="8" t="n"/>
      <c r="J1682" s="8" t="n"/>
      <c r="K1682" s="11">
        <f>IF(B1682="","",MAX(0,IFERROR(I1682,0)*IFERROR(H1682,0)-IFERROR(J1682,0)))</f>
        <v/>
      </c>
      <c r="L1682" s="8" t="n"/>
      <c r="M1682" s="11">
        <f>IF(B1682="","",MAX(0,K1682-L1682))</f>
        <v/>
      </c>
      <c r="N1682" s="11">
        <f>IF(B1682="","",IF(L1682&gt;=K1682,"Paid",IF(L1682&gt;0,"Partial","Unpaid")))</f>
        <v/>
      </c>
      <c r="O1682" s="5" t="n"/>
      <c r="P1682" s="8" t="n"/>
      <c r="Q1682" s="8" t="n"/>
      <c r="R1682" s="11">
        <f>IF(B1682="","",IFERROR(K1682,0)+IFERROR(P1682,0)-IFERROR(Q1682,0))</f>
        <v/>
      </c>
      <c r="S1682" s="5" t="n"/>
      <c r="T1682" s="5" t="n"/>
      <c r="U1682" s="11">
        <f>IF(B1682="","",TRIM(LOWER(C1682)&amp;"|"&amp;LOWER(D1682)))</f>
        <v/>
      </c>
    </row>
    <row r="1683">
      <c r="A1683" s="11">
        <f>IF(B1683="","",TEXT(ROW()-3,"""DC-""0000"))</f>
        <v/>
      </c>
      <c r="B1683" s="5" t="n"/>
      <c r="C1683" s="5" t="n"/>
      <c r="D1683" s="5" t="n"/>
      <c r="E1683" s="5" t="n"/>
      <c r="F1683" s="5" t="n"/>
      <c r="G1683" s="5" t="n"/>
      <c r="H1683" s="8" t="n"/>
      <c r="I1683" s="8" t="n"/>
      <c r="J1683" s="8" t="n"/>
      <c r="K1683" s="11">
        <f>IF(B1683="","",MAX(0,IFERROR(I1683,0)*IFERROR(H1683,0)-IFERROR(J1683,0)))</f>
        <v/>
      </c>
      <c r="L1683" s="8" t="n"/>
      <c r="M1683" s="11">
        <f>IF(B1683="","",MAX(0,K1683-L1683))</f>
        <v/>
      </c>
      <c r="N1683" s="11">
        <f>IF(B1683="","",IF(L1683&gt;=K1683,"Paid",IF(L1683&gt;0,"Partial","Unpaid")))</f>
        <v/>
      </c>
      <c r="O1683" s="5" t="n"/>
      <c r="P1683" s="8" t="n"/>
      <c r="Q1683" s="8" t="n"/>
      <c r="R1683" s="11">
        <f>IF(B1683="","",IFERROR(K1683,0)+IFERROR(P1683,0)-IFERROR(Q1683,0))</f>
        <v/>
      </c>
      <c r="S1683" s="5" t="n"/>
      <c r="T1683" s="5" t="n"/>
      <c r="U1683" s="11">
        <f>IF(B1683="","",TRIM(LOWER(C1683)&amp;"|"&amp;LOWER(D1683)))</f>
        <v/>
      </c>
    </row>
    <row r="1684">
      <c r="A1684" s="11">
        <f>IF(B1684="","",TEXT(ROW()-3,"""DC-""0000"))</f>
        <v/>
      </c>
      <c r="B1684" s="5" t="n"/>
      <c r="C1684" s="5" t="n"/>
      <c r="D1684" s="5" t="n"/>
      <c r="E1684" s="5" t="n"/>
      <c r="F1684" s="5" t="n"/>
      <c r="G1684" s="5" t="n"/>
      <c r="H1684" s="8" t="n"/>
      <c r="I1684" s="8" t="n"/>
      <c r="J1684" s="8" t="n"/>
      <c r="K1684" s="11">
        <f>IF(B1684="","",MAX(0,IFERROR(I1684,0)*IFERROR(H1684,0)-IFERROR(J1684,0)))</f>
        <v/>
      </c>
      <c r="L1684" s="8" t="n"/>
      <c r="M1684" s="11">
        <f>IF(B1684="","",MAX(0,K1684-L1684))</f>
        <v/>
      </c>
      <c r="N1684" s="11">
        <f>IF(B1684="","",IF(L1684&gt;=K1684,"Paid",IF(L1684&gt;0,"Partial","Unpaid")))</f>
        <v/>
      </c>
      <c r="O1684" s="5" t="n"/>
      <c r="P1684" s="8" t="n"/>
      <c r="Q1684" s="8" t="n"/>
      <c r="R1684" s="11">
        <f>IF(B1684="","",IFERROR(K1684,0)+IFERROR(P1684,0)-IFERROR(Q1684,0))</f>
        <v/>
      </c>
      <c r="S1684" s="5" t="n"/>
      <c r="T1684" s="5" t="n"/>
      <c r="U1684" s="11">
        <f>IF(B1684="","",TRIM(LOWER(C1684)&amp;"|"&amp;LOWER(D1684)))</f>
        <v/>
      </c>
    </row>
    <row r="1685">
      <c r="A1685" s="11">
        <f>IF(B1685="","",TEXT(ROW()-3,"""DC-""0000"))</f>
        <v/>
      </c>
      <c r="B1685" s="5" t="n"/>
      <c r="C1685" s="5" t="n"/>
      <c r="D1685" s="5" t="n"/>
      <c r="E1685" s="5" t="n"/>
      <c r="F1685" s="5" t="n"/>
      <c r="G1685" s="5" t="n"/>
      <c r="H1685" s="8" t="n"/>
      <c r="I1685" s="8" t="n"/>
      <c r="J1685" s="8" t="n"/>
      <c r="K1685" s="11">
        <f>IF(B1685="","",MAX(0,IFERROR(I1685,0)*IFERROR(H1685,0)-IFERROR(J1685,0)))</f>
        <v/>
      </c>
      <c r="L1685" s="8" t="n"/>
      <c r="M1685" s="11">
        <f>IF(B1685="","",MAX(0,K1685-L1685))</f>
        <v/>
      </c>
      <c r="N1685" s="11">
        <f>IF(B1685="","",IF(L1685&gt;=K1685,"Paid",IF(L1685&gt;0,"Partial","Unpaid")))</f>
        <v/>
      </c>
      <c r="O1685" s="5" t="n"/>
      <c r="P1685" s="8" t="n"/>
      <c r="Q1685" s="8" t="n"/>
      <c r="R1685" s="11">
        <f>IF(B1685="","",IFERROR(K1685,0)+IFERROR(P1685,0)-IFERROR(Q1685,0))</f>
        <v/>
      </c>
      <c r="S1685" s="5" t="n"/>
      <c r="T1685" s="5" t="n"/>
      <c r="U1685" s="11">
        <f>IF(B1685="","",TRIM(LOWER(C1685)&amp;"|"&amp;LOWER(D1685)))</f>
        <v/>
      </c>
    </row>
    <row r="1686">
      <c r="A1686" s="11">
        <f>IF(B1686="","",TEXT(ROW()-3,"""DC-""0000"))</f>
        <v/>
      </c>
      <c r="B1686" s="5" t="n"/>
      <c r="C1686" s="5" t="n"/>
      <c r="D1686" s="5" t="n"/>
      <c r="E1686" s="5" t="n"/>
      <c r="F1686" s="5" t="n"/>
      <c r="G1686" s="5" t="n"/>
      <c r="H1686" s="8" t="n"/>
      <c r="I1686" s="8" t="n"/>
      <c r="J1686" s="8" t="n"/>
      <c r="K1686" s="11">
        <f>IF(B1686="","",MAX(0,IFERROR(I1686,0)*IFERROR(H1686,0)-IFERROR(J1686,0)))</f>
        <v/>
      </c>
      <c r="L1686" s="8" t="n"/>
      <c r="M1686" s="11">
        <f>IF(B1686="","",MAX(0,K1686-L1686))</f>
        <v/>
      </c>
      <c r="N1686" s="11">
        <f>IF(B1686="","",IF(L1686&gt;=K1686,"Paid",IF(L1686&gt;0,"Partial","Unpaid")))</f>
        <v/>
      </c>
      <c r="O1686" s="5" t="n"/>
      <c r="P1686" s="8" t="n"/>
      <c r="Q1686" s="8" t="n"/>
      <c r="R1686" s="11">
        <f>IF(B1686="","",IFERROR(K1686,0)+IFERROR(P1686,0)-IFERROR(Q1686,0))</f>
        <v/>
      </c>
      <c r="S1686" s="5" t="n"/>
      <c r="T1686" s="5" t="n"/>
      <c r="U1686" s="11">
        <f>IF(B1686="","",TRIM(LOWER(C1686)&amp;"|"&amp;LOWER(D1686)))</f>
        <v/>
      </c>
    </row>
    <row r="1687">
      <c r="A1687" s="11">
        <f>IF(B1687="","",TEXT(ROW()-3,"""DC-""0000"))</f>
        <v/>
      </c>
      <c r="B1687" s="5" t="n"/>
      <c r="C1687" s="5" t="n"/>
      <c r="D1687" s="5" t="n"/>
      <c r="E1687" s="5" t="n"/>
      <c r="F1687" s="5" t="n"/>
      <c r="G1687" s="5" t="n"/>
      <c r="H1687" s="8" t="n"/>
      <c r="I1687" s="8" t="n"/>
      <c r="J1687" s="8" t="n"/>
      <c r="K1687" s="11">
        <f>IF(B1687="","",MAX(0,IFERROR(I1687,0)*IFERROR(H1687,0)-IFERROR(J1687,0)))</f>
        <v/>
      </c>
      <c r="L1687" s="8" t="n"/>
      <c r="M1687" s="11">
        <f>IF(B1687="","",MAX(0,K1687-L1687))</f>
        <v/>
      </c>
      <c r="N1687" s="11">
        <f>IF(B1687="","",IF(L1687&gt;=K1687,"Paid",IF(L1687&gt;0,"Partial","Unpaid")))</f>
        <v/>
      </c>
      <c r="O1687" s="5" t="n"/>
      <c r="P1687" s="8" t="n"/>
      <c r="Q1687" s="8" t="n"/>
      <c r="R1687" s="11">
        <f>IF(B1687="","",IFERROR(K1687,0)+IFERROR(P1687,0)-IFERROR(Q1687,0))</f>
        <v/>
      </c>
      <c r="S1687" s="5" t="n"/>
      <c r="T1687" s="5" t="n"/>
      <c r="U1687" s="11">
        <f>IF(B1687="","",TRIM(LOWER(C1687)&amp;"|"&amp;LOWER(D1687)))</f>
        <v/>
      </c>
    </row>
    <row r="1688">
      <c r="A1688" s="11">
        <f>IF(B1688="","",TEXT(ROW()-3,"""DC-""0000"))</f>
        <v/>
      </c>
      <c r="B1688" s="5" t="n"/>
      <c r="C1688" s="5" t="n"/>
      <c r="D1688" s="5" t="n"/>
      <c r="E1688" s="5" t="n"/>
      <c r="F1688" s="5" t="n"/>
      <c r="G1688" s="5" t="n"/>
      <c r="H1688" s="8" t="n"/>
      <c r="I1688" s="8" t="n"/>
      <c r="J1688" s="8" t="n"/>
      <c r="K1688" s="11">
        <f>IF(B1688="","",MAX(0,IFERROR(I1688,0)*IFERROR(H1688,0)-IFERROR(J1688,0)))</f>
        <v/>
      </c>
      <c r="L1688" s="8" t="n"/>
      <c r="M1688" s="11">
        <f>IF(B1688="","",MAX(0,K1688-L1688))</f>
        <v/>
      </c>
      <c r="N1688" s="11">
        <f>IF(B1688="","",IF(L1688&gt;=K1688,"Paid",IF(L1688&gt;0,"Partial","Unpaid")))</f>
        <v/>
      </c>
      <c r="O1688" s="5" t="n"/>
      <c r="P1688" s="8" t="n"/>
      <c r="Q1688" s="8" t="n"/>
      <c r="R1688" s="11">
        <f>IF(B1688="","",IFERROR(K1688,0)+IFERROR(P1688,0)-IFERROR(Q1688,0))</f>
        <v/>
      </c>
      <c r="S1688" s="5" t="n"/>
      <c r="T1688" s="5" t="n"/>
      <c r="U1688" s="11">
        <f>IF(B1688="","",TRIM(LOWER(C1688)&amp;"|"&amp;LOWER(D1688)))</f>
        <v/>
      </c>
    </row>
    <row r="1689">
      <c r="A1689" s="11">
        <f>IF(B1689="","",TEXT(ROW()-3,"""DC-""0000"))</f>
        <v/>
      </c>
      <c r="B1689" s="5" t="n"/>
      <c r="C1689" s="5" t="n"/>
      <c r="D1689" s="5" t="n"/>
      <c r="E1689" s="5" t="n"/>
      <c r="F1689" s="5" t="n"/>
      <c r="G1689" s="5" t="n"/>
      <c r="H1689" s="8" t="n"/>
      <c r="I1689" s="8" t="n"/>
      <c r="J1689" s="8" t="n"/>
      <c r="K1689" s="11">
        <f>IF(B1689="","",MAX(0,IFERROR(I1689,0)*IFERROR(H1689,0)-IFERROR(J1689,0)))</f>
        <v/>
      </c>
      <c r="L1689" s="8" t="n"/>
      <c r="M1689" s="11">
        <f>IF(B1689="","",MAX(0,K1689-L1689))</f>
        <v/>
      </c>
      <c r="N1689" s="11">
        <f>IF(B1689="","",IF(L1689&gt;=K1689,"Paid",IF(L1689&gt;0,"Partial","Unpaid")))</f>
        <v/>
      </c>
      <c r="O1689" s="5" t="n"/>
      <c r="P1689" s="8" t="n"/>
      <c r="Q1689" s="8" t="n"/>
      <c r="R1689" s="11">
        <f>IF(B1689="","",IFERROR(K1689,0)+IFERROR(P1689,0)-IFERROR(Q1689,0))</f>
        <v/>
      </c>
      <c r="S1689" s="5" t="n"/>
      <c r="T1689" s="5" t="n"/>
      <c r="U1689" s="11">
        <f>IF(B1689="","",TRIM(LOWER(C1689)&amp;"|"&amp;LOWER(D1689)))</f>
        <v/>
      </c>
    </row>
    <row r="1690">
      <c r="A1690" s="11">
        <f>IF(B1690="","",TEXT(ROW()-3,"""DC-""0000"))</f>
        <v/>
      </c>
      <c r="B1690" s="5" t="n"/>
      <c r="C1690" s="5" t="n"/>
      <c r="D1690" s="5" t="n"/>
      <c r="E1690" s="5" t="n"/>
      <c r="F1690" s="5" t="n"/>
      <c r="G1690" s="5" t="n"/>
      <c r="H1690" s="8" t="n"/>
      <c r="I1690" s="8" t="n"/>
      <c r="J1690" s="8" t="n"/>
      <c r="K1690" s="11">
        <f>IF(B1690="","",MAX(0,IFERROR(I1690,0)*IFERROR(H1690,0)-IFERROR(J1690,0)))</f>
        <v/>
      </c>
      <c r="L1690" s="8" t="n"/>
      <c r="M1690" s="11">
        <f>IF(B1690="","",MAX(0,K1690-L1690))</f>
        <v/>
      </c>
      <c r="N1690" s="11">
        <f>IF(B1690="","",IF(L1690&gt;=K1690,"Paid",IF(L1690&gt;0,"Partial","Unpaid")))</f>
        <v/>
      </c>
      <c r="O1690" s="5" t="n"/>
      <c r="P1690" s="8" t="n"/>
      <c r="Q1690" s="8" t="n"/>
      <c r="R1690" s="11">
        <f>IF(B1690="","",IFERROR(K1690,0)+IFERROR(P1690,0)-IFERROR(Q1690,0))</f>
        <v/>
      </c>
      <c r="S1690" s="5" t="n"/>
      <c r="T1690" s="5" t="n"/>
      <c r="U1690" s="11">
        <f>IF(B1690="","",TRIM(LOWER(C1690)&amp;"|"&amp;LOWER(D1690)))</f>
        <v/>
      </c>
    </row>
    <row r="1691">
      <c r="A1691" s="11">
        <f>IF(B1691="","",TEXT(ROW()-3,"""DC-""0000"))</f>
        <v/>
      </c>
      <c r="B1691" s="5" t="n"/>
      <c r="C1691" s="5" t="n"/>
      <c r="D1691" s="5" t="n"/>
      <c r="E1691" s="5" t="n"/>
      <c r="F1691" s="5" t="n"/>
      <c r="G1691" s="5" t="n"/>
      <c r="H1691" s="8" t="n"/>
      <c r="I1691" s="8" t="n"/>
      <c r="J1691" s="8" t="n"/>
      <c r="K1691" s="11">
        <f>IF(B1691="","",MAX(0,IFERROR(I1691,0)*IFERROR(H1691,0)-IFERROR(J1691,0)))</f>
        <v/>
      </c>
      <c r="L1691" s="8" t="n"/>
      <c r="M1691" s="11">
        <f>IF(B1691="","",MAX(0,K1691-L1691))</f>
        <v/>
      </c>
      <c r="N1691" s="11">
        <f>IF(B1691="","",IF(L1691&gt;=K1691,"Paid",IF(L1691&gt;0,"Partial","Unpaid")))</f>
        <v/>
      </c>
      <c r="O1691" s="5" t="n"/>
      <c r="P1691" s="8" t="n"/>
      <c r="Q1691" s="8" t="n"/>
      <c r="R1691" s="11">
        <f>IF(B1691="","",IFERROR(K1691,0)+IFERROR(P1691,0)-IFERROR(Q1691,0))</f>
        <v/>
      </c>
      <c r="S1691" s="5" t="n"/>
      <c r="T1691" s="5" t="n"/>
      <c r="U1691" s="11">
        <f>IF(B1691="","",TRIM(LOWER(C1691)&amp;"|"&amp;LOWER(D1691)))</f>
        <v/>
      </c>
    </row>
    <row r="1692">
      <c r="A1692" s="11">
        <f>IF(B1692="","",TEXT(ROW()-3,"""DC-""0000"))</f>
        <v/>
      </c>
      <c r="B1692" s="5" t="n"/>
      <c r="C1692" s="5" t="n"/>
      <c r="D1692" s="5" t="n"/>
      <c r="E1692" s="5" t="n"/>
      <c r="F1692" s="5" t="n"/>
      <c r="G1692" s="5" t="n"/>
      <c r="H1692" s="8" t="n"/>
      <c r="I1692" s="8" t="n"/>
      <c r="J1692" s="8" t="n"/>
      <c r="K1692" s="11">
        <f>IF(B1692="","",MAX(0,IFERROR(I1692,0)*IFERROR(H1692,0)-IFERROR(J1692,0)))</f>
        <v/>
      </c>
      <c r="L1692" s="8" t="n"/>
      <c r="M1692" s="11">
        <f>IF(B1692="","",MAX(0,K1692-L1692))</f>
        <v/>
      </c>
      <c r="N1692" s="11">
        <f>IF(B1692="","",IF(L1692&gt;=K1692,"Paid",IF(L1692&gt;0,"Partial","Unpaid")))</f>
        <v/>
      </c>
      <c r="O1692" s="5" t="n"/>
      <c r="P1692" s="8" t="n"/>
      <c r="Q1692" s="8" t="n"/>
      <c r="R1692" s="11">
        <f>IF(B1692="","",IFERROR(K1692,0)+IFERROR(P1692,0)-IFERROR(Q1692,0))</f>
        <v/>
      </c>
      <c r="S1692" s="5" t="n"/>
      <c r="T1692" s="5" t="n"/>
      <c r="U1692" s="11">
        <f>IF(B1692="","",TRIM(LOWER(C1692)&amp;"|"&amp;LOWER(D1692)))</f>
        <v/>
      </c>
    </row>
    <row r="1693">
      <c r="A1693" s="11">
        <f>IF(B1693="","",TEXT(ROW()-3,"""DC-""0000"))</f>
        <v/>
      </c>
      <c r="B1693" s="5" t="n"/>
      <c r="C1693" s="5" t="n"/>
      <c r="D1693" s="5" t="n"/>
      <c r="E1693" s="5" t="n"/>
      <c r="F1693" s="5" t="n"/>
      <c r="G1693" s="5" t="n"/>
      <c r="H1693" s="8" t="n"/>
      <c r="I1693" s="8" t="n"/>
      <c r="J1693" s="8" t="n"/>
      <c r="K1693" s="11">
        <f>IF(B1693="","",MAX(0,IFERROR(I1693,0)*IFERROR(H1693,0)-IFERROR(J1693,0)))</f>
        <v/>
      </c>
      <c r="L1693" s="8" t="n"/>
      <c r="M1693" s="11">
        <f>IF(B1693="","",MAX(0,K1693-L1693))</f>
        <v/>
      </c>
      <c r="N1693" s="11">
        <f>IF(B1693="","",IF(L1693&gt;=K1693,"Paid",IF(L1693&gt;0,"Partial","Unpaid")))</f>
        <v/>
      </c>
      <c r="O1693" s="5" t="n"/>
      <c r="P1693" s="8" t="n"/>
      <c r="Q1693" s="8" t="n"/>
      <c r="R1693" s="11">
        <f>IF(B1693="","",IFERROR(K1693,0)+IFERROR(P1693,0)-IFERROR(Q1693,0))</f>
        <v/>
      </c>
      <c r="S1693" s="5" t="n"/>
      <c r="T1693" s="5" t="n"/>
      <c r="U1693" s="11">
        <f>IF(B1693="","",TRIM(LOWER(C1693)&amp;"|"&amp;LOWER(D1693)))</f>
        <v/>
      </c>
    </row>
    <row r="1694">
      <c r="A1694" s="11">
        <f>IF(B1694="","",TEXT(ROW()-3,"""DC-""0000"))</f>
        <v/>
      </c>
      <c r="B1694" s="5" t="n"/>
      <c r="C1694" s="5" t="n"/>
      <c r="D1694" s="5" t="n"/>
      <c r="E1694" s="5" t="n"/>
      <c r="F1694" s="5" t="n"/>
      <c r="G1694" s="5" t="n"/>
      <c r="H1694" s="8" t="n"/>
      <c r="I1694" s="8" t="n"/>
      <c r="J1694" s="8" t="n"/>
      <c r="K1694" s="11">
        <f>IF(B1694="","",MAX(0,IFERROR(I1694,0)*IFERROR(H1694,0)-IFERROR(J1694,0)))</f>
        <v/>
      </c>
      <c r="L1694" s="8" t="n"/>
      <c r="M1694" s="11">
        <f>IF(B1694="","",MAX(0,K1694-L1694))</f>
        <v/>
      </c>
      <c r="N1694" s="11">
        <f>IF(B1694="","",IF(L1694&gt;=K1694,"Paid",IF(L1694&gt;0,"Partial","Unpaid")))</f>
        <v/>
      </c>
      <c r="O1694" s="5" t="n"/>
      <c r="P1694" s="8" t="n"/>
      <c r="Q1694" s="8" t="n"/>
      <c r="R1694" s="11">
        <f>IF(B1694="","",IFERROR(K1694,0)+IFERROR(P1694,0)-IFERROR(Q1694,0))</f>
        <v/>
      </c>
      <c r="S1694" s="5" t="n"/>
      <c r="T1694" s="5" t="n"/>
      <c r="U1694" s="11">
        <f>IF(B1694="","",TRIM(LOWER(C1694)&amp;"|"&amp;LOWER(D1694)))</f>
        <v/>
      </c>
    </row>
    <row r="1695">
      <c r="A1695" s="11">
        <f>IF(B1695="","",TEXT(ROW()-3,"""DC-""0000"))</f>
        <v/>
      </c>
      <c r="B1695" s="5" t="n"/>
      <c r="C1695" s="5" t="n"/>
      <c r="D1695" s="5" t="n"/>
      <c r="E1695" s="5" t="n"/>
      <c r="F1695" s="5" t="n"/>
      <c r="G1695" s="5" t="n"/>
      <c r="H1695" s="8" t="n"/>
      <c r="I1695" s="8" t="n"/>
      <c r="J1695" s="8" t="n"/>
      <c r="K1695" s="11">
        <f>IF(B1695="","",MAX(0,IFERROR(I1695,0)*IFERROR(H1695,0)-IFERROR(J1695,0)))</f>
        <v/>
      </c>
      <c r="L1695" s="8" t="n"/>
      <c r="M1695" s="11">
        <f>IF(B1695="","",MAX(0,K1695-L1695))</f>
        <v/>
      </c>
      <c r="N1695" s="11">
        <f>IF(B1695="","",IF(L1695&gt;=K1695,"Paid",IF(L1695&gt;0,"Partial","Unpaid")))</f>
        <v/>
      </c>
      <c r="O1695" s="5" t="n"/>
      <c r="P1695" s="8" t="n"/>
      <c r="Q1695" s="8" t="n"/>
      <c r="R1695" s="11">
        <f>IF(B1695="","",IFERROR(K1695,0)+IFERROR(P1695,0)-IFERROR(Q1695,0))</f>
        <v/>
      </c>
      <c r="S1695" s="5" t="n"/>
      <c r="T1695" s="5" t="n"/>
      <c r="U1695" s="11">
        <f>IF(B1695="","",TRIM(LOWER(C1695)&amp;"|"&amp;LOWER(D1695)))</f>
        <v/>
      </c>
    </row>
    <row r="1696">
      <c r="A1696" s="11">
        <f>IF(B1696="","",TEXT(ROW()-3,"""DC-""0000"))</f>
        <v/>
      </c>
      <c r="B1696" s="5" t="n"/>
      <c r="C1696" s="5" t="n"/>
      <c r="D1696" s="5" t="n"/>
      <c r="E1696" s="5" t="n"/>
      <c r="F1696" s="5" t="n"/>
      <c r="G1696" s="5" t="n"/>
      <c r="H1696" s="8" t="n"/>
      <c r="I1696" s="8" t="n"/>
      <c r="J1696" s="8" t="n"/>
      <c r="K1696" s="11">
        <f>IF(B1696="","",MAX(0,IFERROR(I1696,0)*IFERROR(H1696,0)-IFERROR(J1696,0)))</f>
        <v/>
      </c>
      <c r="L1696" s="8" t="n"/>
      <c r="M1696" s="11">
        <f>IF(B1696="","",MAX(0,K1696-L1696))</f>
        <v/>
      </c>
      <c r="N1696" s="11">
        <f>IF(B1696="","",IF(L1696&gt;=K1696,"Paid",IF(L1696&gt;0,"Partial","Unpaid")))</f>
        <v/>
      </c>
      <c r="O1696" s="5" t="n"/>
      <c r="P1696" s="8" t="n"/>
      <c r="Q1696" s="8" t="n"/>
      <c r="R1696" s="11">
        <f>IF(B1696="","",IFERROR(K1696,0)+IFERROR(P1696,0)-IFERROR(Q1696,0))</f>
        <v/>
      </c>
      <c r="S1696" s="5" t="n"/>
      <c r="T1696" s="5" t="n"/>
      <c r="U1696" s="11">
        <f>IF(B1696="","",TRIM(LOWER(C1696)&amp;"|"&amp;LOWER(D1696)))</f>
        <v/>
      </c>
    </row>
    <row r="1697">
      <c r="A1697" s="11">
        <f>IF(B1697="","",TEXT(ROW()-3,"""DC-""0000"))</f>
        <v/>
      </c>
      <c r="B1697" s="5" t="n"/>
      <c r="C1697" s="5" t="n"/>
      <c r="D1697" s="5" t="n"/>
      <c r="E1697" s="5" t="n"/>
      <c r="F1697" s="5" t="n"/>
      <c r="G1697" s="5" t="n"/>
      <c r="H1697" s="8" t="n"/>
      <c r="I1697" s="8" t="n"/>
      <c r="J1697" s="8" t="n"/>
      <c r="K1697" s="11">
        <f>IF(B1697="","",MAX(0,IFERROR(I1697,0)*IFERROR(H1697,0)-IFERROR(J1697,0)))</f>
        <v/>
      </c>
      <c r="L1697" s="8" t="n"/>
      <c r="M1697" s="11">
        <f>IF(B1697="","",MAX(0,K1697-L1697))</f>
        <v/>
      </c>
      <c r="N1697" s="11">
        <f>IF(B1697="","",IF(L1697&gt;=K1697,"Paid",IF(L1697&gt;0,"Partial","Unpaid")))</f>
        <v/>
      </c>
      <c r="O1697" s="5" t="n"/>
      <c r="P1697" s="8" t="n"/>
      <c r="Q1697" s="8" t="n"/>
      <c r="R1697" s="11">
        <f>IF(B1697="","",IFERROR(K1697,0)+IFERROR(P1697,0)-IFERROR(Q1697,0))</f>
        <v/>
      </c>
      <c r="S1697" s="5" t="n"/>
      <c r="T1697" s="5" t="n"/>
      <c r="U1697" s="11">
        <f>IF(B1697="","",TRIM(LOWER(C1697)&amp;"|"&amp;LOWER(D1697)))</f>
        <v/>
      </c>
    </row>
    <row r="1698">
      <c r="A1698" s="11">
        <f>IF(B1698="","",TEXT(ROW()-3,"""DC-""0000"))</f>
        <v/>
      </c>
      <c r="B1698" s="5" t="n"/>
      <c r="C1698" s="5" t="n"/>
      <c r="D1698" s="5" t="n"/>
      <c r="E1698" s="5" t="n"/>
      <c r="F1698" s="5" t="n"/>
      <c r="G1698" s="5" t="n"/>
      <c r="H1698" s="8" t="n"/>
      <c r="I1698" s="8" t="n"/>
      <c r="J1698" s="8" t="n"/>
      <c r="K1698" s="11">
        <f>IF(B1698="","",MAX(0,IFERROR(I1698,0)*IFERROR(H1698,0)-IFERROR(J1698,0)))</f>
        <v/>
      </c>
      <c r="L1698" s="8" t="n"/>
      <c r="M1698" s="11">
        <f>IF(B1698="","",MAX(0,K1698-L1698))</f>
        <v/>
      </c>
      <c r="N1698" s="11">
        <f>IF(B1698="","",IF(L1698&gt;=K1698,"Paid",IF(L1698&gt;0,"Partial","Unpaid")))</f>
        <v/>
      </c>
      <c r="O1698" s="5" t="n"/>
      <c r="P1698" s="8" t="n"/>
      <c r="Q1698" s="8" t="n"/>
      <c r="R1698" s="11">
        <f>IF(B1698="","",IFERROR(K1698,0)+IFERROR(P1698,0)-IFERROR(Q1698,0))</f>
        <v/>
      </c>
      <c r="S1698" s="5" t="n"/>
      <c r="T1698" s="5" t="n"/>
      <c r="U1698" s="11">
        <f>IF(B1698="","",TRIM(LOWER(C1698)&amp;"|"&amp;LOWER(D1698)))</f>
        <v/>
      </c>
    </row>
    <row r="1699">
      <c r="A1699" s="11">
        <f>IF(B1699="","",TEXT(ROW()-3,"""DC-""0000"))</f>
        <v/>
      </c>
      <c r="B1699" s="5" t="n"/>
      <c r="C1699" s="5" t="n"/>
      <c r="D1699" s="5" t="n"/>
      <c r="E1699" s="5" t="n"/>
      <c r="F1699" s="5" t="n"/>
      <c r="G1699" s="5" t="n"/>
      <c r="H1699" s="8" t="n"/>
      <c r="I1699" s="8" t="n"/>
      <c r="J1699" s="8" t="n"/>
      <c r="K1699" s="11">
        <f>IF(B1699="","",MAX(0,IFERROR(I1699,0)*IFERROR(H1699,0)-IFERROR(J1699,0)))</f>
        <v/>
      </c>
      <c r="L1699" s="8" t="n"/>
      <c r="M1699" s="11">
        <f>IF(B1699="","",MAX(0,K1699-L1699))</f>
        <v/>
      </c>
      <c r="N1699" s="11">
        <f>IF(B1699="","",IF(L1699&gt;=K1699,"Paid",IF(L1699&gt;0,"Partial","Unpaid")))</f>
        <v/>
      </c>
      <c r="O1699" s="5" t="n"/>
      <c r="P1699" s="8" t="n"/>
      <c r="Q1699" s="8" t="n"/>
      <c r="R1699" s="11">
        <f>IF(B1699="","",IFERROR(K1699,0)+IFERROR(P1699,0)-IFERROR(Q1699,0))</f>
        <v/>
      </c>
      <c r="S1699" s="5" t="n"/>
      <c r="T1699" s="5" t="n"/>
      <c r="U1699" s="11">
        <f>IF(B1699="","",TRIM(LOWER(C1699)&amp;"|"&amp;LOWER(D1699)))</f>
        <v/>
      </c>
    </row>
    <row r="1700">
      <c r="A1700" s="11">
        <f>IF(B1700="","",TEXT(ROW()-3,"""DC-""0000"))</f>
        <v/>
      </c>
      <c r="B1700" s="5" t="n"/>
      <c r="C1700" s="5" t="n"/>
      <c r="D1700" s="5" t="n"/>
      <c r="E1700" s="5" t="n"/>
      <c r="F1700" s="5" t="n"/>
      <c r="G1700" s="5" t="n"/>
      <c r="H1700" s="8" t="n"/>
      <c r="I1700" s="8" t="n"/>
      <c r="J1700" s="8" t="n"/>
      <c r="K1700" s="11">
        <f>IF(B1700="","",MAX(0,IFERROR(I1700,0)*IFERROR(H1700,0)-IFERROR(J1700,0)))</f>
        <v/>
      </c>
      <c r="L1700" s="8" t="n"/>
      <c r="M1700" s="11">
        <f>IF(B1700="","",MAX(0,K1700-L1700))</f>
        <v/>
      </c>
      <c r="N1700" s="11">
        <f>IF(B1700="","",IF(L1700&gt;=K1700,"Paid",IF(L1700&gt;0,"Partial","Unpaid")))</f>
        <v/>
      </c>
      <c r="O1700" s="5" t="n"/>
      <c r="P1700" s="8" t="n"/>
      <c r="Q1700" s="8" t="n"/>
      <c r="R1700" s="11">
        <f>IF(B1700="","",IFERROR(K1700,0)+IFERROR(P1700,0)-IFERROR(Q1700,0))</f>
        <v/>
      </c>
      <c r="S1700" s="5" t="n"/>
      <c r="T1700" s="5" t="n"/>
      <c r="U1700" s="11">
        <f>IF(B1700="","",TRIM(LOWER(C1700)&amp;"|"&amp;LOWER(D1700)))</f>
        <v/>
      </c>
    </row>
    <row r="1701">
      <c r="A1701" s="11">
        <f>IF(B1701="","",TEXT(ROW()-3,"""DC-""0000"))</f>
        <v/>
      </c>
      <c r="B1701" s="5" t="n"/>
      <c r="C1701" s="5" t="n"/>
      <c r="D1701" s="5" t="n"/>
      <c r="E1701" s="5" t="n"/>
      <c r="F1701" s="5" t="n"/>
      <c r="G1701" s="5" t="n"/>
      <c r="H1701" s="8" t="n"/>
      <c r="I1701" s="8" t="n"/>
      <c r="J1701" s="8" t="n"/>
      <c r="K1701" s="11">
        <f>IF(B1701="","",MAX(0,IFERROR(I1701,0)*IFERROR(H1701,0)-IFERROR(J1701,0)))</f>
        <v/>
      </c>
      <c r="L1701" s="8" t="n"/>
      <c r="M1701" s="11">
        <f>IF(B1701="","",MAX(0,K1701-L1701))</f>
        <v/>
      </c>
      <c r="N1701" s="11">
        <f>IF(B1701="","",IF(L1701&gt;=K1701,"Paid",IF(L1701&gt;0,"Partial","Unpaid")))</f>
        <v/>
      </c>
      <c r="O1701" s="5" t="n"/>
      <c r="P1701" s="8" t="n"/>
      <c r="Q1701" s="8" t="n"/>
      <c r="R1701" s="11">
        <f>IF(B1701="","",IFERROR(K1701,0)+IFERROR(P1701,0)-IFERROR(Q1701,0))</f>
        <v/>
      </c>
      <c r="S1701" s="5" t="n"/>
      <c r="T1701" s="5" t="n"/>
      <c r="U1701" s="11">
        <f>IF(B1701="","",TRIM(LOWER(C1701)&amp;"|"&amp;LOWER(D1701)))</f>
        <v/>
      </c>
    </row>
    <row r="1702">
      <c r="A1702" s="11">
        <f>IF(B1702="","",TEXT(ROW()-3,"""DC-""0000"))</f>
        <v/>
      </c>
      <c r="B1702" s="5" t="n"/>
      <c r="C1702" s="5" t="n"/>
      <c r="D1702" s="5" t="n"/>
      <c r="E1702" s="5" t="n"/>
      <c r="F1702" s="5" t="n"/>
      <c r="G1702" s="5" t="n"/>
      <c r="H1702" s="8" t="n"/>
      <c r="I1702" s="8" t="n"/>
      <c r="J1702" s="8" t="n"/>
      <c r="K1702" s="11">
        <f>IF(B1702="","",MAX(0,IFERROR(I1702,0)*IFERROR(H1702,0)-IFERROR(J1702,0)))</f>
        <v/>
      </c>
      <c r="L1702" s="8" t="n"/>
      <c r="M1702" s="11">
        <f>IF(B1702="","",MAX(0,K1702-L1702))</f>
        <v/>
      </c>
      <c r="N1702" s="11">
        <f>IF(B1702="","",IF(L1702&gt;=K1702,"Paid",IF(L1702&gt;0,"Partial","Unpaid")))</f>
        <v/>
      </c>
      <c r="O1702" s="5" t="n"/>
      <c r="P1702" s="8" t="n"/>
      <c r="Q1702" s="8" t="n"/>
      <c r="R1702" s="11">
        <f>IF(B1702="","",IFERROR(K1702,0)+IFERROR(P1702,0)-IFERROR(Q1702,0))</f>
        <v/>
      </c>
      <c r="S1702" s="5" t="n"/>
      <c r="T1702" s="5" t="n"/>
      <c r="U1702" s="11">
        <f>IF(B1702="","",TRIM(LOWER(C1702)&amp;"|"&amp;LOWER(D1702)))</f>
        <v/>
      </c>
    </row>
    <row r="1703">
      <c r="A1703" s="11">
        <f>IF(B1703="","",TEXT(ROW()-3,"""DC-""0000"))</f>
        <v/>
      </c>
      <c r="B1703" s="5" t="n"/>
      <c r="C1703" s="5" t="n"/>
      <c r="D1703" s="5" t="n"/>
      <c r="E1703" s="5" t="n"/>
      <c r="F1703" s="5" t="n"/>
      <c r="G1703" s="5" t="n"/>
      <c r="H1703" s="8" t="n"/>
      <c r="I1703" s="8" t="n"/>
      <c r="J1703" s="8" t="n"/>
      <c r="K1703" s="11">
        <f>IF(B1703="","",MAX(0,IFERROR(I1703,0)*IFERROR(H1703,0)-IFERROR(J1703,0)))</f>
        <v/>
      </c>
      <c r="L1703" s="8" t="n"/>
      <c r="M1703" s="11">
        <f>IF(B1703="","",MAX(0,K1703-L1703))</f>
        <v/>
      </c>
      <c r="N1703" s="11">
        <f>IF(B1703="","",IF(L1703&gt;=K1703,"Paid",IF(L1703&gt;0,"Partial","Unpaid")))</f>
        <v/>
      </c>
      <c r="O1703" s="5" t="n"/>
      <c r="P1703" s="8" t="n"/>
      <c r="Q1703" s="8" t="n"/>
      <c r="R1703" s="11">
        <f>IF(B1703="","",IFERROR(K1703,0)+IFERROR(P1703,0)-IFERROR(Q1703,0))</f>
        <v/>
      </c>
      <c r="S1703" s="5" t="n"/>
      <c r="T1703" s="5" t="n"/>
      <c r="U1703" s="11">
        <f>IF(B1703="","",TRIM(LOWER(C1703)&amp;"|"&amp;LOWER(D1703)))</f>
        <v/>
      </c>
    </row>
    <row r="1704">
      <c r="A1704" s="11">
        <f>IF(B1704="","",TEXT(ROW()-3,"""DC-""0000"))</f>
        <v/>
      </c>
      <c r="B1704" s="5" t="n"/>
      <c r="C1704" s="5" t="n"/>
      <c r="D1704" s="5" t="n"/>
      <c r="E1704" s="5" t="n"/>
      <c r="F1704" s="5" t="n"/>
      <c r="G1704" s="5" t="n"/>
      <c r="H1704" s="8" t="n"/>
      <c r="I1704" s="8" t="n"/>
      <c r="J1704" s="8" t="n"/>
      <c r="K1704" s="11">
        <f>IF(B1704="","",MAX(0,IFERROR(I1704,0)*IFERROR(H1704,0)-IFERROR(J1704,0)))</f>
        <v/>
      </c>
      <c r="L1704" s="8" t="n"/>
      <c r="M1704" s="11">
        <f>IF(B1704="","",MAX(0,K1704-L1704))</f>
        <v/>
      </c>
      <c r="N1704" s="11">
        <f>IF(B1704="","",IF(L1704&gt;=K1704,"Paid",IF(L1704&gt;0,"Partial","Unpaid")))</f>
        <v/>
      </c>
      <c r="O1704" s="5" t="n"/>
      <c r="P1704" s="8" t="n"/>
      <c r="Q1704" s="8" t="n"/>
      <c r="R1704" s="11">
        <f>IF(B1704="","",IFERROR(K1704,0)+IFERROR(P1704,0)-IFERROR(Q1704,0))</f>
        <v/>
      </c>
      <c r="S1704" s="5" t="n"/>
      <c r="T1704" s="5" t="n"/>
      <c r="U1704" s="11">
        <f>IF(B1704="","",TRIM(LOWER(C1704)&amp;"|"&amp;LOWER(D1704)))</f>
        <v/>
      </c>
    </row>
    <row r="1705">
      <c r="A1705" s="11">
        <f>IF(B1705="","",TEXT(ROW()-3,"""DC-""0000"))</f>
        <v/>
      </c>
      <c r="B1705" s="5" t="n"/>
      <c r="C1705" s="5" t="n"/>
      <c r="D1705" s="5" t="n"/>
      <c r="E1705" s="5" t="n"/>
      <c r="F1705" s="5" t="n"/>
      <c r="G1705" s="5" t="n"/>
      <c r="H1705" s="8" t="n"/>
      <c r="I1705" s="8" t="n"/>
      <c r="J1705" s="8" t="n"/>
      <c r="K1705" s="11">
        <f>IF(B1705="","",MAX(0,IFERROR(I1705,0)*IFERROR(H1705,0)-IFERROR(J1705,0)))</f>
        <v/>
      </c>
      <c r="L1705" s="8" t="n"/>
      <c r="M1705" s="11">
        <f>IF(B1705="","",MAX(0,K1705-L1705))</f>
        <v/>
      </c>
      <c r="N1705" s="11">
        <f>IF(B1705="","",IF(L1705&gt;=K1705,"Paid",IF(L1705&gt;0,"Partial","Unpaid")))</f>
        <v/>
      </c>
      <c r="O1705" s="5" t="n"/>
      <c r="P1705" s="8" t="n"/>
      <c r="Q1705" s="8" t="n"/>
      <c r="R1705" s="11">
        <f>IF(B1705="","",IFERROR(K1705,0)+IFERROR(P1705,0)-IFERROR(Q1705,0))</f>
        <v/>
      </c>
      <c r="S1705" s="5" t="n"/>
      <c r="T1705" s="5" t="n"/>
      <c r="U1705" s="11">
        <f>IF(B1705="","",TRIM(LOWER(C1705)&amp;"|"&amp;LOWER(D1705)))</f>
        <v/>
      </c>
    </row>
    <row r="1706">
      <c r="A1706" s="11">
        <f>IF(B1706="","",TEXT(ROW()-3,"""DC-""0000"))</f>
        <v/>
      </c>
      <c r="B1706" s="5" t="n"/>
      <c r="C1706" s="5" t="n"/>
      <c r="D1706" s="5" t="n"/>
      <c r="E1706" s="5" t="n"/>
      <c r="F1706" s="5" t="n"/>
      <c r="G1706" s="5" t="n"/>
      <c r="H1706" s="8" t="n"/>
      <c r="I1706" s="8" t="n"/>
      <c r="J1706" s="8" t="n"/>
      <c r="K1706" s="11">
        <f>IF(B1706="","",MAX(0,IFERROR(I1706,0)*IFERROR(H1706,0)-IFERROR(J1706,0)))</f>
        <v/>
      </c>
      <c r="L1706" s="8" t="n"/>
      <c r="M1706" s="11">
        <f>IF(B1706="","",MAX(0,K1706-L1706))</f>
        <v/>
      </c>
      <c r="N1706" s="11">
        <f>IF(B1706="","",IF(L1706&gt;=K1706,"Paid",IF(L1706&gt;0,"Partial","Unpaid")))</f>
        <v/>
      </c>
      <c r="O1706" s="5" t="n"/>
      <c r="P1706" s="8" t="n"/>
      <c r="Q1706" s="8" t="n"/>
      <c r="R1706" s="11">
        <f>IF(B1706="","",IFERROR(K1706,0)+IFERROR(P1706,0)-IFERROR(Q1706,0))</f>
        <v/>
      </c>
      <c r="S1706" s="5" t="n"/>
      <c r="T1706" s="5" t="n"/>
      <c r="U1706" s="11">
        <f>IF(B1706="","",TRIM(LOWER(C1706)&amp;"|"&amp;LOWER(D1706)))</f>
        <v/>
      </c>
    </row>
    <row r="1707">
      <c r="A1707" s="11">
        <f>IF(B1707="","",TEXT(ROW()-3,"""DC-""0000"))</f>
        <v/>
      </c>
      <c r="B1707" s="5" t="n"/>
      <c r="C1707" s="5" t="n"/>
      <c r="D1707" s="5" t="n"/>
      <c r="E1707" s="5" t="n"/>
      <c r="F1707" s="5" t="n"/>
      <c r="G1707" s="5" t="n"/>
      <c r="H1707" s="8" t="n"/>
      <c r="I1707" s="8" t="n"/>
      <c r="J1707" s="8" t="n"/>
      <c r="K1707" s="11">
        <f>IF(B1707="","",MAX(0,IFERROR(I1707,0)*IFERROR(H1707,0)-IFERROR(J1707,0)))</f>
        <v/>
      </c>
      <c r="L1707" s="8" t="n"/>
      <c r="M1707" s="11">
        <f>IF(B1707="","",MAX(0,K1707-L1707))</f>
        <v/>
      </c>
      <c r="N1707" s="11">
        <f>IF(B1707="","",IF(L1707&gt;=K1707,"Paid",IF(L1707&gt;0,"Partial","Unpaid")))</f>
        <v/>
      </c>
      <c r="O1707" s="5" t="n"/>
      <c r="P1707" s="8" t="n"/>
      <c r="Q1707" s="8" t="n"/>
      <c r="R1707" s="11">
        <f>IF(B1707="","",IFERROR(K1707,0)+IFERROR(P1707,0)-IFERROR(Q1707,0))</f>
        <v/>
      </c>
      <c r="S1707" s="5" t="n"/>
      <c r="T1707" s="5" t="n"/>
      <c r="U1707" s="11">
        <f>IF(B1707="","",TRIM(LOWER(C1707)&amp;"|"&amp;LOWER(D1707)))</f>
        <v/>
      </c>
    </row>
    <row r="1708">
      <c r="A1708" s="11">
        <f>IF(B1708="","",TEXT(ROW()-3,"""DC-""0000"))</f>
        <v/>
      </c>
      <c r="B1708" s="5" t="n"/>
      <c r="C1708" s="5" t="n"/>
      <c r="D1708" s="5" t="n"/>
      <c r="E1708" s="5" t="n"/>
      <c r="F1708" s="5" t="n"/>
      <c r="G1708" s="5" t="n"/>
      <c r="H1708" s="8" t="n"/>
      <c r="I1708" s="8" t="n"/>
      <c r="J1708" s="8" t="n"/>
      <c r="K1708" s="11">
        <f>IF(B1708="","",MAX(0,IFERROR(I1708,0)*IFERROR(H1708,0)-IFERROR(J1708,0)))</f>
        <v/>
      </c>
      <c r="L1708" s="8" t="n"/>
      <c r="M1708" s="11">
        <f>IF(B1708="","",MAX(0,K1708-L1708))</f>
        <v/>
      </c>
      <c r="N1708" s="11">
        <f>IF(B1708="","",IF(L1708&gt;=K1708,"Paid",IF(L1708&gt;0,"Partial","Unpaid")))</f>
        <v/>
      </c>
      <c r="O1708" s="5" t="n"/>
      <c r="P1708" s="8" t="n"/>
      <c r="Q1708" s="8" t="n"/>
      <c r="R1708" s="11">
        <f>IF(B1708="","",IFERROR(K1708,0)+IFERROR(P1708,0)-IFERROR(Q1708,0))</f>
        <v/>
      </c>
      <c r="S1708" s="5" t="n"/>
      <c r="T1708" s="5" t="n"/>
      <c r="U1708" s="11">
        <f>IF(B1708="","",TRIM(LOWER(C1708)&amp;"|"&amp;LOWER(D1708)))</f>
        <v/>
      </c>
    </row>
    <row r="1709">
      <c r="A1709" s="11">
        <f>IF(B1709="","",TEXT(ROW()-3,"""DC-""0000"))</f>
        <v/>
      </c>
      <c r="B1709" s="5" t="n"/>
      <c r="C1709" s="5" t="n"/>
      <c r="D1709" s="5" t="n"/>
      <c r="E1709" s="5" t="n"/>
      <c r="F1709" s="5" t="n"/>
      <c r="G1709" s="5" t="n"/>
      <c r="H1709" s="8" t="n"/>
      <c r="I1709" s="8" t="n"/>
      <c r="J1709" s="8" t="n"/>
      <c r="K1709" s="11">
        <f>IF(B1709="","",MAX(0,IFERROR(I1709,0)*IFERROR(H1709,0)-IFERROR(J1709,0)))</f>
        <v/>
      </c>
      <c r="L1709" s="8" t="n"/>
      <c r="M1709" s="11">
        <f>IF(B1709="","",MAX(0,K1709-L1709))</f>
        <v/>
      </c>
      <c r="N1709" s="11">
        <f>IF(B1709="","",IF(L1709&gt;=K1709,"Paid",IF(L1709&gt;0,"Partial","Unpaid")))</f>
        <v/>
      </c>
      <c r="O1709" s="5" t="n"/>
      <c r="P1709" s="8" t="n"/>
      <c r="Q1709" s="8" t="n"/>
      <c r="R1709" s="11">
        <f>IF(B1709="","",IFERROR(K1709,0)+IFERROR(P1709,0)-IFERROR(Q1709,0))</f>
        <v/>
      </c>
      <c r="S1709" s="5" t="n"/>
      <c r="T1709" s="5" t="n"/>
      <c r="U1709" s="11">
        <f>IF(B1709="","",TRIM(LOWER(C1709)&amp;"|"&amp;LOWER(D1709)))</f>
        <v/>
      </c>
    </row>
    <row r="1710">
      <c r="A1710" s="11">
        <f>IF(B1710="","",TEXT(ROW()-3,"""DC-""0000"))</f>
        <v/>
      </c>
      <c r="B1710" s="5" t="n"/>
      <c r="C1710" s="5" t="n"/>
      <c r="D1710" s="5" t="n"/>
      <c r="E1710" s="5" t="n"/>
      <c r="F1710" s="5" t="n"/>
      <c r="G1710" s="5" t="n"/>
      <c r="H1710" s="8" t="n"/>
      <c r="I1710" s="8" t="n"/>
      <c r="J1710" s="8" t="n"/>
      <c r="K1710" s="11">
        <f>IF(B1710="","",MAX(0,IFERROR(I1710,0)*IFERROR(H1710,0)-IFERROR(J1710,0)))</f>
        <v/>
      </c>
      <c r="L1710" s="8" t="n"/>
      <c r="M1710" s="11">
        <f>IF(B1710="","",MAX(0,K1710-L1710))</f>
        <v/>
      </c>
      <c r="N1710" s="11">
        <f>IF(B1710="","",IF(L1710&gt;=K1710,"Paid",IF(L1710&gt;0,"Partial","Unpaid")))</f>
        <v/>
      </c>
      <c r="O1710" s="5" t="n"/>
      <c r="P1710" s="8" t="n"/>
      <c r="Q1710" s="8" t="n"/>
      <c r="R1710" s="11">
        <f>IF(B1710="","",IFERROR(K1710,0)+IFERROR(P1710,0)-IFERROR(Q1710,0))</f>
        <v/>
      </c>
      <c r="S1710" s="5" t="n"/>
      <c r="T1710" s="5" t="n"/>
      <c r="U1710" s="11">
        <f>IF(B1710="","",TRIM(LOWER(C1710)&amp;"|"&amp;LOWER(D1710)))</f>
        <v/>
      </c>
    </row>
    <row r="1711">
      <c r="A1711" s="11">
        <f>IF(B1711="","",TEXT(ROW()-3,"""DC-""0000"))</f>
        <v/>
      </c>
      <c r="B1711" s="5" t="n"/>
      <c r="C1711" s="5" t="n"/>
      <c r="D1711" s="5" t="n"/>
      <c r="E1711" s="5" t="n"/>
      <c r="F1711" s="5" t="n"/>
      <c r="G1711" s="5" t="n"/>
      <c r="H1711" s="8" t="n"/>
      <c r="I1711" s="8" t="n"/>
      <c r="J1711" s="8" t="n"/>
      <c r="K1711" s="11">
        <f>IF(B1711="","",MAX(0,IFERROR(I1711,0)*IFERROR(H1711,0)-IFERROR(J1711,0)))</f>
        <v/>
      </c>
      <c r="L1711" s="8" t="n"/>
      <c r="M1711" s="11">
        <f>IF(B1711="","",MAX(0,K1711-L1711))</f>
        <v/>
      </c>
      <c r="N1711" s="11">
        <f>IF(B1711="","",IF(L1711&gt;=K1711,"Paid",IF(L1711&gt;0,"Partial","Unpaid")))</f>
        <v/>
      </c>
      <c r="O1711" s="5" t="n"/>
      <c r="P1711" s="8" t="n"/>
      <c r="Q1711" s="8" t="n"/>
      <c r="R1711" s="11">
        <f>IF(B1711="","",IFERROR(K1711,0)+IFERROR(P1711,0)-IFERROR(Q1711,0))</f>
        <v/>
      </c>
      <c r="S1711" s="5" t="n"/>
      <c r="T1711" s="5" t="n"/>
      <c r="U1711" s="11">
        <f>IF(B1711="","",TRIM(LOWER(C1711)&amp;"|"&amp;LOWER(D1711)))</f>
        <v/>
      </c>
    </row>
    <row r="1712">
      <c r="A1712" s="11">
        <f>IF(B1712="","",TEXT(ROW()-3,"""DC-""0000"))</f>
        <v/>
      </c>
      <c r="B1712" s="5" t="n"/>
      <c r="C1712" s="5" t="n"/>
      <c r="D1712" s="5" t="n"/>
      <c r="E1712" s="5" t="n"/>
      <c r="F1712" s="5" t="n"/>
      <c r="G1712" s="5" t="n"/>
      <c r="H1712" s="8" t="n"/>
      <c r="I1712" s="8" t="n"/>
      <c r="J1712" s="8" t="n"/>
      <c r="K1712" s="11">
        <f>IF(B1712="","",MAX(0,IFERROR(I1712,0)*IFERROR(H1712,0)-IFERROR(J1712,0)))</f>
        <v/>
      </c>
      <c r="L1712" s="8" t="n"/>
      <c r="M1712" s="11">
        <f>IF(B1712="","",MAX(0,K1712-L1712))</f>
        <v/>
      </c>
      <c r="N1712" s="11">
        <f>IF(B1712="","",IF(L1712&gt;=K1712,"Paid",IF(L1712&gt;0,"Partial","Unpaid")))</f>
        <v/>
      </c>
      <c r="O1712" s="5" t="n"/>
      <c r="P1712" s="8" t="n"/>
      <c r="Q1712" s="8" t="n"/>
      <c r="R1712" s="11">
        <f>IF(B1712="","",IFERROR(K1712,0)+IFERROR(P1712,0)-IFERROR(Q1712,0))</f>
        <v/>
      </c>
      <c r="S1712" s="5" t="n"/>
      <c r="T1712" s="5" t="n"/>
      <c r="U1712" s="11">
        <f>IF(B1712="","",TRIM(LOWER(C1712)&amp;"|"&amp;LOWER(D1712)))</f>
        <v/>
      </c>
    </row>
    <row r="1713">
      <c r="A1713" s="11">
        <f>IF(B1713="","",TEXT(ROW()-3,"""DC-""0000"))</f>
        <v/>
      </c>
      <c r="B1713" s="5" t="n"/>
      <c r="C1713" s="5" t="n"/>
      <c r="D1713" s="5" t="n"/>
      <c r="E1713" s="5" t="n"/>
      <c r="F1713" s="5" t="n"/>
      <c r="G1713" s="5" t="n"/>
      <c r="H1713" s="8" t="n"/>
      <c r="I1713" s="8" t="n"/>
      <c r="J1713" s="8" t="n"/>
      <c r="K1713" s="11">
        <f>IF(B1713="","",MAX(0,IFERROR(I1713,0)*IFERROR(H1713,0)-IFERROR(J1713,0)))</f>
        <v/>
      </c>
      <c r="L1713" s="8" t="n"/>
      <c r="M1713" s="11">
        <f>IF(B1713="","",MAX(0,K1713-L1713))</f>
        <v/>
      </c>
      <c r="N1713" s="11">
        <f>IF(B1713="","",IF(L1713&gt;=K1713,"Paid",IF(L1713&gt;0,"Partial","Unpaid")))</f>
        <v/>
      </c>
      <c r="O1713" s="5" t="n"/>
      <c r="P1713" s="8" t="n"/>
      <c r="Q1713" s="8" t="n"/>
      <c r="R1713" s="11">
        <f>IF(B1713="","",IFERROR(K1713,0)+IFERROR(P1713,0)-IFERROR(Q1713,0))</f>
        <v/>
      </c>
      <c r="S1713" s="5" t="n"/>
      <c r="T1713" s="5" t="n"/>
      <c r="U1713" s="11">
        <f>IF(B1713="","",TRIM(LOWER(C1713)&amp;"|"&amp;LOWER(D1713)))</f>
        <v/>
      </c>
    </row>
    <row r="1714">
      <c r="A1714" s="11">
        <f>IF(B1714="","",TEXT(ROW()-3,"""DC-""0000"))</f>
        <v/>
      </c>
      <c r="B1714" s="5" t="n"/>
      <c r="C1714" s="5" t="n"/>
      <c r="D1714" s="5" t="n"/>
      <c r="E1714" s="5" t="n"/>
      <c r="F1714" s="5" t="n"/>
      <c r="G1714" s="5" t="n"/>
      <c r="H1714" s="8" t="n"/>
      <c r="I1714" s="8" t="n"/>
      <c r="J1714" s="8" t="n"/>
      <c r="K1714" s="11">
        <f>IF(B1714="","",MAX(0,IFERROR(I1714,0)*IFERROR(H1714,0)-IFERROR(J1714,0)))</f>
        <v/>
      </c>
      <c r="L1714" s="8" t="n"/>
      <c r="M1714" s="11">
        <f>IF(B1714="","",MAX(0,K1714-L1714))</f>
        <v/>
      </c>
      <c r="N1714" s="11">
        <f>IF(B1714="","",IF(L1714&gt;=K1714,"Paid",IF(L1714&gt;0,"Partial","Unpaid")))</f>
        <v/>
      </c>
      <c r="O1714" s="5" t="n"/>
      <c r="P1714" s="8" t="n"/>
      <c r="Q1714" s="8" t="n"/>
      <c r="R1714" s="11">
        <f>IF(B1714="","",IFERROR(K1714,0)+IFERROR(P1714,0)-IFERROR(Q1714,0))</f>
        <v/>
      </c>
      <c r="S1714" s="5" t="n"/>
      <c r="T1714" s="5" t="n"/>
      <c r="U1714" s="11">
        <f>IF(B1714="","",TRIM(LOWER(C1714)&amp;"|"&amp;LOWER(D1714)))</f>
        <v/>
      </c>
    </row>
    <row r="1715">
      <c r="A1715" s="11">
        <f>IF(B1715="","",TEXT(ROW()-3,"""DC-""0000"))</f>
        <v/>
      </c>
      <c r="B1715" s="5" t="n"/>
      <c r="C1715" s="5" t="n"/>
      <c r="D1715" s="5" t="n"/>
      <c r="E1715" s="5" t="n"/>
      <c r="F1715" s="5" t="n"/>
      <c r="G1715" s="5" t="n"/>
      <c r="H1715" s="8" t="n"/>
      <c r="I1715" s="8" t="n"/>
      <c r="J1715" s="8" t="n"/>
      <c r="K1715" s="11">
        <f>IF(B1715="","",MAX(0,IFERROR(I1715,0)*IFERROR(H1715,0)-IFERROR(J1715,0)))</f>
        <v/>
      </c>
      <c r="L1715" s="8" t="n"/>
      <c r="M1715" s="11">
        <f>IF(B1715="","",MAX(0,K1715-L1715))</f>
        <v/>
      </c>
      <c r="N1715" s="11">
        <f>IF(B1715="","",IF(L1715&gt;=K1715,"Paid",IF(L1715&gt;0,"Partial","Unpaid")))</f>
        <v/>
      </c>
      <c r="O1715" s="5" t="n"/>
      <c r="P1715" s="8" t="n"/>
      <c r="Q1715" s="8" t="n"/>
      <c r="R1715" s="11">
        <f>IF(B1715="","",IFERROR(K1715,0)+IFERROR(P1715,0)-IFERROR(Q1715,0))</f>
        <v/>
      </c>
      <c r="S1715" s="5" t="n"/>
      <c r="T1715" s="5" t="n"/>
      <c r="U1715" s="11">
        <f>IF(B1715="","",TRIM(LOWER(C1715)&amp;"|"&amp;LOWER(D1715)))</f>
        <v/>
      </c>
    </row>
    <row r="1716">
      <c r="A1716" s="11">
        <f>IF(B1716="","",TEXT(ROW()-3,"""DC-""0000"))</f>
        <v/>
      </c>
      <c r="B1716" s="5" t="n"/>
      <c r="C1716" s="5" t="n"/>
      <c r="D1716" s="5" t="n"/>
      <c r="E1716" s="5" t="n"/>
      <c r="F1716" s="5" t="n"/>
      <c r="G1716" s="5" t="n"/>
      <c r="H1716" s="8" t="n"/>
      <c r="I1716" s="8" t="n"/>
      <c r="J1716" s="8" t="n"/>
      <c r="K1716" s="11">
        <f>IF(B1716="","",MAX(0,IFERROR(I1716,0)*IFERROR(H1716,0)-IFERROR(J1716,0)))</f>
        <v/>
      </c>
      <c r="L1716" s="8" t="n"/>
      <c r="M1716" s="11">
        <f>IF(B1716="","",MAX(0,K1716-L1716))</f>
        <v/>
      </c>
      <c r="N1716" s="11">
        <f>IF(B1716="","",IF(L1716&gt;=K1716,"Paid",IF(L1716&gt;0,"Partial","Unpaid")))</f>
        <v/>
      </c>
      <c r="O1716" s="5" t="n"/>
      <c r="P1716" s="8" t="n"/>
      <c r="Q1716" s="8" t="n"/>
      <c r="R1716" s="11">
        <f>IF(B1716="","",IFERROR(K1716,0)+IFERROR(P1716,0)-IFERROR(Q1716,0))</f>
        <v/>
      </c>
      <c r="S1716" s="5" t="n"/>
      <c r="T1716" s="5" t="n"/>
      <c r="U1716" s="11">
        <f>IF(B1716="","",TRIM(LOWER(C1716)&amp;"|"&amp;LOWER(D1716)))</f>
        <v/>
      </c>
    </row>
    <row r="1717">
      <c r="A1717" s="11">
        <f>IF(B1717="","",TEXT(ROW()-3,"""DC-""0000"))</f>
        <v/>
      </c>
      <c r="B1717" s="5" t="n"/>
      <c r="C1717" s="5" t="n"/>
      <c r="D1717" s="5" t="n"/>
      <c r="E1717" s="5" t="n"/>
      <c r="F1717" s="5" t="n"/>
      <c r="G1717" s="5" t="n"/>
      <c r="H1717" s="8" t="n"/>
      <c r="I1717" s="8" t="n"/>
      <c r="J1717" s="8" t="n"/>
      <c r="K1717" s="11">
        <f>IF(B1717="","",MAX(0,IFERROR(I1717,0)*IFERROR(H1717,0)-IFERROR(J1717,0)))</f>
        <v/>
      </c>
      <c r="L1717" s="8" t="n"/>
      <c r="M1717" s="11">
        <f>IF(B1717="","",MAX(0,K1717-L1717))</f>
        <v/>
      </c>
      <c r="N1717" s="11">
        <f>IF(B1717="","",IF(L1717&gt;=K1717,"Paid",IF(L1717&gt;0,"Partial","Unpaid")))</f>
        <v/>
      </c>
      <c r="O1717" s="5" t="n"/>
      <c r="P1717" s="8" t="n"/>
      <c r="Q1717" s="8" t="n"/>
      <c r="R1717" s="11">
        <f>IF(B1717="","",IFERROR(K1717,0)+IFERROR(P1717,0)-IFERROR(Q1717,0))</f>
        <v/>
      </c>
      <c r="S1717" s="5" t="n"/>
      <c r="T1717" s="5" t="n"/>
      <c r="U1717" s="11">
        <f>IF(B1717="","",TRIM(LOWER(C1717)&amp;"|"&amp;LOWER(D1717)))</f>
        <v/>
      </c>
    </row>
    <row r="1718">
      <c r="A1718" s="11">
        <f>IF(B1718="","",TEXT(ROW()-3,"""DC-""0000"))</f>
        <v/>
      </c>
      <c r="B1718" s="5" t="n"/>
      <c r="C1718" s="5" t="n"/>
      <c r="D1718" s="5" t="n"/>
      <c r="E1718" s="5" t="n"/>
      <c r="F1718" s="5" t="n"/>
      <c r="G1718" s="5" t="n"/>
      <c r="H1718" s="8" t="n"/>
      <c r="I1718" s="8" t="n"/>
      <c r="J1718" s="8" t="n"/>
      <c r="K1718" s="11">
        <f>IF(B1718="","",MAX(0,IFERROR(I1718,0)*IFERROR(H1718,0)-IFERROR(J1718,0)))</f>
        <v/>
      </c>
      <c r="L1718" s="8" t="n"/>
      <c r="M1718" s="11">
        <f>IF(B1718="","",MAX(0,K1718-L1718))</f>
        <v/>
      </c>
      <c r="N1718" s="11">
        <f>IF(B1718="","",IF(L1718&gt;=K1718,"Paid",IF(L1718&gt;0,"Partial","Unpaid")))</f>
        <v/>
      </c>
      <c r="O1718" s="5" t="n"/>
      <c r="P1718" s="8" t="n"/>
      <c r="Q1718" s="8" t="n"/>
      <c r="R1718" s="11">
        <f>IF(B1718="","",IFERROR(K1718,0)+IFERROR(P1718,0)-IFERROR(Q1718,0))</f>
        <v/>
      </c>
      <c r="S1718" s="5" t="n"/>
      <c r="T1718" s="5" t="n"/>
      <c r="U1718" s="11">
        <f>IF(B1718="","",TRIM(LOWER(C1718)&amp;"|"&amp;LOWER(D1718)))</f>
        <v/>
      </c>
    </row>
    <row r="1719">
      <c r="A1719" s="11">
        <f>IF(B1719="","",TEXT(ROW()-3,"""DC-""0000"))</f>
        <v/>
      </c>
      <c r="B1719" s="5" t="n"/>
      <c r="C1719" s="5" t="n"/>
      <c r="D1719" s="5" t="n"/>
      <c r="E1719" s="5" t="n"/>
      <c r="F1719" s="5" t="n"/>
      <c r="G1719" s="5" t="n"/>
      <c r="H1719" s="8" t="n"/>
      <c r="I1719" s="8" t="n"/>
      <c r="J1719" s="8" t="n"/>
      <c r="K1719" s="11">
        <f>IF(B1719="","",MAX(0,IFERROR(I1719,0)*IFERROR(H1719,0)-IFERROR(J1719,0)))</f>
        <v/>
      </c>
      <c r="L1719" s="8" t="n"/>
      <c r="M1719" s="11">
        <f>IF(B1719="","",MAX(0,K1719-L1719))</f>
        <v/>
      </c>
      <c r="N1719" s="11">
        <f>IF(B1719="","",IF(L1719&gt;=K1719,"Paid",IF(L1719&gt;0,"Partial","Unpaid")))</f>
        <v/>
      </c>
      <c r="O1719" s="5" t="n"/>
      <c r="P1719" s="8" t="n"/>
      <c r="Q1719" s="8" t="n"/>
      <c r="R1719" s="11">
        <f>IF(B1719="","",IFERROR(K1719,0)+IFERROR(P1719,0)-IFERROR(Q1719,0))</f>
        <v/>
      </c>
      <c r="S1719" s="5" t="n"/>
      <c r="T1719" s="5" t="n"/>
      <c r="U1719" s="11">
        <f>IF(B1719="","",TRIM(LOWER(C1719)&amp;"|"&amp;LOWER(D1719)))</f>
        <v/>
      </c>
    </row>
    <row r="1720">
      <c r="A1720" s="11">
        <f>IF(B1720="","",TEXT(ROW()-3,"""DC-""0000"))</f>
        <v/>
      </c>
      <c r="B1720" s="5" t="n"/>
      <c r="C1720" s="5" t="n"/>
      <c r="D1720" s="5" t="n"/>
      <c r="E1720" s="5" t="n"/>
      <c r="F1720" s="5" t="n"/>
      <c r="G1720" s="5" t="n"/>
      <c r="H1720" s="8" t="n"/>
      <c r="I1720" s="8" t="n"/>
      <c r="J1720" s="8" t="n"/>
      <c r="K1720" s="11">
        <f>IF(B1720="","",MAX(0,IFERROR(I1720,0)*IFERROR(H1720,0)-IFERROR(J1720,0)))</f>
        <v/>
      </c>
      <c r="L1720" s="8" t="n"/>
      <c r="M1720" s="11">
        <f>IF(B1720="","",MAX(0,K1720-L1720))</f>
        <v/>
      </c>
      <c r="N1720" s="11">
        <f>IF(B1720="","",IF(L1720&gt;=K1720,"Paid",IF(L1720&gt;0,"Partial","Unpaid")))</f>
        <v/>
      </c>
      <c r="O1720" s="5" t="n"/>
      <c r="P1720" s="8" t="n"/>
      <c r="Q1720" s="8" t="n"/>
      <c r="R1720" s="11">
        <f>IF(B1720="","",IFERROR(K1720,0)+IFERROR(P1720,0)-IFERROR(Q1720,0))</f>
        <v/>
      </c>
      <c r="S1720" s="5" t="n"/>
      <c r="T1720" s="5" t="n"/>
      <c r="U1720" s="11">
        <f>IF(B1720="","",TRIM(LOWER(C1720)&amp;"|"&amp;LOWER(D1720)))</f>
        <v/>
      </c>
    </row>
    <row r="1721">
      <c r="A1721" s="11">
        <f>IF(B1721="","",TEXT(ROW()-3,"""DC-""0000"))</f>
        <v/>
      </c>
      <c r="B1721" s="5" t="n"/>
      <c r="C1721" s="5" t="n"/>
      <c r="D1721" s="5" t="n"/>
      <c r="E1721" s="5" t="n"/>
      <c r="F1721" s="5" t="n"/>
      <c r="G1721" s="5" t="n"/>
      <c r="H1721" s="8" t="n"/>
      <c r="I1721" s="8" t="n"/>
      <c r="J1721" s="8" t="n"/>
      <c r="K1721" s="11">
        <f>IF(B1721="","",MAX(0,IFERROR(I1721,0)*IFERROR(H1721,0)-IFERROR(J1721,0)))</f>
        <v/>
      </c>
      <c r="L1721" s="8" t="n"/>
      <c r="M1721" s="11">
        <f>IF(B1721="","",MAX(0,K1721-L1721))</f>
        <v/>
      </c>
      <c r="N1721" s="11">
        <f>IF(B1721="","",IF(L1721&gt;=K1721,"Paid",IF(L1721&gt;0,"Partial","Unpaid")))</f>
        <v/>
      </c>
      <c r="O1721" s="5" t="n"/>
      <c r="P1721" s="8" t="n"/>
      <c r="Q1721" s="8" t="n"/>
      <c r="R1721" s="11">
        <f>IF(B1721="","",IFERROR(K1721,0)+IFERROR(P1721,0)-IFERROR(Q1721,0))</f>
        <v/>
      </c>
      <c r="S1721" s="5" t="n"/>
      <c r="T1721" s="5" t="n"/>
      <c r="U1721" s="11">
        <f>IF(B1721="","",TRIM(LOWER(C1721)&amp;"|"&amp;LOWER(D1721)))</f>
        <v/>
      </c>
    </row>
    <row r="1722">
      <c r="A1722" s="11">
        <f>IF(B1722="","",TEXT(ROW()-3,"""DC-""0000"))</f>
        <v/>
      </c>
      <c r="B1722" s="5" t="n"/>
      <c r="C1722" s="5" t="n"/>
      <c r="D1722" s="5" t="n"/>
      <c r="E1722" s="5" t="n"/>
      <c r="F1722" s="5" t="n"/>
      <c r="G1722" s="5" t="n"/>
      <c r="H1722" s="8" t="n"/>
      <c r="I1722" s="8" t="n"/>
      <c r="J1722" s="8" t="n"/>
      <c r="K1722" s="11">
        <f>IF(B1722="","",MAX(0,IFERROR(I1722,0)*IFERROR(H1722,0)-IFERROR(J1722,0)))</f>
        <v/>
      </c>
      <c r="L1722" s="8" t="n"/>
      <c r="M1722" s="11">
        <f>IF(B1722="","",MAX(0,K1722-L1722))</f>
        <v/>
      </c>
      <c r="N1722" s="11">
        <f>IF(B1722="","",IF(L1722&gt;=K1722,"Paid",IF(L1722&gt;0,"Partial","Unpaid")))</f>
        <v/>
      </c>
      <c r="O1722" s="5" t="n"/>
      <c r="P1722" s="8" t="n"/>
      <c r="Q1722" s="8" t="n"/>
      <c r="R1722" s="11">
        <f>IF(B1722="","",IFERROR(K1722,0)+IFERROR(P1722,0)-IFERROR(Q1722,0))</f>
        <v/>
      </c>
      <c r="S1722" s="5" t="n"/>
      <c r="T1722" s="5" t="n"/>
      <c r="U1722" s="11">
        <f>IF(B1722="","",TRIM(LOWER(C1722)&amp;"|"&amp;LOWER(D1722)))</f>
        <v/>
      </c>
    </row>
    <row r="1723">
      <c r="A1723" s="11">
        <f>IF(B1723="","",TEXT(ROW()-3,"""DC-""0000"))</f>
        <v/>
      </c>
      <c r="B1723" s="5" t="n"/>
      <c r="C1723" s="5" t="n"/>
      <c r="D1723" s="5" t="n"/>
      <c r="E1723" s="5" t="n"/>
      <c r="F1723" s="5" t="n"/>
      <c r="G1723" s="5" t="n"/>
      <c r="H1723" s="8" t="n"/>
      <c r="I1723" s="8" t="n"/>
      <c r="J1723" s="8" t="n"/>
      <c r="K1723" s="11">
        <f>IF(B1723="","",MAX(0,IFERROR(I1723,0)*IFERROR(H1723,0)-IFERROR(J1723,0)))</f>
        <v/>
      </c>
      <c r="L1723" s="8" t="n"/>
      <c r="M1723" s="11">
        <f>IF(B1723="","",MAX(0,K1723-L1723))</f>
        <v/>
      </c>
      <c r="N1723" s="11">
        <f>IF(B1723="","",IF(L1723&gt;=K1723,"Paid",IF(L1723&gt;0,"Partial","Unpaid")))</f>
        <v/>
      </c>
      <c r="O1723" s="5" t="n"/>
      <c r="P1723" s="8" t="n"/>
      <c r="Q1723" s="8" t="n"/>
      <c r="R1723" s="11">
        <f>IF(B1723="","",IFERROR(K1723,0)+IFERROR(P1723,0)-IFERROR(Q1723,0))</f>
        <v/>
      </c>
      <c r="S1723" s="5" t="n"/>
      <c r="T1723" s="5" t="n"/>
      <c r="U1723" s="11">
        <f>IF(B1723="","",TRIM(LOWER(C1723)&amp;"|"&amp;LOWER(D1723)))</f>
        <v/>
      </c>
    </row>
    <row r="1724">
      <c r="A1724" s="11">
        <f>IF(B1724="","",TEXT(ROW()-3,"""DC-""0000"))</f>
        <v/>
      </c>
      <c r="B1724" s="5" t="n"/>
      <c r="C1724" s="5" t="n"/>
      <c r="D1724" s="5" t="n"/>
      <c r="E1724" s="5" t="n"/>
      <c r="F1724" s="5" t="n"/>
      <c r="G1724" s="5" t="n"/>
      <c r="H1724" s="8" t="n"/>
      <c r="I1724" s="8" t="n"/>
      <c r="J1724" s="8" t="n"/>
      <c r="K1724" s="11">
        <f>IF(B1724="","",MAX(0,IFERROR(I1724,0)*IFERROR(H1724,0)-IFERROR(J1724,0)))</f>
        <v/>
      </c>
      <c r="L1724" s="8" t="n"/>
      <c r="M1724" s="11">
        <f>IF(B1724="","",MAX(0,K1724-L1724))</f>
        <v/>
      </c>
      <c r="N1724" s="11">
        <f>IF(B1724="","",IF(L1724&gt;=K1724,"Paid",IF(L1724&gt;0,"Partial","Unpaid")))</f>
        <v/>
      </c>
      <c r="O1724" s="5" t="n"/>
      <c r="P1724" s="8" t="n"/>
      <c r="Q1724" s="8" t="n"/>
      <c r="R1724" s="11">
        <f>IF(B1724="","",IFERROR(K1724,0)+IFERROR(P1724,0)-IFERROR(Q1724,0))</f>
        <v/>
      </c>
      <c r="S1724" s="5" t="n"/>
      <c r="T1724" s="5" t="n"/>
      <c r="U1724" s="11">
        <f>IF(B1724="","",TRIM(LOWER(C1724)&amp;"|"&amp;LOWER(D1724)))</f>
        <v/>
      </c>
    </row>
    <row r="1725">
      <c r="A1725" s="11">
        <f>IF(B1725="","",TEXT(ROW()-3,"""DC-""0000"))</f>
        <v/>
      </c>
      <c r="B1725" s="5" t="n"/>
      <c r="C1725" s="5" t="n"/>
      <c r="D1725" s="5" t="n"/>
      <c r="E1725" s="5" t="n"/>
      <c r="F1725" s="5" t="n"/>
      <c r="G1725" s="5" t="n"/>
      <c r="H1725" s="8" t="n"/>
      <c r="I1725" s="8" t="n"/>
      <c r="J1725" s="8" t="n"/>
      <c r="K1725" s="11">
        <f>IF(B1725="","",MAX(0,IFERROR(I1725,0)*IFERROR(H1725,0)-IFERROR(J1725,0)))</f>
        <v/>
      </c>
      <c r="L1725" s="8" t="n"/>
      <c r="M1725" s="11">
        <f>IF(B1725="","",MAX(0,K1725-L1725))</f>
        <v/>
      </c>
      <c r="N1725" s="11">
        <f>IF(B1725="","",IF(L1725&gt;=K1725,"Paid",IF(L1725&gt;0,"Partial","Unpaid")))</f>
        <v/>
      </c>
      <c r="O1725" s="5" t="n"/>
      <c r="P1725" s="8" t="n"/>
      <c r="Q1725" s="8" t="n"/>
      <c r="R1725" s="11">
        <f>IF(B1725="","",IFERROR(K1725,0)+IFERROR(P1725,0)-IFERROR(Q1725,0))</f>
        <v/>
      </c>
      <c r="S1725" s="5" t="n"/>
      <c r="T1725" s="5" t="n"/>
      <c r="U1725" s="11">
        <f>IF(B1725="","",TRIM(LOWER(C1725)&amp;"|"&amp;LOWER(D1725)))</f>
        <v/>
      </c>
    </row>
    <row r="1726">
      <c r="A1726" s="11">
        <f>IF(B1726="","",TEXT(ROW()-3,"""DC-""0000"))</f>
        <v/>
      </c>
      <c r="B1726" s="5" t="n"/>
      <c r="C1726" s="5" t="n"/>
      <c r="D1726" s="5" t="n"/>
      <c r="E1726" s="5" t="n"/>
      <c r="F1726" s="5" t="n"/>
      <c r="G1726" s="5" t="n"/>
      <c r="H1726" s="8" t="n"/>
      <c r="I1726" s="8" t="n"/>
      <c r="J1726" s="8" t="n"/>
      <c r="K1726" s="11">
        <f>IF(B1726="","",MAX(0,IFERROR(I1726,0)*IFERROR(H1726,0)-IFERROR(J1726,0)))</f>
        <v/>
      </c>
      <c r="L1726" s="8" t="n"/>
      <c r="M1726" s="11">
        <f>IF(B1726="","",MAX(0,K1726-L1726))</f>
        <v/>
      </c>
      <c r="N1726" s="11">
        <f>IF(B1726="","",IF(L1726&gt;=K1726,"Paid",IF(L1726&gt;0,"Partial","Unpaid")))</f>
        <v/>
      </c>
      <c r="O1726" s="5" t="n"/>
      <c r="P1726" s="8" t="n"/>
      <c r="Q1726" s="8" t="n"/>
      <c r="R1726" s="11">
        <f>IF(B1726="","",IFERROR(K1726,0)+IFERROR(P1726,0)-IFERROR(Q1726,0))</f>
        <v/>
      </c>
      <c r="S1726" s="5" t="n"/>
      <c r="T1726" s="5" t="n"/>
      <c r="U1726" s="11">
        <f>IF(B1726="","",TRIM(LOWER(C1726)&amp;"|"&amp;LOWER(D1726)))</f>
        <v/>
      </c>
    </row>
    <row r="1727">
      <c r="A1727" s="11">
        <f>IF(B1727="","",TEXT(ROW()-3,"""DC-""0000"))</f>
        <v/>
      </c>
      <c r="B1727" s="5" t="n"/>
      <c r="C1727" s="5" t="n"/>
      <c r="D1727" s="5" t="n"/>
      <c r="E1727" s="5" t="n"/>
      <c r="F1727" s="5" t="n"/>
      <c r="G1727" s="5" t="n"/>
      <c r="H1727" s="8" t="n"/>
      <c r="I1727" s="8" t="n"/>
      <c r="J1727" s="8" t="n"/>
      <c r="K1727" s="11">
        <f>IF(B1727="","",MAX(0,IFERROR(I1727,0)*IFERROR(H1727,0)-IFERROR(J1727,0)))</f>
        <v/>
      </c>
      <c r="L1727" s="8" t="n"/>
      <c r="M1727" s="11">
        <f>IF(B1727="","",MAX(0,K1727-L1727))</f>
        <v/>
      </c>
      <c r="N1727" s="11">
        <f>IF(B1727="","",IF(L1727&gt;=K1727,"Paid",IF(L1727&gt;0,"Partial","Unpaid")))</f>
        <v/>
      </c>
      <c r="O1727" s="5" t="n"/>
      <c r="P1727" s="8" t="n"/>
      <c r="Q1727" s="8" t="n"/>
      <c r="R1727" s="11">
        <f>IF(B1727="","",IFERROR(K1727,0)+IFERROR(P1727,0)-IFERROR(Q1727,0))</f>
        <v/>
      </c>
      <c r="S1727" s="5" t="n"/>
      <c r="T1727" s="5" t="n"/>
      <c r="U1727" s="11">
        <f>IF(B1727="","",TRIM(LOWER(C1727)&amp;"|"&amp;LOWER(D1727)))</f>
        <v/>
      </c>
    </row>
    <row r="1728">
      <c r="A1728" s="11">
        <f>IF(B1728="","",TEXT(ROW()-3,"""DC-""0000"))</f>
        <v/>
      </c>
      <c r="B1728" s="5" t="n"/>
      <c r="C1728" s="5" t="n"/>
      <c r="D1728" s="5" t="n"/>
      <c r="E1728" s="5" t="n"/>
      <c r="F1728" s="5" t="n"/>
      <c r="G1728" s="5" t="n"/>
      <c r="H1728" s="8" t="n"/>
      <c r="I1728" s="8" t="n"/>
      <c r="J1728" s="8" t="n"/>
      <c r="K1728" s="11">
        <f>IF(B1728="","",MAX(0,IFERROR(I1728,0)*IFERROR(H1728,0)-IFERROR(J1728,0)))</f>
        <v/>
      </c>
      <c r="L1728" s="8" t="n"/>
      <c r="M1728" s="11">
        <f>IF(B1728="","",MAX(0,K1728-L1728))</f>
        <v/>
      </c>
      <c r="N1728" s="11">
        <f>IF(B1728="","",IF(L1728&gt;=K1728,"Paid",IF(L1728&gt;0,"Partial","Unpaid")))</f>
        <v/>
      </c>
      <c r="O1728" s="5" t="n"/>
      <c r="P1728" s="8" t="n"/>
      <c r="Q1728" s="8" t="n"/>
      <c r="R1728" s="11">
        <f>IF(B1728="","",IFERROR(K1728,0)+IFERROR(P1728,0)-IFERROR(Q1728,0))</f>
        <v/>
      </c>
      <c r="S1728" s="5" t="n"/>
      <c r="T1728" s="5" t="n"/>
      <c r="U1728" s="11">
        <f>IF(B1728="","",TRIM(LOWER(C1728)&amp;"|"&amp;LOWER(D1728)))</f>
        <v/>
      </c>
    </row>
    <row r="1729">
      <c r="A1729" s="11">
        <f>IF(B1729="","",TEXT(ROW()-3,"""DC-""0000"))</f>
        <v/>
      </c>
      <c r="B1729" s="5" t="n"/>
      <c r="C1729" s="5" t="n"/>
      <c r="D1729" s="5" t="n"/>
      <c r="E1729" s="5" t="n"/>
      <c r="F1729" s="5" t="n"/>
      <c r="G1729" s="5" t="n"/>
      <c r="H1729" s="8" t="n"/>
      <c r="I1729" s="8" t="n"/>
      <c r="J1729" s="8" t="n"/>
      <c r="K1729" s="11">
        <f>IF(B1729="","",MAX(0,IFERROR(I1729,0)*IFERROR(H1729,0)-IFERROR(J1729,0)))</f>
        <v/>
      </c>
      <c r="L1729" s="8" t="n"/>
      <c r="M1729" s="11">
        <f>IF(B1729="","",MAX(0,K1729-L1729))</f>
        <v/>
      </c>
      <c r="N1729" s="11">
        <f>IF(B1729="","",IF(L1729&gt;=K1729,"Paid",IF(L1729&gt;0,"Partial","Unpaid")))</f>
        <v/>
      </c>
      <c r="O1729" s="5" t="n"/>
      <c r="P1729" s="8" t="n"/>
      <c r="Q1729" s="8" t="n"/>
      <c r="R1729" s="11">
        <f>IF(B1729="","",IFERROR(K1729,0)+IFERROR(P1729,0)-IFERROR(Q1729,0))</f>
        <v/>
      </c>
      <c r="S1729" s="5" t="n"/>
      <c r="T1729" s="5" t="n"/>
      <c r="U1729" s="11">
        <f>IF(B1729="","",TRIM(LOWER(C1729)&amp;"|"&amp;LOWER(D1729)))</f>
        <v/>
      </c>
    </row>
    <row r="1730">
      <c r="A1730" s="11">
        <f>IF(B1730="","",TEXT(ROW()-3,"""DC-""0000"))</f>
        <v/>
      </c>
      <c r="B1730" s="5" t="n"/>
      <c r="C1730" s="5" t="n"/>
      <c r="D1730" s="5" t="n"/>
      <c r="E1730" s="5" t="n"/>
      <c r="F1730" s="5" t="n"/>
      <c r="G1730" s="5" t="n"/>
      <c r="H1730" s="8" t="n"/>
      <c r="I1730" s="8" t="n"/>
      <c r="J1730" s="8" t="n"/>
      <c r="K1730" s="11">
        <f>IF(B1730="","",MAX(0,IFERROR(I1730,0)*IFERROR(H1730,0)-IFERROR(J1730,0)))</f>
        <v/>
      </c>
      <c r="L1730" s="8" t="n"/>
      <c r="M1730" s="11">
        <f>IF(B1730="","",MAX(0,K1730-L1730))</f>
        <v/>
      </c>
      <c r="N1730" s="11">
        <f>IF(B1730="","",IF(L1730&gt;=K1730,"Paid",IF(L1730&gt;0,"Partial","Unpaid")))</f>
        <v/>
      </c>
      <c r="O1730" s="5" t="n"/>
      <c r="P1730" s="8" t="n"/>
      <c r="Q1730" s="8" t="n"/>
      <c r="R1730" s="11">
        <f>IF(B1730="","",IFERROR(K1730,0)+IFERROR(P1730,0)-IFERROR(Q1730,0))</f>
        <v/>
      </c>
      <c r="S1730" s="5" t="n"/>
      <c r="T1730" s="5" t="n"/>
      <c r="U1730" s="11">
        <f>IF(B1730="","",TRIM(LOWER(C1730)&amp;"|"&amp;LOWER(D1730)))</f>
        <v/>
      </c>
    </row>
    <row r="1731">
      <c r="A1731" s="11">
        <f>IF(B1731="","",TEXT(ROW()-3,"""DC-""0000"))</f>
        <v/>
      </c>
      <c r="B1731" s="5" t="n"/>
      <c r="C1731" s="5" t="n"/>
      <c r="D1731" s="5" t="n"/>
      <c r="E1731" s="5" t="n"/>
      <c r="F1731" s="5" t="n"/>
      <c r="G1731" s="5" t="n"/>
      <c r="H1731" s="8" t="n"/>
      <c r="I1731" s="8" t="n"/>
      <c r="J1731" s="8" t="n"/>
      <c r="K1731" s="11">
        <f>IF(B1731="","",MAX(0,IFERROR(I1731,0)*IFERROR(H1731,0)-IFERROR(J1731,0)))</f>
        <v/>
      </c>
      <c r="L1731" s="8" t="n"/>
      <c r="M1731" s="11">
        <f>IF(B1731="","",MAX(0,K1731-L1731))</f>
        <v/>
      </c>
      <c r="N1731" s="11">
        <f>IF(B1731="","",IF(L1731&gt;=K1731,"Paid",IF(L1731&gt;0,"Partial","Unpaid")))</f>
        <v/>
      </c>
      <c r="O1731" s="5" t="n"/>
      <c r="P1731" s="8" t="n"/>
      <c r="Q1731" s="8" t="n"/>
      <c r="R1731" s="11">
        <f>IF(B1731="","",IFERROR(K1731,0)+IFERROR(P1731,0)-IFERROR(Q1731,0))</f>
        <v/>
      </c>
      <c r="S1731" s="5" t="n"/>
      <c r="T1731" s="5" t="n"/>
      <c r="U1731" s="11">
        <f>IF(B1731="","",TRIM(LOWER(C1731)&amp;"|"&amp;LOWER(D1731)))</f>
        <v/>
      </c>
    </row>
    <row r="1732">
      <c r="A1732" s="11">
        <f>IF(B1732="","",TEXT(ROW()-3,"""DC-""0000"))</f>
        <v/>
      </c>
      <c r="B1732" s="5" t="n"/>
      <c r="C1732" s="5" t="n"/>
      <c r="D1732" s="5" t="n"/>
      <c r="E1732" s="5" t="n"/>
      <c r="F1732" s="5" t="n"/>
      <c r="G1732" s="5" t="n"/>
      <c r="H1732" s="8" t="n"/>
      <c r="I1732" s="8" t="n"/>
      <c r="J1732" s="8" t="n"/>
      <c r="K1732" s="11">
        <f>IF(B1732="","",MAX(0,IFERROR(I1732,0)*IFERROR(H1732,0)-IFERROR(J1732,0)))</f>
        <v/>
      </c>
      <c r="L1732" s="8" t="n"/>
      <c r="M1732" s="11">
        <f>IF(B1732="","",MAX(0,K1732-L1732))</f>
        <v/>
      </c>
      <c r="N1732" s="11">
        <f>IF(B1732="","",IF(L1732&gt;=K1732,"Paid",IF(L1732&gt;0,"Partial","Unpaid")))</f>
        <v/>
      </c>
      <c r="O1732" s="5" t="n"/>
      <c r="P1732" s="8" t="n"/>
      <c r="Q1732" s="8" t="n"/>
      <c r="R1732" s="11">
        <f>IF(B1732="","",IFERROR(K1732,0)+IFERROR(P1732,0)-IFERROR(Q1732,0))</f>
        <v/>
      </c>
      <c r="S1732" s="5" t="n"/>
      <c r="T1732" s="5" t="n"/>
      <c r="U1732" s="11">
        <f>IF(B1732="","",TRIM(LOWER(C1732)&amp;"|"&amp;LOWER(D1732)))</f>
        <v/>
      </c>
    </row>
    <row r="1733">
      <c r="A1733" s="11">
        <f>IF(B1733="","",TEXT(ROW()-3,"""DC-""0000"))</f>
        <v/>
      </c>
      <c r="B1733" s="5" t="n"/>
      <c r="C1733" s="5" t="n"/>
      <c r="D1733" s="5" t="n"/>
      <c r="E1733" s="5" t="n"/>
      <c r="F1733" s="5" t="n"/>
      <c r="G1733" s="5" t="n"/>
      <c r="H1733" s="8" t="n"/>
      <c r="I1733" s="8" t="n"/>
      <c r="J1733" s="8" t="n"/>
      <c r="K1733" s="11">
        <f>IF(B1733="","",MAX(0,IFERROR(I1733,0)*IFERROR(H1733,0)-IFERROR(J1733,0)))</f>
        <v/>
      </c>
      <c r="L1733" s="8" t="n"/>
      <c r="M1733" s="11">
        <f>IF(B1733="","",MAX(0,K1733-L1733))</f>
        <v/>
      </c>
      <c r="N1733" s="11">
        <f>IF(B1733="","",IF(L1733&gt;=K1733,"Paid",IF(L1733&gt;0,"Partial","Unpaid")))</f>
        <v/>
      </c>
      <c r="O1733" s="5" t="n"/>
      <c r="P1733" s="8" t="n"/>
      <c r="Q1733" s="8" t="n"/>
      <c r="R1733" s="11">
        <f>IF(B1733="","",IFERROR(K1733,0)+IFERROR(P1733,0)-IFERROR(Q1733,0))</f>
        <v/>
      </c>
      <c r="S1733" s="5" t="n"/>
      <c r="T1733" s="5" t="n"/>
      <c r="U1733" s="11">
        <f>IF(B1733="","",TRIM(LOWER(C1733)&amp;"|"&amp;LOWER(D1733)))</f>
        <v/>
      </c>
    </row>
    <row r="1734">
      <c r="A1734" s="11">
        <f>IF(B1734="","",TEXT(ROW()-3,"""DC-""0000"))</f>
        <v/>
      </c>
      <c r="B1734" s="5" t="n"/>
      <c r="C1734" s="5" t="n"/>
      <c r="D1734" s="5" t="n"/>
      <c r="E1734" s="5" t="n"/>
      <c r="F1734" s="5" t="n"/>
      <c r="G1734" s="5" t="n"/>
      <c r="H1734" s="8" t="n"/>
      <c r="I1734" s="8" t="n"/>
      <c r="J1734" s="8" t="n"/>
      <c r="K1734" s="11">
        <f>IF(B1734="","",MAX(0,IFERROR(I1734,0)*IFERROR(H1734,0)-IFERROR(J1734,0)))</f>
        <v/>
      </c>
      <c r="L1734" s="8" t="n"/>
      <c r="M1734" s="11">
        <f>IF(B1734="","",MAX(0,K1734-L1734))</f>
        <v/>
      </c>
      <c r="N1734" s="11">
        <f>IF(B1734="","",IF(L1734&gt;=K1734,"Paid",IF(L1734&gt;0,"Partial","Unpaid")))</f>
        <v/>
      </c>
      <c r="O1734" s="5" t="n"/>
      <c r="P1734" s="8" t="n"/>
      <c r="Q1734" s="8" t="n"/>
      <c r="R1734" s="11">
        <f>IF(B1734="","",IFERROR(K1734,0)+IFERROR(P1734,0)-IFERROR(Q1734,0))</f>
        <v/>
      </c>
      <c r="S1734" s="5" t="n"/>
      <c r="T1734" s="5" t="n"/>
      <c r="U1734" s="11">
        <f>IF(B1734="","",TRIM(LOWER(C1734)&amp;"|"&amp;LOWER(D1734)))</f>
        <v/>
      </c>
    </row>
    <row r="1735">
      <c r="A1735" s="11">
        <f>IF(B1735="","",TEXT(ROW()-3,"""DC-""0000"))</f>
        <v/>
      </c>
      <c r="B1735" s="5" t="n"/>
      <c r="C1735" s="5" t="n"/>
      <c r="D1735" s="5" t="n"/>
      <c r="E1735" s="5" t="n"/>
      <c r="F1735" s="5" t="n"/>
      <c r="G1735" s="5" t="n"/>
      <c r="H1735" s="8" t="n"/>
      <c r="I1735" s="8" t="n"/>
      <c r="J1735" s="8" t="n"/>
      <c r="K1735" s="11">
        <f>IF(B1735="","",MAX(0,IFERROR(I1735,0)*IFERROR(H1735,0)-IFERROR(J1735,0)))</f>
        <v/>
      </c>
      <c r="L1735" s="8" t="n"/>
      <c r="M1735" s="11">
        <f>IF(B1735="","",MAX(0,K1735-L1735))</f>
        <v/>
      </c>
      <c r="N1735" s="11">
        <f>IF(B1735="","",IF(L1735&gt;=K1735,"Paid",IF(L1735&gt;0,"Partial","Unpaid")))</f>
        <v/>
      </c>
      <c r="O1735" s="5" t="n"/>
      <c r="P1735" s="8" t="n"/>
      <c r="Q1735" s="8" t="n"/>
      <c r="R1735" s="11">
        <f>IF(B1735="","",IFERROR(K1735,0)+IFERROR(P1735,0)-IFERROR(Q1735,0))</f>
        <v/>
      </c>
      <c r="S1735" s="5" t="n"/>
      <c r="T1735" s="5" t="n"/>
      <c r="U1735" s="11">
        <f>IF(B1735="","",TRIM(LOWER(C1735)&amp;"|"&amp;LOWER(D1735)))</f>
        <v/>
      </c>
    </row>
    <row r="1736">
      <c r="A1736" s="11">
        <f>IF(B1736="","",TEXT(ROW()-3,"""DC-""0000"))</f>
        <v/>
      </c>
      <c r="B1736" s="5" t="n"/>
      <c r="C1736" s="5" t="n"/>
      <c r="D1736" s="5" t="n"/>
      <c r="E1736" s="5" t="n"/>
      <c r="F1736" s="5" t="n"/>
      <c r="G1736" s="5" t="n"/>
      <c r="H1736" s="8" t="n"/>
      <c r="I1736" s="8" t="n"/>
      <c r="J1736" s="8" t="n"/>
      <c r="K1736" s="11">
        <f>IF(B1736="","",MAX(0,IFERROR(I1736,0)*IFERROR(H1736,0)-IFERROR(J1736,0)))</f>
        <v/>
      </c>
      <c r="L1736" s="8" t="n"/>
      <c r="M1736" s="11">
        <f>IF(B1736="","",MAX(0,K1736-L1736))</f>
        <v/>
      </c>
      <c r="N1736" s="11">
        <f>IF(B1736="","",IF(L1736&gt;=K1736,"Paid",IF(L1736&gt;0,"Partial","Unpaid")))</f>
        <v/>
      </c>
      <c r="O1736" s="5" t="n"/>
      <c r="P1736" s="8" t="n"/>
      <c r="Q1736" s="8" t="n"/>
      <c r="R1736" s="11">
        <f>IF(B1736="","",IFERROR(K1736,0)+IFERROR(P1736,0)-IFERROR(Q1736,0))</f>
        <v/>
      </c>
      <c r="S1736" s="5" t="n"/>
      <c r="T1736" s="5" t="n"/>
      <c r="U1736" s="11">
        <f>IF(B1736="","",TRIM(LOWER(C1736)&amp;"|"&amp;LOWER(D1736)))</f>
        <v/>
      </c>
    </row>
    <row r="1737">
      <c r="A1737" s="11">
        <f>IF(B1737="","",TEXT(ROW()-3,"""DC-""0000"))</f>
        <v/>
      </c>
      <c r="B1737" s="5" t="n"/>
      <c r="C1737" s="5" t="n"/>
      <c r="D1737" s="5" t="n"/>
      <c r="E1737" s="5" t="n"/>
      <c r="F1737" s="5" t="n"/>
      <c r="G1737" s="5" t="n"/>
      <c r="H1737" s="8" t="n"/>
      <c r="I1737" s="8" t="n"/>
      <c r="J1737" s="8" t="n"/>
      <c r="K1737" s="11">
        <f>IF(B1737="","",MAX(0,IFERROR(I1737,0)*IFERROR(H1737,0)-IFERROR(J1737,0)))</f>
        <v/>
      </c>
      <c r="L1737" s="8" t="n"/>
      <c r="M1737" s="11">
        <f>IF(B1737="","",MAX(0,K1737-L1737))</f>
        <v/>
      </c>
      <c r="N1737" s="11">
        <f>IF(B1737="","",IF(L1737&gt;=K1737,"Paid",IF(L1737&gt;0,"Partial","Unpaid")))</f>
        <v/>
      </c>
      <c r="O1737" s="5" t="n"/>
      <c r="P1737" s="8" t="n"/>
      <c r="Q1737" s="8" t="n"/>
      <c r="R1737" s="11">
        <f>IF(B1737="","",IFERROR(K1737,0)+IFERROR(P1737,0)-IFERROR(Q1737,0))</f>
        <v/>
      </c>
      <c r="S1737" s="5" t="n"/>
      <c r="T1737" s="5" t="n"/>
      <c r="U1737" s="11">
        <f>IF(B1737="","",TRIM(LOWER(C1737)&amp;"|"&amp;LOWER(D1737)))</f>
        <v/>
      </c>
    </row>
    <row r="1738">
      <c r="A1738" s="11">
        <f>IF(B1738="","",TEXT(ROW()-3,"""DC-""0000"))</f>
        <v/>
      </c>
      <c r="B1738" s="5" t="n"/>
      <c r="C1738" s="5" t="n"/>
      <c r="D1738" s="5" t="n"/>
      <c r="E1738" s="5" t="n"/>
      <c r="F1738" s="5" t="n"/>
      <c r="G1738" s="5" t="n"/>
      <c r="H1738" s="8" t="n"/>
      <c r="I1738" s="8" t="n"/>
      <c r="J1738" s="8" t="n"/>
      <c r="K1738" s="11">
        <f>IF(B1738="","",MAX(0,IFERROR(I1738,0)*IFERROR(H1738,0)-IFERROR(J1738,0)))</f>
        <v/>
      </c>
      <c r="L1738" s="8" t="n"/>
      <c r="M1738" s="11">
        <f>IF(B1738="","",MAX(0,K1738-L1738))</f>
        <v/>
      </c>
      <c r="N1738" s="11">
        <f>IF(B1738="","",IF(L1738&gt;=K1738,"Paid",IF(L1738&gt;0,"Partial","Unpaid")))</f>
        <v/>
      </c>
      <c r="O1738" s="5" t="n"/>
      <c r="P1738" s="8" t="n"/>
      <c r="Q1738" s="8" t="n"/>
      <c r="R1738" s="11">
        <f>IF(B1738="","",IFERROR(K1738,0)+IFERROR(P1738,0)-IFERROR(Q1738,0))</f>
        <v/>
      </c>
      <c r="S1738" s="5" t="n"/>
      <c r="T1738" s="5" t="n"/>
      <c r="U1738" s="11">
        <f>IF(B1738="","",TRIM(LOWER(C1738)&amp;"|"&amp;LOWER(D1738)))</f>
        <v/>
      </c>
    </row>
    <row r="1739">
      <c r="A1739" s="11">
        <f>IF(B1739="","",TEXT(ROW()-3,"""DC-""0000"))</f>
        <v/>
      </c>
      <c r="B1739" s="5" t="n"/>
      <c r="C1739" s="5" t="n"/>
      <c r="D1739" s="5" t="n"/>
      <c r="E1739" s="5" t="n"/>
      <c r="F1739" s="5" t="n"/>
      <c r="G1739" s="5" t="n"/>
      <c r="H1739" s="8" t="n"/>
      <c r="I1739" s="8" t="n"/>
      <c r="J1739" s="8" t="n"/>
      <c r="K1739" s="11">
        <f>IF(B1739="","",MAX(0,IFERROR(I1739,0)*IFERROR(H1739,0)-IFERROR(J1739,0)))</f>
        <v/>
      </c>
      <c r="L1739" s="8" t="n"/>
      <c r="M1739" s="11">
        <f>IF(B1739="","",MAX(0,K1739-L1739))</f>
        <v/>
      </c>
      <c r="N1739" s="11">
        <f>IF(B1739="","",IF(L1739&gt;=K1739,"Paid",IF(L1739&gt;0,"Partial","Unpaid")))</f>
        <v/>
      </c>
      <c r="O1739" s="5" t="n"/>
      <c r="P1739" s="8" t="n"/>
      <c r="Q1739" s="8" t="n"/>
      <c r="R1739" s="11">
        <f>IF(B1739="","",IFERROR(K1739,0)+IFERROR(P1739,0)-IFERROR(Q1739,0))</f>
        <v/>
      </c>
      <c r="S1739" s="5" t="n"/>
      <c r="T1739" s="5" t="n"/>
      <c r="U1739" s="11">
        <f>IF(B1739="","",TRIM(LOWER(C1739)&amp;"|"&amp;LOWER(D1739)))</f>
        <v/>
      </c>
    </row>
    <row r="1740">
      <c r="A1740" s="11">
        <f>IF(B1740="","",TEXT(ROW()-3,"""DC-""0000"))</f>
        <v/>
      </c>
      <c r="B1740" s="5" t="n"/>
      <c r="C1740" s="5" t="n"/>
      <c r="D1740" s="5" t="n"/>
      <c r="E1740" s="5" t="n"/>
      <c r="F1740" s="5" t="n"/>
      <c r="G1740" s="5" t="n"/>
      <c r="H1740" s="8" t="n"/>
      <c r="I1740" s="8" t="n"/>
      <c r="J1740" s="8" t="n"/>
      <c r="K1740" s="11">
        <f>IF(B1740="","",MAX(0,IFERROR(I1740,0)*IFERROR(H1740,0)-IFERROR(J1740,0)))</f>
        <v/>
      </c>
      <c r="L1740" s="8" t="n"/>
      <c r="M1740" s="11">
        <f>IF(B1740="","",MAX(0,K1740-L1740))</f>
        <v/>
      </c>
      <c r="N1740" s="11">
        <f>IF(B1740="","",IF(L1740&gt;=K1740,"Paid",IF(L1740&gt;0,"Partial","Unpaid")))</f>
        <v/>
      </c>
      <c r="O1740" s="5" t="n"/>
      <c r="P1740" s="8" t="n"/>
      <c r="Q1740" s="8" t="n"/>
      <c r="R1740" s="11">
        <f>IF(B1740="","",IFERROR(K1740,0)+IFERROR(P1740,0)-IFERROR(Q1740,0))</f>
        <v/>
      </c>
      <c r="S1740" s="5" t="n"/>
      <c r="T1740" s="5" t="n"/>
      <c r="U1740" s="11">
        <f>IF(B1740="","",TRIM(LOWER(C1740)&amp;"|"&amp;LOWER(D1740)))</f>
        <v/>
      </c>
    </row>
    <row r="1741">
      <c r="A1741" s="11">
        <f>IF(B1741="","",TEXT(ROW()-3,"""DC-""0000"))</f>
        <v/>
      </c>
      <c r="B1741" s="5" t="n"/>
      <c r="C1741" s="5" t="n"/>
      <c r="D1741" s="5" t="n"/>
      <c r="E1741" s="5" t="n"/>
      <c r="F1741" s="5" t="n"/>
      <c r="G1741" s="5" t="n"/>
      <c r="H1741" s="8" t="n"/>
      <c r="I1741" s="8" t="n"/>
      <c r="J1741" s="8" t="n"/>
      <c r="K1741" s="11">
        <f>IF(B1741="","",MAX(0,IFERROR(I1741,0)*IFERROR(H1741,0)-IFERROR(J1741,0)))</f>
        <v/>
      </c>
      <c r="L1741" s="8" t="n"/>
      <c r="M1741" s="11">
        <f>IF(B1741="","",MAX(0,K1741-L1741))</f>
        <v/>
      </c>
      <c r="N1741" s="11">
        <f>IF(B1741="","",IF(L1741&gt;=K1741,"Paid",IF(L1741&gt;0,"Partial","Unpaid")))</f>
        <v/>
      </c>
      <c r="O1741" s="5" t="n"/>
      <c r="P1741" s="8" t="n"/>
      <c r="Q1741" s="8" t="n"/>
      <c r="R1741" s="11">
        <f>IF(B1741="","",IFERROR(K1741,0)+IFERROR(P1741,0)-IFERROR(Q1741,0))</f>
        <v/>
      </c>
      <c r="S1741" s="5" t="n"/>
      <c r="T1741" s="5" t="n"/>
      <c r="U1741" s="11">
        <f>IF(B1741="","",TRIM(LOWER(C1741)&amp;"|"&amp;LOWER(D1741)))</f>
        <v/>
      </c>
    </row>
    <row r="1742">
      <c r="A1742" s="11">
        <f>IF(B1742="","",TEXT(ROW()-3,"""DC-""0000"))</f>
        <v/>
      </c>
      <c r="B1742" s="5" t="n"/>
      <c r="C1742" s="5" t="n"/>
      <c r="D1742" s="5" t="n"/>
      <c r="E1742" s="5" t="n"/>
      <c r="F1742" s="5" t="n"/>
      <c r="G1742" s="5" t="n"/>
      <c r="H1742" s="8" t="n"/>
      <c r="I1742" s="8" t="n"/>
      <c r="J1742" s="8" t="n"/>
      <c r="K1742" s="11">
        <f>IF(B1742="","",MAX(0,IFERROR(I1742,0)*IFERROR(H1742,0)-IFERROR(J1742,0)))</f>
        <v/>
      </c>
      <c r="L1742" s="8" t="n"/>
      <c r="M1742" s="11">
        <f>IF(B1742="","",MAX(0,K1742-L1742))</f>
        <v/>
      </c>
      <c r="N1742" s="11">
        <f>IF(B1742="","",IF(L1742&gt;=K1742,"Paid",IF(L1742&gt;0,"Partial","Unpaid")))</f>
        <v/>
      </c>
      <c r="O1742" s="5" t="n"/>
      <c r="P1742" s="8" t="n"/>
      <c r="Q1742" s="8" t="n"/>
      <c r="R1742" s="11">
        <f>IF(B1742="","",IFERROR(K1742,0)+IFERROR(P1742,0)-IFERROR(Q1742,0))</f>
        <v/>
      </c>
      <c r="S1742" s="5" t="n"/>
      <c r="T1742" s="5" t="n"/>
      <c r="U1742" s="11">
        <f>IF(B1742="","",TRIM(LOWER(C1742)&amp;"|"&amp;LOWER(D1742)))</f>
        <v/>
      </c>
    </row>
    <row r="1743">
      <c r="A1743" s="11">
        <f>IF(B1743="","",TEXT(ROW()-3,"""DC-""0000"))</f>
        <v/>
      </c>
      <c r="B1743" s="5" t="n"/>
      <c r="C1743" s="5" t="n"/>
      <c r="D1743" s="5" t="n"/>
      <c r="E1743" s="5" t="n"/>
      <c r="F1743" s="5" t="n"/>
      <c r="G1743" s="5" t="n"/>
      <c r="H1743" s="8" t="n"/>
      <c r="I1743" s="8" t="n"/>
      <c r="J1743" s="8" t="n"/>
      <c r="K1743" s="11">
        <f>IF(B1743="","",MAX(0,IFERROR(I1743,0)*IFERROR(H1743,0)-IFERROR(J1743,0)))</f>
        <v/>
      </c>
      <c r="L1743" s="8" t="n"/>
      <c r="M1743" s="11">
        <f>IF(B1743="","",MAX(0,K1743-L1743))</f>
        <v/>
      </c>
      <c r="N1743" s="11">
        <f>IF(B1743="","",IF(L1743&gt;=K1743,"Paid",IF(L1743&gt;0,"Partial","Unpaid")))</f>
        <v/>
      </c>
      <c r="O1743" s="5" t="n"/>
      <c r="P1743" s="8" t="n"/>
      <c r="Q1743" s="8" t="n"/>
      <c r="R1743" s="11">
        <f>IF(B1743="","",IFERROR(K1743,0)+IFERROR(P1743,0)-IFERROR(Q1743,0))</f>
        <v/>
      </c>
      <c r="S1743" s="5" t="n"/>
      <c r="T1743" s="5" t="n"/>
      <c r="U1743" s="11">
        <f>IF(B1743="","",TRIM(LOWER(C1743)&amp;"|"&amp;LOWER(D1743)))</f>
        <v/>
      </c>
    </row>
    <row r="1744">
      <c r="A1744" s="11">
        <f>IF(B1744="","",TEXT(ROW()-3,"""DC-""0000"))</f>
        <v/>
      </c>
      <c r="B1744" s="5" t="n"/>
      <c r="C1744" s="5" t="n"/>
      <c r="D1744" s="5" t="n"/>
      <c r="E1744" s="5" t="n"/>
      <c r="F1744" s="5" t="n"/>
      <c r="G1744" s="5" t="n"/>
      <c r="H1744" s="8" t="n"/>
      <c r="I1744" s="8" t="n"/>
      <c r="J1744" s="8" t="n"/>
      <c r="K1744" s="11">
        <f>IF(B1744="","",MAX(0,IFERROR(I1744,0)*IFERROR(H1744,0)-IFERROR(J1744,0)))</f>
        <v/>
      </c>
      <c r="L1744" s="8" t="n"/>
      <c r="M1744" s="11">
        <f>IF(B1744="","",MAX(0,K1744-L1744))</f>
        <v/>
      </c>
      <c r="N1744" s="11">
        <f>IF(B1744="","",IF(L1744&gt;=K1744,"Paid",IF(L1744&gt;0,"Partial","Unpaid")))</f>
        <v/>
      </c>
      <c r="O1744" s="5" t="n"/>
      <c r="P1744" s="8" t="n"/>
      <c r="Q1744" s="8" t="n"/>
      <c r="R1744" s="11">
        <f>IF(B1744="","",IFERROR(K1744,0)+IFERROR(P1744,0)-IFERROR(Q1744,0))</f>
        <v/>
      </c>
      <c r="S1744" s="5" t="n"/>
      <c r="T1744" s="5" t="n"/>
      <c r="U1744" s="11">
        <f>IF(B1744="","",TRIM(LOWER(C1744)&amp;"|"&amp;LOWER(D1744)))</f>
        <v/>
      </c>
    </row>
    <row r="1745">
      <c r="A1745" s="11">
        <f>IF(B1745="","",TEXT(ROW()-3,"""DC-""0000"))</f>
        <v/>
      </c>
      <c r="B1745" s="5" t="n"/>
      <c r="C1745" s="5" t="n"/>
      <c r="D1745" s="5" t="n"/>
      <c r="E1745" s="5" t="n"/>
      <c r="F1745" s="5" t="n"/>
      <c r="G1745" s="5" t="n"/>
      <c r="H1745" s="8" t="n"/>
      <c r="I1745" s="8" t="n"/>
      <c r="J1745" s="8" t="n"/>
      <c r="K1745" s="11">
        <f>IF(B1745="","",MAX(0,IFERROR(I1745,0)*IFERROR(H1745,0)-IFERROR(J1745,0)))</f>
        <v/>
      </c>
      <c r="L1745" s="8" t="n"/>
      <c r="M1745" s="11">
        <f>IF(B1745="","",MAX(0,K1745-L1745))</f>
        <v/>
      </c>
      <c r="N1745" s="11">
        <f>IF(B1745="","",IF(L1745&gt;=K1745,"Paid",IF(L1745&gt;0,"Partial","Unpaid")))</f>
        <v/>
      </c>
      <c r="O1745" s="5" t="n"/>
      <c r="P1745" s="8" t="n"/>
      <c r="Q1745" s="8" t="n"/>
      <c r="R1745" s="11">
        <f>IF(B1745="","",IFERROR(K1745,0)+IFERROR(P1745,0)-IFERROR(Q1745,0))</f>
        <v/>
      </c>
      <c r="S1745" s="5" t="n"/>
      <c r="T1745" s="5" t="n"/>
      <c r="U1745" s="11">
        <f>IF(B1745="","",TRIM(LOWER(C1745)&amp;"|"&amp;LOWER(D1745)))</f>
        <v/>
      </c>
    </row>
    <row r="1746">
      <c r="A1746" s="11">
        <f>IF(B1746="","",TEXT(ROW()-3,"""DC-""0000"))</f>
        <v/>
      </c>
      <c r="B1746" s="5" t="n"/>
      <c r="C1746" s="5" t="n"/>
      <c r="D1746" s="5" t="n"/>
      <c r="E1746" s="5" t="n"/>
      <c r="F1746" s="5" t="n"/>
      <c r="G1746" s="5" t="n"/>
      <c r="H1746" s="8" t="n"/>
      <c r="I1746" s="8" t="n"/>
      <c r="J1746" s="8" t="n"/>
      <c r="K1746" s="11">
        <f>IF(B1746="","",MAX(0,IFERROR(I1746,0)*IFERROR(H1746,0)-IFERROR(J1746,0)))</f>
        <v/>
      </c>
      <c r="L1746" s="8" t="n"/>
      <c r="M1746" s="11">
        <f>IF(B1746="","",MAX(0,K1746-L1746))</f>
        <v/>
      </c>
      <c r="N1746" s="11">
        <f>IF(B1746="","",IF(L1746&gt;=K1746,"Paid",IF(L1746&gt;0,"Partial","Unpaid")))</f>
        <v/>
      </c>
      <c r="O1746" s="5" t="n"/>
      <c r="P1746" s="8" t="n"/>
      <c r="Q1746" s="8" t="n"/>
      <c r="R1746" s="11">
        <f>IF(B1746="","",IFERROR(K1746,0)+IFERROR(P1746,0)-IFERROR(Q1746,0))</f>
        <v/>
      </c>
      <c r="S1746" s="5" t="n"/>
      <c r="T1746" s="5" t="n"/>
      <c r="U1746" s="11">
        <f>IF(B1746="","",TRIM(LOWER(C1746)&amp;"|"&amp;LOWER(D1746)))</f>
        <v/>
      </c>
    </row>
    <row r="1747">
      <c r="A1747" s="11">
        <f>IF(B1747="","",TEXT(ROW()-3,"""DC-""0000"))</f>
        <v/>
      </c>
      <c r="B1747" s="5" t="n"/>
      <c r="C1747" s="5" t="n"/>
      <c r="D1747" s="5" t="n"/>
      <c r="E1747" s="5" t="n"/>
      <c r="F1747" s="5" t="n"/>
      <c r="G1747" s="5" t="n"/>
      <c r="H1747" s="8" t="n"/>
      <c r="I1747" s="8" t="n"/>
      <c r="J1747" s="8" t="n"/>
      <c r="K1747" s="11">
        <f>IF(B1747="","",MAX(0,IFERROR(I1747,0)*IFERROR(H1747,0)-IFERROR(J1747,0)))</f>
        <v/>
      </c>
      <c r="L1747" s="8" t="n"/>
      <c r="M1747" s="11">
        <f>IF(B1747="","",MAX(0,K1747-L1747))</f>
        <v/>
      </c>
      <c r="N1747" s="11">
        <f>IF(B1747="","",IF(L1747&gt;=K1747,"Paid",IF(L1747&gt;0,"Partial","Unpaid")))</f>
        <v/>
      </c>
      <c r="O1747" s="5" t="n"/>
      <c r="P1747" s="8" t="n"/>
      <c r="Q1747" s="8" t="n"/>
      <c r="R1747" s="11">
        <f>IF(B1747="","",IFERROR(K1747,0)+IFERROR(P1747,0)-IFERROR(Q1747,0))</f>
        <v/>
      </c>
      <c r="S1747" s="5" t="n"/>
      <c r="T1747" s="5" t="n"/>
      <c r="U1747" s="11">
        <f>IF(B1747="","",TRIM(LOWER(C1747)&amp;"|"&amp;LOWER(D1747)))</f>
        <v/>
      </c>
    </row>
    <row r="1748">
      <c r="A1748" s="11">
        <f>IF(B1748="","",TEXT(ROW()-3,"""DC-""0000"))</f>
        <v/>
      </c>
      <c r="B1748" s="5" t="n"/>
      <c r="C1748" s="5" t="n"/>
      <c r="D1748" s="5" t="n"/>
      <c r="E1748" s="5" t="n"/>
      <c r="F1748" s="5" t="n"/>
      <c r="G1748" s="5" t="n"/>
      <c r="H1748" s="8" t="n"/>
      <c r="I1748" s="8" t="n"/>
      <c r="J1748" s="8" t="n"/>
      <c r="K1748" s="11">
        <f>IF(B1748="","",MAX(0,IFERROR(I1748,0)*IFERROR(H1748,0)-IFERROR(J1748,0)))</f>
        <v/>
      </c>
      <c r="L1748" s="8" t="n"/>
      <c r="M1748" s="11">
        <f>IF(B1748="","",MAX(0,K1748-L1748))</f>
        <v/>
      </c>
      <c r="N1748" s="11">
        <f>IF(B1748="","",IF(L1748&gt;=K1748,"Paid",IF(L1748&gt;0,"Partial","Unpaid")))</f>
        <v/>
      </c>
      <c r="O1748" s="5" t="n"/>
      <c r="P1748" s="8" t="n"/>
      <c r="Q1748" s="8" t="n"/>
      <c r="R1748" s="11">
        <f>IF(B1748="","",IFERROR(K1748,0)+IFERROR(P1748,0)-IFERROR(Q1748,0))</f>
        <v/>
      </c>
      <c r="S1748" s="5" t="n"/>
      <c r="T1748" s="5" t="n"/>
      <c r="U1748" s="11">
        <f>IF(B1748="","",TRIM(LOWER(C1748)&amp;"|"&amp;LOWER(D1748)))</f>
        <v/>
      </c>
    </row>
    <row r="1749">
      <c r="A1749" s="11">
        <f>IF(B1749="","",TEXT(ROW()-3,"""DC-""0000"))</f>
        <v/>
      </c>
      <c r="B1749" s="5" t="n"/>
      <c r="C1749" s="5" t="n"/>
      <c r="D1749" s="5" t="n"/>
      <c r="E1749" s="5" t="n"/>
      <c r="F1749" s="5" t="n"/>
      <c r="G1749" s="5" t="n"/>
      <c r="H1749" s="8" t="n"/>
      <c r="I1749" s="8" t="n"/>
      <c r="J1749" s="8" t="n"/>
      <c r="K1749" s="11">
        <f>IF(B1749="","",MAX(0,IFERROR(I1749,0)*IFERROR(H1749,0)-IFERROR(J1749,0)))</f>
        <v/>
      </c>
      <c r="L1749" s="8" t="n"/>
      <c r="M1749" s="11">
        <f>IF(B1749="","",MAX(0,K1749-L1749))</f>
        <v/>
      </c>
      <c r="N1749" s="11">
        <f>IF(B1749="","",IF(L1749&gt;=K1749,"Paid",IF(L1749&gt;0,"Partial","Unpaid")))</f>
        <v/>
      </c>
      <c r="O1749" s="5" t="n"/>
      <c r="P1749" s="8" t="n"/>
      <c r="Q1749" s="8" t="n"/>
      <c r="R1749" s="11">
        <f>IF(B1749="","",IFERROR(K1749,0)+IFERROR(P1749,0)-IFERROR(Q1749,0))</f>
        <v/>
      </c>
      <c r="S1749" s="5" t="n"/>
      <c r="T1749" s="5" t="n"/>
      <c r="U1749" s="11">
        <f>IF(B1749="","",TRIM(LOWER(C1749)&amp;"|"&amp;LOWER(D1749)))</f>
        <v/>
      </c>
    </row>
    <row r="1750">
      <c r="A1750" s="11">
        <f>IF(B1750="","",TEXT(ROW()-3,"""DC-""0000"))</f>
        <v/>
      </c>
      <c r="B1750" s="5" t="n"/>
      <c r="C1750" s="5" t="n"/>
      <c r="D1750" s="5" t="n"/>
      <c r="E1750" s="5" t="n"/>
      <c r="F1750" s="5" t="n"/>
      <c r="G1750" s="5" t="n"/>
      <c r="H1750" s="8" t="n"/>
      <c r="I1750" s="8" t="n"/>
      <c r="J1750" s="8" t="n"/>
      <c r="K1750" s="11">
        <f>IF(B1750="","",MAX(0,IFERROR(I1750,0)*IFERROR(H1750,0)-IFERROR(J1750,0)))</f>
        <v/>
      </c>
      <c r="L1750" s="8" t="n"/>
      <c r="M1750" s="11">
        <f>IF(B1750="","",MAX(0,K1750-L1750))</f>
        <v/>
      </c>
      <c r="N1750" s="11">
        <f>IF(B1750="","",IF(L1750&gt;=K1750,"Paid",IF(L1750&gt;0,"Partial","Unpaid")))</f>
        <v/>
      </c>
      <c r="O1750" s="5" t="n"/>
      <c r="P1750" s="8" t="n"/>
      <c r="Q1750" s="8" t="n"/>
      <c r="R1750" s="11">
        <f>IF(B1750="","",IFERROR(K1750,0)+IFERROR(P1750,0)-IFERROR(Q1750,0))</f>
        <v/>
      </c>
      <c r="S1750" s="5" t="n"/>
      <c r="T1750" s="5" t="n"/>
      <c r="U1750" s="11">
        <f>IF(B1750="","",TRIM(LOWER(C1750)&amp;"|"&amp;LOWER(D1750)))</f>
        <v/>
      </c>
    </row>
    <row r="1751">
      <c r="A1751" s="11">
        <f>IF(B1751="","",TEXT(ROW()-3,"""DC-""0000"))</f>
        <v/>
      </c>
      <c r="B1751" s="5" t="n"/>
      <c r="C1751" s="5" t="n"/>
      <c r="D1751" s="5" t="n"/>
      <c r="E1751" s="5" t="n"/>
      <c r="F1751" s="5" t="n"/>
      <c r="G1751" s="5" t="n"/>
      <c r="H1751" s="8" t="n"/>
      <c r="I1751" s="8" t="n"/>
      <c r="J1751" s="8" t="n"/>
      <c r="K1751" s="11">
        <f>IF(B1751="","",MAX(0,IFERROR(I1751,0)*IFERROR(H1751,0)-IFERROR(J1751,0)))</f>
        <v/>
      </c>
      <c r="L1751" s="8" t="n"/>
      <c r="M1751" s="11">
        <f>IF(B1751="","",MAX(0,K1751-L1751))</f>
        <v/>
      </c>
      <c r="N1751" s="11">
        <f>IF(B1751="","",IF(L1751&gt;=K1751,"Paid",IF(L1751&gt;0,"Partial","Unpaid")))</f>
        <v/>
      </c>
      <c r="O1751" s="5" t="n"/>
      <c r="P1751" s="8" t="n"/>
      <c r="Q1751" s="8" t="n"/>
      <c r="R1751" s="11">
        <f>IF(B1751="","",IFERROR(K1751,0)+IFERROR(P1751,0)-IFERROR(Q1751,0))</f>
        <v/>
      </c>
      <c r="S1751" s="5" t="n"/>
      <c r="T1751" s="5" t="n"/>
      <c r="U1751" s="11">
        <f>IF(B1751="","",TRIM(LOWER(C1751)&amp;"|"&amp;LOWER(D1751)))</f>
        <v/>
      </c>
    </row>
    <row r="1752">
      <c r="A1752" s="11">
        <f>IF(B1752="","",TEXT(ROW()-3,"""DC-""0000"))</f>
        <v/>
      </c>
      <c r="B1752" s="5" t="n"/>
      <c r="C1752" s="5" t="n"/>
      <c r="D1752" s="5" t="n"/>
      <c r="E1752" s="5" t="n"/>
      <c r="F1752" s="5" t="n"/>
      <c r="G1752" s="5" t="n"/>
      <c r="H1752" s="8" t="n"/>
      <c r="I1752" s="8" t="n"/>
      <c r="J1752" s="8" t="n"/>
      <c r="K1752" s="11">
        <f>IF(B1752="","",MAX(0,IFERROR(I1752,0)*IFERROR(H1752,0)-IFERROR(J1752,0)))</f>
        <v/>
      </c>
      <c r="L1752" s="8" t="n"/>
      <c r="M1752" s="11">
        <f>IF(B1752="","",MAX(0,K1752-L1752))</f>
        <v/>
      </c>
      <c r="N1752" s="11">
        <f>IF(B1752="","",IF(L1752&gt;=K1752,"Paid",IF(L1752&gt;0,"Partial","Unpaid")))</f>
        <v/>
      </c>
      <c r="O1752" s="5" t="n"/>
      <c r="P1752" s="8" t="n"/>
      <c r="Q1752" s="8" t="n"/>
      <c r="R1752" s="11">
        <f>IF(B1752="","",IFERROR(K1752,0)+IFERROR(P1752,0)-IFERROR(Q1752,0))</f>
        <v/>
      </c>
      <c r="S1752" s="5" t="n"/>
      <c r="T1752" s="5" t="n"/>
      <c r="U1752" s="11">
        <f>IF(B1752="","",TRIM(LOWER(C1752)&amp;"|"&amp;LOWER(D1752)))</f>
        <v/>
      </c>
    </row>
    <row r="1753">
      <c r="A1753" s="11">
        <f>IF(B1753="","",TEXT(ROW()-3,"""DC-""0000"))</f>
        <v/>
      </c>
      <c r="B1753" s="5" t="n"/>
      <c r="C1753" s="5" t="n"/>
      <c r="D1753" s="5" t="n"/>
      <c r="E1753" s="5" t="n"/>
      <c r="F1753" s="5" t="n"/>
      <c r="G1753" s="5" t="n"/>
      <c r="H1753" s="8" t="n"/>
      <c r="I1753" s="8" t="n"/>
      <c r="J1753" s="8" t="n"/>
      <c r="K1753" s="11">
        <f>IF(B1753="","",MAX(0,IFERROR(I1753,0)*IFERROR(H1753,0)-IFERROR(J1753,0)))</f>
        <v/>
      </c>
      <c r="L1753" s="8" t="n"/>
      <c r="M1753" s="11">
        <f>IF(B1753="","",MAX(0,K1753-L1753))</f>
        <v/>
      </c>
      <c r="N1753" s="11">
        <f>IF(B1753="","",IF(L1753&gt;=K1753,"Paid",IF(L1753&gt;0,"Partial","Unpaid")))</f>
        <v/>
      </c>
      <c r="O1753" s="5" t="n"/>
      <c r="P1753" s="8" t="n"/>
      <c r="Q1753" s="8" t="n"/>
      <c r="R1753" s="11">
        <f>IF(B1753="","",IFERROR(K1753,0)+IFERROR(P1753,0)-IFERROR(Q1753,0))</f>
        <v/>
      </c>
      <c r="S1753" s="5" t="n"/>
      <c r="T1753" s="5" t="n"/>
      <c r="U1753" s="11">
        <f>IF(B1753="","",TRIM(LOWER(C1753)&amp;"|"&amp;LOWER(D1753)))</f>
        <v/>
      </c>
    </row>
    <row r="1754">
      <c r="A1754" s="11">
        <f>IF(B1754="","",TEXT(ROW()-3,"""DC-""0000"))</f>
        <v/>
      </c>
      <c r="B1754" s="5" t="n"/>
      <c r="C1754" s="5" t="n"/>
      <c r="D1754" s="5" t="n"/>
      <c r="E1754" s="5" t="n"/>
      <c r="F1754" s="5" t="n"/>
      <c r="G1754" s="5" t="n"/>
      <c r="H1754" s="8" t="n"/>
      <c r="I1754" s="8" t="n"/>
      <c r="J1754" s="8" t="n"/>
      <c r="K1754" s="11">
        <f>IF(B1754="","",MAX(0,IFERROR(I1754,0)*IFERROR(H1754,0)-IFERROR(J1754,0)))</f>
        <v/>
      </c>
      <c r="L1754" s="8" t="n"/>
      <c r="M1754" s="11">
        <f>IF(B1754="","",MAX(0,K1754-L1754))</f>
        <v/>
      </c>
      <c r="N1754" s="11">
        <f>IF(B1754="","",IF(L1754&gt;=K1754,"Paid",IF(L1754&gt;0,"Partial","Unpaid")))</f>
        <v/>
      </c>
      <c r="O1754" s="5" t="n"/>
      <c r="P1754" s="8" t="n"/>
      <c r="Q1754" s="8" t="n"/>
      <c r="R1754" s="11">
        <f>IF(B1754="","",IFERROR(K1754,0)+IFERROR(P1754,0)-IFERROR(Q1754,0))</f>
        <v/>
      </c>
      <c r="S1754" s="5" t="n"/>
      <c r="T1754" s="5" t="n"/>
      <c r="U1754" s="11">
        <f>IF(B1754="","",TRIM(LOWER(C1754)&amp;"|"&amp;LOWER(D1754)))</f>
        <v/>
      </c>
    </row>
    <row r="1755">
      <c r="A1755" s="11">
        <f>IF(B1755="","",TEXT(ROW()-3,"""DC-""0000"))</f>
        <v/>
      </c>
      <c r="B1755" s="5" t="n"/>
      <c r="C1755" s="5" t="n"/>
      <c r="D1755" s="5" t="n"/>
      <c r="E1755" s="5" t="n"/>
      <c r="F1755" s="5" t="n"/>
      <c r="G1755" s="5" t="n"/>
      <c r="H1755" s="8" t="n"/>
      <c r="I1755" s="8" t="n"/>
      <c r="J1755" s="8" t="n"/>
      <c r="K1755" s="11">
        <f>IF(B1755="","",MAX(0,IFERROR(I1755,0)*IFERROR(H1755,0)-IFERROR(J1755,0)))</f>
        <v/>
      </c>
      <c r="L1755" s="8" t="n"/>
      <c r="M1755" s="11">
        <f>IF(B1755="","",MAX(0,K1755-L1755))</f>
        <v/>
      </c>
      <c r="N1755" s="11">
        <f>IF(B1755="","",IF(L1755&gt;=K1755,"Paid",IF(L1755&gt;0,"Partial","Unpaid")))</f>
        <v/>
      </c>
      <c r="O1755" s="5" t="n"/>
      <c r="P1755" s="8" t="n"/>
      <c r="Q1755" s="8" t="n"/>
      <c r="R1755" s="11">
        <f>IF(B1755="","",IFERROR(K1755,0)+IFERROR(P1755,0)-IFERROR(Q1755,0))</f>
        <v/>
      </c>
      <c r="S1755" s="5" t="n"/>
      <c r="T1755" s="5" t="n"/>
      <c r="U1755" s="11">
        <f>IF(B1755="","",TRIM(LOWER(C1755)&amp;"|"&amp;LOWER(D1755)))</f>
        <v/>
      </c>
    </row>
    <row r="1756">
      <c r="A1756" s="11">
        <f>IF(B1756="","",TEXT(ROW()-3,"""DC-""0000"))</f>
        <v/>
      </c>
      <c r="B1756" s="5" t="n"/>
      <c r="C1756" s="5" t="n"/>
      <c r="D1756" s="5" t="n"/>
      <c r="E1756" s="5" t="n"/>
      <c r="F1756" s="5" t="n"/>
      <c r="G1756" s="5" t="n"/>
      <c r="H1756" s="8" t="n"/>
      <c r="I1756" s="8" t="n"/>
      <c r="J1756" s="8" t="n"/>
      <c r="K1756" s="11">
        <f>IF(B1756="","",MAX(0,IFERROR(I1756,0)*IFERROR(H1756,0)-IFERROR(J1756,0)))</f>
        <v/>
      </c>
      <c r="L1756" s="8" t="n"/>
      <c r="M1756" s="11">
        <f>IF(B1756="","",MAX(0,K1756-L1756))</f>
        <v/>
      </c>
      <c r="N1756" s="11">
        <f>IF(B1756="","",IF(L1756&gt;=K1756,"Paid",IF(L1756&gt;0,"Partial","Unpaid")))</f>
        <v/>
      </c>
      <c r="O1756" s="5" t="n"/>
      <c r="P1756" s="8" t="n"/>
      <c r="Q1756" s="8" t="n"/>
      <c r="R1756" s="11">
        <f>IF(B1756="","",IFERROR(K1756,0)+IFERROR(P1756,0)-IFERROR(Q1756,0))</f>
        <v/>
      </c>
      <c r="S1756" s="5" t="n"/>
      <c r="T1756" s="5" t="n"/>
      <c r="U1756" s="11">
        <f>IF(B1756="","",TRIM(LOWER(C1756)&amp;"|"&amp;LOWER(D1756)))</f>
        <v/>
      </c>
    </row>
    <row r="1757">
      <c r="A1757" s="11">
        <f>IF(B1757="","",TEXT(ROW()-3,"""DC-""0000"))</f>
        <v/>
      </c>
      <c r="B1757" s="5" t="n"/>
      <c r="C1757" s="5" t="n"/>
      <c r="D1757" s="5" t="n"/>
      <c r="E1757" s="5" t="n"/>
      <c r="F1757" s="5" t="n"/>
      <c r="G1757" s="5" t="n"/>
      <c r="H1757" s="8" t="n"/>
      <c r="I1757" s="8" t="n"/>
      <c r="J1757" s="8" t="n"/>
      <c r="K1757" s="11">
        <f>IF(B1757="","",MAX(0,IFERROR(I1757,0)*IFERROR(H1757,0)-IFERROR(J1757,0)))</f>
        <v/>
      </c>
      <c r="L1757" s="8" t="n"/>
      <c r="M1757" s="11">
        <f>IF(B1757="","",MAX(0,K1757-L1757))</f>
        <v/>
      </c>
      <c r="N1757" s="11">
        <f>IF(B1757="","",IF(L1757&gt;=K1757,"Paid",IF(L1757&gt;0,"Partial","Unpaid")))</f>
        <v/>
      </c>
      <c r="O1757" s="5" t="n"/>
      <c r="P1757" s="8" t="n"/>
      <c r="Q1757" s="8" t="n"/>
      <c r="R1757" s="11">
        <f>IF(B1757="","",IFERROR(K1757,0)+IFERROR(P1757,0)-IFERROR(Q1757,0))</f>
        <v/>
      </c>
      <c r="S1757" s="5" t="n"/>
      <c r="T1757" s="5" t="n"/>
      <c r="U1757" s="11">
        <f>IF(B1757="","",TRIM(LOWER(C1757)&amp;"|"&amp;LOWER(D1757)))</f>
        <v/>
      </c>
    </row>
    <row r="1758">
      <c r="A1758" s="11">
        <f>IF(B1758="","",TEXT(ROW()-3,"""DC-""0000"))</f>
        <v/>
      </c>
      <c r="B1758" s="5" t="n"/>
      <c r="C1758" s="5" t="n"/>
      <c r="D1758" s="5" t="n"/>
      <c r="E1758" s="5" t="n"/>
      <c r="F1758" s="5" t="n"/>
      <c r="G1758" s="5" t="n"/>
      <c r="H1758" s="8" t="n"/>
      <c r="I1758" s="8" t="n"/>
      <c r="J1758" s="8" t="n"/>
      <c r="K1758" s="11">
        <f>IF(B1758="","",MAX(0,IFERROR(I1758,0)*IFERROR(H1758,0)-IFERROR(J1758,0)))</f>
        <v/>
      </c>
      <c r="L1758" s="8" t="n"/>
      <c r="M1758" s="11">
        <f>IF(B1758="","",MAX(0,K1758-L1758))</f>
        <v/>
      </c>
      <c r="N1758" s="11">
        <f>IF(B1758="","",IF(L1758&gt;=K1758,"Paid",IF(L1758&gt;0,"Partial","Unpaid")))</f>
        <v/>
      </c>
      <c r="O1758" s="5" t="n"/>
      <c r="P1758" s="8" t="n"/>
      <c r="Q1758" s="8" t="n"/>
      <c r="R1758" s="11">
        <f>IF(B1758="","",IFERROR(K1758,0)+IFERROR(P1758,0)-IFERROR(Q1758,0))</f>
        <v/>
      </c>
      <c r="S1758" s="5" t="n"/>
      <c r="T1758" s="5" t="n"/>
      <c r="U1758" s="11">
        <f>IF(B1758="","",TRIM(LOWER(C1758)&amp;"|"&amp;LOWER(D1758)))</f>
        <v/>
      </c>
    </row>
    <row r="1759">
      <c r="A1759" s="11">
        <f>IF(B1759="","",TEXT(ROW()-3,"""DC-""0000"))</f>
        <v/>
      </c>
      <c r="B1759" s="5" t="n"/>
      <c r="C1759" s="5" t="n"/>
      <c r="D1759" s="5" t="n"/>
      <c r="E1759" s="5" t="n"/>
      <c r="F1759" s="5" t="n"/>
      <c r="G1759" s="5" t="n"/>
      <c r="H1759" s="8" t="n"/>
      <c r="I1759" s="8" t="n"/>
      <c r="J1759" s="8" t="n"/>
      <c r="K1759" s="11">
        <f>IF(B1759="","",MAX(0,IFERROR(I1759,0)*IFERROR(H1759,0)-IFERROR(J1759,0)))</f>
        <v/>
      </c>
      <c r="L1759" s="8" t="n"/>
      <c r="M1759" s="11">
        <f>IF(B1759="","",MAX(0,K1759-L1759))</f>
        <v/>
      </c>
      <c r="N1759" s="11">
        <f>IF(B1759="","",IF(L1759&gt;=K1759,"Paid",IF(L1759&gt;0,"Partial","Unpaid")))</f>
        <v/>
      </c>
      <c r="O1759" s="5" t="n"/>
      <c r="P1759" s="8" t="n"/>
      <c r="Q1759" s="8" t="n"/>
      <c r="R1759" s="11">
        <f>IF(B1759="","",IFERROR(K1759,0)+IFERROR(P1759,0)-IFERROR(Q1759,0))</f>
        <v/>
      </c>
      <c r="S1759" s="5" t="n"/>
      <c r="T1759" s="5" t="n"/>
      <c r="U1759" s="11">
        <f>IF(B1759="","",TRIM(LOWER(C1759)&amp;"|"&amp;LOWER(D1759)))</f>
        <v/>
      </c>
    </row>
    <row r="1760">
      <c r="A1760" s="11">
        <f>IF(B1760="","",TEXT(ROW()-3,"""DC-""0000"))</f>
        <v/>
      </c>
      <c r="B1760" s="5" t="n"/>
      <c r="C1760" s="5" t="n"/>
      <c r="D1760" s="5" t="n"/>
      <c r="E1760" s="5" t="n"/>
      <c r="F1760" s="5" t="n"/>
      <c r="G1760" s="5" t="n"/>
      <c r="H1760" s="8" t="n"/>
      <c r="I1760" s="8" t="n"/>
      <c r="J1760" s="8" t="n"/>
      <c r="K1760" s="11">
        <f>IF(B1760="","",MAX(0,IFERROR(I1760,0)*IFERROR(H1760,0)-IFERROR(J1760,0)))</f>
        <v/>
      </c>
      <c r="L1760" s="8" t="n"/>
      <c r="M1760" s="11">
        <f>IF(B1760="","",MAX(0,K1760-L1760))</f>
        <v/>
      </c>
      <c r="N1760" s="11">
        <f>IF(B1760="","",IF(L1760&gt;=K1760,"Paid",IF(L1760&gt;0,"Partial","Unpaid")))</f>
        <v/>
      </c>
      <c r="O1760" s="5" t="n"/>
      <c r="P1760" s="8" t="n"/>
      <c r="Q1760" s="8" t="n"/>
      <c r="R1760" s="11">
        <f>IF(B1760="","",IFERROR(K1760,0)+IFERROR(P1760,0)-IFERROR(Q1760,0))</f>
        <v/>
      </c>
      <c r="S1760" s="5" t="n"/>
      <c r="T1760" s="5" t="n"/>
      <c r="U1760" s="11">
        <f>IF(B1760="","",TRIM(LOWER(C1760)&amp;"|"&amp;LOWER(D1760)))</f>
        <v/>
      </c>
    </row>
    <row r="1761">
      <c r="A1761" s="11">
        <f>IF(B1761="","",TEXT(ROW()-3,"""DC-""0000"))</f>
        <v/>
      </c>
      <c r="B1761" s="5" t="n"/>
      <c r="C1761" s="5" t="n"/>
      <c r="D1761" s="5" t="n"/>
      <c r="E1761" s="5" t="n"/>
      <c r="F1761" s="5" t="n"/>
      <c r="G1761" s="5" t="n"/>
      <c r="H1761" s="8" t="n"/>
      <c r="I1761" s="8" t="n"/>
      <c r="J1761" s="8" t="n"/>
      <c r="K1761" s="11">
        <f>IF(B1761="","",MAX(0,IFERROR(I1761,0)*IFERROR(H1761,0)-IFERROR(J1761,0)))</f>
        <v/>
      </c>
      <c r="L1761" s="8" t="n"/>
      <c r="M1761" s="11">
        <f>IF(B1761="","",MAX(0,K1761-L1761))</f>
        <v/>
      </c>
      <c r="N1761" s="11">
        <f>IF(B1761="","",IF(L1761&gt;=K1761,"Paid",IF(L1761&gt;0,"Partial","Unpaid")))</f>
        <v/>
      </c>
      <c r="O1761" s="5" t="n"/>
      <c r="P1761" s="8" t="n"/>
      <c r="Q1761" s="8" t="n"/>
      <c r="R1761" s="11">
        <f>IF(B1761="","",IFERROR(K1761,0)+IFERROR(P1761,0)-IFERROR(Q1761,0))</f>
        <v/>
      </c>
      <c r="S1761" s="5" t="n"/>
      <c r="T1761" s="5" t="n"/>
      <c r="U1761" s="11">
        <f>IF(B1761="","",TRIM(LOWER(C1761)&amp;"|"&amp;LOWER(D1761)))</f>
        <v/>
      </c>
    </row>
    <row r="1762">
      <c r="A1762" s="11">
        <f>IF(B1762="","",TEXT(ROW()-3,"""DC-""0000"))</f>
        <v/>
      </c>
      <c r="B1762" s="5" t="n"/>
      <c r="C1762" s="5" t="n"/>
      <c r="D1762" s="5" t="n"/>
      <c r="E1762" s="5" t="n"/>
      <c r="F1762" s="5" t="n"/>
      <c r="G1762" s="5" t="n"/>
      <c r="H1762" s="8" t="n"/>
      <c r="I1762" s="8" t="n"/>
      <c r="J1762" s="8" t="n"/>
      <c r="K1762" s="11">
        <f>IF(B1762="","",MAX(0,IFERROR(I1762,0)*IFERROR(H1762,0)-IFERROR(J1762,0)))</f>
        <v/>
      </c>
      <c r="L1762" s="8" t="n"/>
      <c r="M1762" s="11">
        <f>IF(B1762="","",MAX(0,K1762-L1762))</f>
        <v/>
      </c>
      <c r="N1762" s="11">
        <f>IF(B1762="","",IF(L1762&gt;=K1762,"Paid",IF(L1762&gt;0,"Partial","Unpaid")))</f>
        <v/>
      </c>
      <c r="O1762" s="5" t="n"/>
      <c r="P1762" s="8" t="n"/>
      <c r="Q1762" s="8" t="n"/>
      <c r="R1762" s="11">
        <f>IF(B1762="","",IFERROR(K1762,0)+IFERROR(P1762,0)-IFERROR(Q1762,0))</f>
        <v/>
      </c>
      <c r="S1762" s="5" t="n"/>
      <c r="T1762" s="5" t="n"/>
      <c r="U1762" s="11">
        <f>IF(B1762="","",TRIM(LOWER(C1762)&amp;"|"&amp;LOWER(D1762)))</f>
        <v/>
      </c>
    </row>
    <row r="1763">
      <c r="A1763" s="11">
        <f>IF(B1763="","",TEXT(ROW()-3,"""DC-""0000"))</f>
        <v/>
      </c>
      <c r="B1763" s="5" t="n"/>
      <c r="C1763" s="5" t="n"/>
      <c r="D1763" s="5" t="n"/>
      <c r="E1763" s="5" t="n"/>
      <c r="F1763" s="5" t="n"/>
      <c r="G1763" s="5" t="n"/>
      <c r="H1763" s="8" t="n"/>
      <c r="I1763" s="8" t="n"/>
      <c r="J1763" s="8" t="n"/>
      <c r="K1763" s="11">
        <f>IF(B1763="","",MAX(0,IFERROR(I1763,0)*IFERROR(H1763,0)-IFERROR(J1763,0)))</f>
        <v/>
      </c>
      <c r="L1763" s="8" t="n"/>
      <c r="M1763" s="11">
        <f>IF(B1763="","",MAX(0,K1763-L1763))</f>
        <v/>
      </c>
      <c r="N1763" s="11">
        <f>IF(B1763="","",IF(L1763&gt;=K1763,"Paid",IF(L1763&gt;0,"Partial","Unpaid")))</f>
        <v/>
      </c>
      <c r="O1763" s="5" t="n"/>
      <c r="P1763" s="8" t="n"/>
      <c r="Q1763" s="8" t="n"/>
      <c r="R1763" s="11">
        <f>IF(B1763="","",IFERROR(K1763,0)+IFERROR(P1763,0)-IFERROR(Q1763,0))</f>
        <v/>
      </c>
      <c r="S1763" s="5" t="n"/>
      <c r="T1763" s="5" t="n"/>
      <c r="U1763" s="11">
        <f>IF(B1763="","",TRIM(LOWER(C1763)&amp;"|"&amp;LOWER(D1763)))</f>
        <v/>
      </c>
    </row>
    <row r="1764">
      <c r="A1764" s="11">
        <f>IF(B1764="","",TEXT(ROW()-3,"""DC-""0000"))</f>
        <v/>
      </c>
      <c r="B1764" s="5" t="n"/>
      <c r="C1764" s="5" t="n"/>
      <c r="D1764" s="5" t="n"/>
      <c r="E1764" s="5" t="n"/>
      <c r="F1764" s="5" t="n"/>
      <c r="G1764" s="5" t="n"/>
      <c r="H1764" s="8" t="n"/>
      <c r="I1764" s="8" t="n"/>
      <c r="J1764" s="8" t="n"/>
      <c r="K1764" s="11">
        <f>IF(B1764="","",MAX(0,IFERROR(I1764,0)*IFERROR(H1764,0)-IFERROR(J1764,0)))</f>
        <v/>
      </c>
      <c r="L1764" s="8" t="n"/>
      <c r="M1764" s="11">
        <f>IF(B1764="","",MAX(0,K1764-L1764))</f>
        <v/>
      </c>
      <c r="N1764" s="11">
        <f>IF(B1764="","",IF(L1764&gt;=K1764,"Paid",IF(L1764&gt;0,"Partial","Unpaid")))</f>
        <v/>
      </c>
      <c r="O1764" s="5" t="n"/>
      <c r="P1764" s="8" t="n"/>
      <c r="Q1764" s="8" t="n"/>
      <c r="R1764" s="11">
        <f>IF(B1764="","",IFERROR(K1764,0)+IFERROR(P1764,0)-IFERROR(Q1764,0))</f>
        <v/>
      </c>
      <c r="S1764" s="5" t="n"/>
      <c r="T1764" s="5" t="n"/>
      <c r="U1764" s="11">
        <f>IF(B1764="","",TRIM(LOWER(C1764)&amp;"|"&amp;LOWER(D1764)))</f>
        <v/>
      </c>
    </row>
    <row r="1765">
      <c r="A1765" s="11">
        <f>IF(B1765="","",TEXT(ROW()-3,"""DC-""0000"))</f>
        <v/>
      </c>
      <c r="B1765" s="5" t="n"/>
      <c r="C1765" s="5" t="n"/>
      <c r="D1765" s="5" t="n"/>
      <c r="E1765" s="5" t="n"/>
      <c r="F1765" s="5" t="n"/>
      <c r="G1765" s="5" t="n"/>
      <c r="H1765" s="8" t="n"/>
      <c r="I1765" s="8" t="n"/>
      <c r="J1765" s="8" t="n"/>
      <c r="K1765" s="11">
        <f>IF(B1765="","",MAX(0,IFERROR(I1765,0)*IFERROR(H1765,0)-IFERROR(J1765,0)))</f>
        <v/>
      </c>
      <c r="L1765" s="8" t="n"/>
      <c r="M1765" s="11">
        <f>IF(B1765="","",MAX(0,K1765-L1765))</f>
        <v/>
      </c>
      <c r="N1765" s="11">
        <f>IF(B1765="","",IF(L1765&gt;=K1765,"Paid",IF(L1765&gt;0,"Partial","Unpaid")))</f>
        <v/>
      </c>
      <c r="O1765" s="5" t="n"/>
      <c r="P1765" s="8" t="n"/>
      <c r="Q1765" s="8" t="n"/>
      <c r="R1765" s="11">
        <f>IF(B1765="","",IFERROR(K1765,0)+IFERROR(P1765,0)-IFERROR(Q1765,0))</f>
        <v/>
      </c>
      <c r="S1765" s="5" t="n"/>
      <c r="T1765" s="5" t="n"/>
      <c r="U1765" s="11">
        <f>IF(B1765="","",TRIM(LOWER(C1765)&amp;"|"&amp;LOWER(D1765)))</f>
        <v/>
      </c>
    </row>
    <row r="1766">
      <c r="A1766" s="11">
        <f>IF(B1766="","",TEXT(ROW()-3,"""DC-""0000"))</f>
        <v/>
      </c>
      <c r="B1766" s="5" t="n"/>
      <c r="C1766" s="5" t="n"/>
      <c r="D1766" s="5" t="n"/>
      <c r="E1766" s="5" t="n"/>
      <c r="F1766" s="5" t="n"/>
      <c r="G1766" s="5" t="n"/>
      <c r="H1766" s="8" t="n"/>
      <c r="I1766" s="8" t="n"/>
      <c r="J1766" s="8" t="n"/>
      <c r="K1766" s="11">
        <f>IF(B1766="","",MAX(0,IFERROR(I1766,0)*IFERROR(H1766,0)-IFERROR(J1766,0)))</f>
        <v/>
      </c>
      <c r="L1766" s="8" t="n"/>
      <c r="M1766" s="11">
        <f>IF(B1766="","",MAX(0,K1766-L1766))</f>
        <v/>
      </c>
      <c r="N1766" s="11">
        <f>IF(B1766="","",IF(L1766&gt;=K1766,"Paid",IF(L1766&gt;0,"Partial","Unpaid")))</f>
        <v/>
      </c>
      <c r="O1766" s="5" t="n"/>
      <c r="P1766" s="8" t="n"/>
      <c r="Q1766" s="8" t="n"/>
      <c r="R1766" s="11">
        <f>IF(B1766="","",IFERROR(K1766,0)+IFERROR(P1766,0)-IFERROR(Q1766,0))</f>
        <v/>
      </c>
      <c r="S1766" s="5" t="n"/>
      <c r="T1766" s="5" t="n"/>
      <c r="U1766" s="11">
        <f>IF(B1766="","",TRIM(LOWER(C1766)&amp;"|"&amp;LOWER(D1766)))</f>
        <v/>
      </c>
    </row>
    <row r="1767">
      <c r="A1767" s="11">
        <f>IF(B1767="","",TEXT(ROW()-3,"""DC-""0000"))</f>
        <v/>
      </c>
      <c r="B1767" s="5" t="n"/>
      <c r="C1767" s="5" t="n"/>
      <c r="D1767" s="5" t="n"/>
      <c r="E1767" s="5" t="n"/>
      <c r="F1767" s="5" t="n"/>
      <c r="G1767" s="5" t="n"/>
      <c r="H1767" s="8" t="n"/>
      <c r="I1767" s="8" t="n"/>
      <c r="J1767" s="8" t="n"/>
      <c r="K1767" s="11">
        <f>IF(B1767="","",MAX(0,IFERROR(I1767,0)*IFERROR(H1767,0)-IFERROR(J1767,0)))</f>
        <v/>
      </c>
      <c r="L1767" s="8" t="n"/>
      <c r="M1767" s="11">
        <f>IF(B1767="","",MAX(0,K1767-L1767))</f>
        <v/>
      </c>
      <c r="N1767" s="11">
        <f>IF(B1767="","",IF(L1767&gt;=K1767,"Paid",IF(L1767&gt;0,"Partial","Unpaid")))</f>
        <v/>
      </c>
      <c r="O1767" s="5" t="n"/>
      <c r="P1767" s="8" t="n"/>
      <c r="Q1767" s="8" t="n"/>
      <c r="R1767" s="11">
        <f>IF(B1767="","",IFERROR(K1767,0)+IFERROR(P1767,0)-IFERROR(Q1767,0))</f>
        <v/>
      </c>
      <c r="S1767" s="5" t="n"/>
      <c r="T1767" s="5" t="n"/>
      <c r="U1767" s="11">
        <f>IF(B1767="","",TRIM(LOWER(C1767)&amp;"|"&amp;LOWER(D1767)))</f>
        <v/>
      </c>
    </row>
    <row r="1768">
      <c r="A1768" s="11">
        <f>IF(B1768="","",TEXT(ROW()-3,"""DC-""0000"))</f>
        <v/>
      </c>
      <c r="B1768" s="5" t="n"/>
      <c r="C1768" s="5" t="n"/>
      <c r="D1768" s="5" t="n"/>
      <c r="E1768" s="5" t="n"/>
      <c r="F1768" s="5" t="n"/>
      <c r="G1768" s="5" t="n"/>
      <c r="H1768" s="8" t="n"/>
      <c r="I1768" s="8" t="n"/>
      <c r="J1768" s="8" t="n"/>
      <c r="K1768" s="11">
        <f>IF(B1768="","",MAX(0,IFERROR(I1768,0)*IFERROR(H1768,0)-IFERROR(J1768,0)))</f>
        <v/>
      </c>
      <c r="L1768" s="8" t="n"/>
      <c r="M1768" s="11">
        <f>IF(B1768="","",MAX(0,K1768-L1768))</f>
        <v/>
      </c>
      <c r="N1768" s="11">
        <f>IF(B1768="","",IF(L1768&gt;=K1768,"Paid",IF(L1768&gt;0,"Partial","Unpaid")))</f>
        <v/>
      </c>
      <c r="O1768" s="5" t="n"/>
      <c r="P1768" s="8" t="n"/>
      <c r="Q1768" s="8" t="n"/>
      <c r="R1768" s="11">
        <f>IF(B1768="","",IFERROR(K1768,0)+IFERROR(P1768,0)-IFERROR(Q1768,0))</f>
        <v/>
      </c>
      <c r="S1768" s="5" t="n"/>
      <c r="T1768" s="5" t="n"/>
      <c r="U1768" s="11">
        <f>IF(B1768="","",TRIM(LOWER(C1768)&amp;"|"&amp;LOWER(D1768)))</f>
        <v/>
      </c>
    </row>
    <row r="1769">
      <c r="A1769" s="11">
        <f>IF(B1769="","",TEXT(ROW()-3,"""DC-""0000"))</f>
        <v/>
      </c>
      <c r="B1769" s="5" t="n"/>
      <c r="C1769" s="5" t="n"/>
      <c r="D1769" s="5" t="n"/>
      <c r="E1769" s="5" t="n"/>
      <c r="F1769" s="5" t="n"/>
      <c r="G1769" s="5" t="n"/>
      <c r="H1769" s="8" t="n"/>
      <c r="I1769" s="8" t="n"/>
      <c r="J1769" s="8" t="n"/>
      <c r="K1769" s="11">
        <f>IF(B1769="","",MAX(0,IFERROR(I1769,0)*IFERROR(H1769,0)-IFERROR(J1769,0)))</f>
        <v/>
      </c>
      <c r="L1769" s="8" t="n"/>
      <c r="M1769" s="11">
        <f>IF(B1769="","",MAX(0,K1769-L1769))</f>
        <v/>
      </c>
      <c r="N1769" s="11">
        <f>IF(B1769="","",IF(L1769&gt;=K1769,"Paid",IF(L1769&gt;0,"Partial","Unpaid")))</f>
        <v/>
      </c>
      <c r="O1769" s="5" t="n"/>
      <c r="P1769" s="8" t="n"/>
      <c r="Q1769" s="8" t="n"/>
      <c r="R1769" s="11">
        <f>IF(B1769="","",IFERROR(K1769,0)+IFERROR(P1769,0)-IFERROR(Q1769,0))</f>
        <v/>
      </c>
      <c r="S1769" s="5" t="n"/>
      <c r="T1769" s="5" t="n"/>
      <c r="U1769" s="11">
        <f>IF(B1769="","",TRIM(LOWER(C1769)&amp;"|"&amp;LOWER(D1769)))</f>
        <v/>
      </c>
    </row>
    <row r="1770">
      <c r="A1770" s="11">
        <f>IF(B1770="","",TEXT(ROW()-3,"""DC-""0000"))</f>
        <v/>
      </c>
      <c r="B1770" s="5" t="n"/>
      <c r="C1770" s="5" t="n"/>
      <c r="D1770" s="5" t="n"/>
      <c r="E1770" s="5" t="n"/>
      <c r="F1770" s="5" t="n"/>
      <c r="G1770" s="5" t="n"/>
      <c r="H1770" s="8" t="n"/>
      <c r="I1770" s="8" t="n"/>
      <c r="J1770" s="8" t="n"/>
      <c r="K1770" s="11">
        <f>IF(B1770="","",MAX(0,IFERROR(I1770,0)*IFERROR(H1770,0)-IFERROR(J1770,0)))</f>
        <v/>
      </c>
      <c r="L1770" s="8" t="n"/>
      <c r="M1770" s="11">
        <f>IF(B1770="","",MAX(0,K1770-L1770))</f>
        <v/>
      </c>
      <c r="N1770" s="11">
        <f>IF(B1770="","",IF(L1770&gt;=K1770,"Paid",IF(L1770&gt;0,"Partial","Unpaid")))</f>
        <v/>
      </c>
      <c r="O1770" s="5" t="n"/>
      <c r="P1770" s="8" t="n"/>
      <c r="Q1770" s="8" t="n"/>
      <c r="R1770" s="11">
        <f>IF(B1770="","",IFERROR(K1770,0)+IFERROR(P1770,0)-IFERROR(Q1770,0))</f>
        <v/>
      </c>
      <c r="S1770" s="5" t="n"/>
      <c r="T1770" s="5" t="n"/>
      <c r="U1770" s="11">
        <f>IF(B1770="","",TRIM(LOWER(C1770)&amp;"|"&amp;LOWER(D1770)))</f>
        <v/>
      </c>
    </row>
    <row r="1771">
      <c r="A1771" s="11">
        <f>IF(B1771="","",TEXT(ROW()-3,"""DC-""0000"))</f>
        <v/>
      </c>
      <c r="B1771" s="5" t="n"/>
      <c r="C1771" s="5" t="n"/>
      <c r="D1771" s="5" t="n"/>
      <c r="E1771" s="5" t="n"/>
      <c r="F1771" s="5" t="n"/>
      <c r="G1771" s="5" t="n"/>
      <c r="H1771" s="8" t="n"/>
      <c r="I1771" s="8" t="n"/>
      <c r="J1771" s="8" t="n"/>
      <c r="K1771" s="11">
        <f>IF(B1771="","",MAX(0,IFERROR(I1771,0)*IFERROR(H1771,0)-IFERROR(J1771,0)))</f>
        <v/>
      </c>
      <c r="L1771" s="8" t="n"/>
      <c r="M1771" s="11">
        <f>IF(B1771="","",MAX(0,K1771-L1771))</f>
        <v/>
      </c>
      <c r="N1771" s="11">
        <f>IF(B1771="","",IF(L1771&gt;=K1771,"Paid",IF(L1771&gt;0,"Partial","Unpaid")))</f>
        <v/>
      </c>
      <c r="O1771" s="5" t="n"/>
      <c r="P1771" s="8" t="n"/>
      <c r="Q1771" s="8" t="n"/>
      <c r="R1771" s="11">
        <f>IF(B1771="","",IFERROR(K1771,0)+IFERROR(P1771,0)-IFERROR(Q1771,0))</f>
        <v/>
      </c>
      <c r="S1771" s="5" t="n"/>
      <c r="T1771" s="5" t="n"/>
      <c r="U1771" s="11">
        <f>IF(B1771="","",TRIM(LOWER(C1771)&amp;"|"&amp;LOWER(D1771)))</f>
        <v/>
      </c>
    </row>
    <row r="1772">
      <c r="A1772" s="11">
        <f>IF(B1772="","",TEXT(ROW()-3,"""DC-""0000"))</f>
        <v/>
      </c>
      <c r="B1772" s="5" t="n"/>
      <c r="C1772" s="5" t="n"/>
      <c r="D1772" s="5" t="n"/>
      <c r="E1772" s="5" t="n"/>
      <c r="F1772" s="5" t="n"/>
      <c r="G1772" s="5" t="n"/>
      <c r="H1772" s="8" t="n"/>
      <c r="I1772" s="8" t="n"/>
      <c r="J1772" s="8" t="n"/>
      <c r="K1772" s="11">
        <f>IF(B1772="","",MAX(0,IFERROR(I1772,0)*IFERROR(H1772,0)-IFERROR(J1772,0)))</f>
        <v/>
      </c>
      <c r="L1772" s="8" t="n"/>
      <c r="M1772" s="11">
        <f>IF(B1772="","",MAX(0,K1772-L1772))</f>
        <v/>
      </c>
      <c r="N1772" s="11">
        <f>IF(B1772="","",IF(L1772&gt;=K1772,"Paid",IF(L1772&gt;0,"Partial","Unpaid")))</f>
        <v/>
      </c>
      <c r="O1772" s="5" t="n"/>
      <c r="P1772" s="8" t="n"/>
      <c r="Q1772" s="8" t="n"/>
      <c r="R1772" s="11">
        <f>IF(B1772="","",IFERROR(K1772,0)+IFERROR(P1772,0)-IFERROR(Q1772,0))</f>
        <v/>
      </c>
      <c r="S1772" s="5" t="n"/>
      <c r="T1772" s="5" t="n"/>
      <c r="U1772" s="11">
        <f>IF(B1772="","",TRIM(LOWER(C1772)&amp;"|"&amp;LOWER(D1772)))</f>
        <v/>
      </c>
    </row>
    <row r="1773">
      <c r="A1773" s="11">
        <f>IF(B1773="","",TEXT(ROW()-3,"""DC-""0000"))</f>
        <v/>
      </c>
      <c r="B1773" s="5" t="n"/>
      <c r="C1773" s="5" t="n"/>
      <c r="D1773" s="5" t="n"/>
      <c r="E1773" s="5" t="n"/>
      <c r="F1773" s="5" t="n"/>
      <c r="G1773" s="5" t="n"/>
      <c r="H1773" s="8" t="n"/>
      <c r="I1773" s="8" t="n"/>
      <c r="J1773" s="8" t="n"/>
      <c r="K1773" s="11">
        <f>IF(B1773="","",MAX(0,IFERROR(I1773,0)*IFERROR(H1773,0)-IFERROR(J1773,0)))</f>
        <v/>
      </c>
      <c r="L1773" s="8" t="n"/>
      <c r="M1773" s="11">
        <f>IF(B1773="","",MAX(0,K1773-L1773))</f>
        <v/>
      </c>
      <c r="N1773" s="11">
        <f>IF(B1773="","",IF(L1773&gt;=K1773,"Paid",IF(L1773&gt;0,"Partial","Unpaid")))</f>
        <v/>
      </c>
      <c r="O1773" s="5" t="n"/>
      <c r="P1773" s="8" t="n"/>
      <c r="Q1773" s="8" t="n"/>
      <c r="R1773" s="11">
        <f>IF(B1773="","",IFERROR(K1773,0)+IFERROR(P1773,0)-IFERROR(Q1773,0))</f>
        <v/>
      </c>
      <c r="S1773" s="5" t="n"/>
      <c r="T1773" s="5" t="n"/>
      <c r="U1773" s="11">
        <f>IF(B1773="","",TRIM(LOWER(C1773)&amp;"|"&amp;LOWER(D1773)))</f>
        <v/>
      </c>
    </row>
    <row r="1774">
      <c r="A1774" s="11">
        <f>IF(B1774="","",TEXT(ROW()-3,"""DC-""0000"))</f>
        <v/>
      </c>
      <c r="B1774" s="5" t="n"/>
      <c r="C1774" s="5" t="n"/>
      <c r="D1774" s="5" t="n"/>
      <c r="E1774" s="5" t="n"/>
      <c r="F1774" s="5" t="n"/>
      <c r="G1774" s="5" t="n"/>
      <c r="H1774" s="8" t="n"/>
      <c r="I1774" s="8" t="n"/>
      <c r="J1774" s="8" t="n"/>
      <c r="K1774" s="11">
        <f>IF(B1774="","",MAX(0,IFERROR(I1774,0)*IFERROR(H1774,0)-IFERROR(J1774,0)))</f>
        <v/>
      </c>
      <c r="L1774" s="8" t="n"/>
      <c r="M1774" s="11">
        <f>IF(B1774="","",MAX(0,K1774-L1774))</f>
        <v/>
      </c>
      <c r="N1774" s="11">
        <f>IF(B1774="","",IF(L1774&gt;=K1774,"Paid",IF(L1774&gt;0,"Partial","Unpaid")))</f>
        <v/>
      </c>
      <c r="O1774" s="5" t="n"/>
      <c r="P1774" s="8" t="n"/>
      <c r="Q1774" s="8" t="n"/>
      <c r="R1774" s="11">
        <f>IF(B1774="","",IFERROR(K1774,0)+IFERROR(P1774,0)-IFERROR(Q1774,0))</f>
        <v/>
      </c>
      <c r="S1774" s="5" t="n"/>
      <c r="T1774" s="5" t="n"/>
      <c r="U1774" s="11">
        <f>IF(B1774="","",TRIM(LOWER(C1774)&amp;"|"&amp;LOWER(D1774)))</f>
        <v/>
      </c>
    </row>
    <row r="1775">
      <c r="A1775" s="11">
        <f>IF(B1775="","",TEXT(ROW()-3,"""DC-""0000"))</f>
        <v/>
      </c>
      <c r="B1775" s="5" t="n"/>
      <c r="C1775" s="5" t="n"/>
      <c r="D1775" s="5" t="n"/>
      <c r="E1775" s="5" t="n"/>
      <c r="F1775" s="5" t="n"/>
      <c r="G1775" s="5" t="n"/>
      <c r="H1775" s="8" t="n"/>
      <c r="I1775" s="8" t="n"/>
      <c r="J1775" s="8" t="n"/>
      <c r="K1775" s="11">
        <f>IF(B1775="","",MAX(0,IFERROR(I1775,0)*IFERROR(H1775,0)-IFERROR(J1775,0)))</f>
        <v/>
      </c>
      <c r="L1775" s="8" t="n"/>
      <c r="M1775" s="11">
        <f>IF(B1775="","",MAX(0,K1775-L1775))</f>
        <v/>
      </c>
      <c r="N1775" s="11">
        <f>IF(B1775="","",IF(L1775&gt;=K1775,"Paid",IF(L1775&gt;0,"Partial","Unpaid")))</f>
        <v/>
      </c>
      <c r="O1775" s="5" t="n"/>
      <c r="P1775" s="8" t="n"/>
      <c r="Q1775" s="8" t="n"/>
      <c r="R1775" s="11">
        <f>IF(B1775="","",IFERROR(K1775,0)+IFERROR(P1775,0)-IFERROR(Q1775,0))</f>
        <v/>
      </c>
      <c r="S1775" s="5" t="n"/>
      <c r="T1775" s="5" t="n"/>
      <c r="U1775" s="11">
        <f>IF(B1775="","",TRIM(LOWER(C1775)&amp;"|"&amp;LOWER(D1775)))</f>
        <v/>
      </c>
    </row>
    <row r="1776">
      <c r="A1776" s="11">
        <f>IF(B1776="","",TEXT(ROW()-3,"""DC-""0000"))</f>
        <v/>
      </c>
      <c r="B1776" s="5" t="n"/>
      <c r="C1776" s="5" t="n"/>
      <c r="D1776" s="5" t="n"/>
      <c r="E1776" s="5" t="n"/>
      <c r="F1776" s="5" t="n"/>
      <c r="G1776" s="5" t="n"/>
      <c r="H1776" s="8" t="n"/>
      <c r="I1776" s="8" t="n"/>
      <c r="J1776" s="8" t="n"/>
      <c r="K1776" s="11">
        <f>IF(B1776="","",MAX(0,IFERROR(I1776,0)*IFERROR(H1776,0)-IFERROR(J1776,0)))</f>
        <v/>
      </c>
      <c r="L1776" s="8" t="n"/>
      <c r="M1776" s="11">
        <f>IF(B1776="","",MAX(0,K1776-L1776))</f>
        <v/>
      </c>
      <c r="N1776" s="11">
        <f>IF(B1776="","",IF(L1776&gt;=K1776,"Paid",IF(L1776&gt;0,"Partial","Unpaid")))</f>
        <v/>
      </c>
      <c r="O1776" s="5" t="n"/>
      <c r="P1776" s="8" t="n"/>
      <c r="Q1776" s="8" t="n"/>
      <c r="R1776" s="11">
        <f>IF(B1776="","",IFERROR(K1776,0)+IFERROR(P1776,0)-IFERROR(Q1776,0))</f>
        <v/>
      </c>
      <c r="S1776" s="5" t="n"/>
      <c r="T1776" s="5" t="n"/>
      <c r="U1776" s="11">
        <f>IF(B1776="","",TRIM(LOWER(C1776)&amp;"|"&amp;LOWER(D1776)))</f>
        <v/>
      </c>
    </row>
    <row r="1777">
      <c r="A1777" s="11">
        <f>IF(B1777="","",TEXT(ROW()-3,"""DC-""0000"))</f>
        <v/>
      </c>
      <c r="B1777" s="5" t="n"/>
      <c r="C1777" s="5" t="n"/>
      <c r="D1777" s="5" t="n"/>
      <c r="E1777" s="5" t="n"/>
      <c r="F1777" s="5" t="n"/>
      <c r="G1777" s="5" t="n"/>
      <c r="H1777" s="8" t="n"/>
      <c r="I1777" s="8" t="n"/>
      <c r="J1777" s="8" t="n"/>
      <c r="K1777" s="11">
        <f>IF(B1777="","",MAX(0,IFERROR(I1777,0)*IFERROR(H1777,0)-IFERROR(J1777,0)))</f>
        <v/>
      </c>
      <c r="L1777" s="8" t="n"/>
      <c r="M1777" s="11">
        <f>IF(B1777="","",MAX(0,K1777-L1777))</f>
        <v/>
      </c>
      <c r="N1777" s="11">
        <f>IF(B1777="","",IF(L1777&gt;=K1777,"Paid",IF(L1777&gt;0,"Partial","Unpaid")))</f>
        <v/>
      </c>
      <c r="O1777" s="5" t="n"/>
      <c r="P1777" s="8" t="n"/>
      <c r="Q1777" s="8" t="n"/>
      <c r="R1777" s="11">
        <f>IF(B1777="","",IFERROR(K1777,0)+IFERROR(P1777,0)-IFERROR(Q1777,0))</f>
        <v/>
      </c>
      <c r="S1777" s="5" t="n"/>
      <c r="T1777" s="5" t="n"/>
      <c r="U1777" s="11">
        <f>IF(B1777="","",TRIM(LOWER(C1777)&amp;"|"&amp;LOWER(D1777)))</f>
        <v/>
      </c>
    </row>
    <row r="1778">
      <c r="A1778" s="11">
        <f>IF(B1778="","",TEXT(ROW()-3,"""DC-""0000"))</f>
        <v/>
      </c>
      <c r="B1778" s="5" t="n"/>
      <c r="C1778" s="5" t="n"/>
      <c r="D1778" s="5" t="n"/>
      <c r="E1778" s="5" t="n"/>
      <c r="F1778" s="5" t="n"/>
      <c r="G1778" s="5" t="n"/>
      <c r="H1778" s="8" t="n"/>
      <c r="I1778" s="8" t="n"/>
      <c r="J1778" s="8" t="n"/>
      <c r="K1778" s="11">
        <f>IF(B1778="","",MAX(0,IFERROR(I1778,0)*IFERROR(H1778,0)-IFERROR(J1778,0)))</f>
        <v/>
      </c>
      <c r="L1778" s="8" t="n"/>
      <c r="M1778" s="11">
        <f>IF(B1778="","",MAX(0,K1778-L1778))</f>
        <v/>
      </c>
      <c r="N1778" s="11">
        <f>IF(B1778="","",IF(L1778&gt;=K1778,"Paid",IF(L1778&gt;0,"Partial","Unpaid")))</f>
        <v/>
      </c>
      <c r="O1778" s="5" t="n"/>
      <c r="P1778" s="8" t="n"/>
      <c r="Q1778" s="8" t="n"/>
      <c r="R1778" s="11">
        <f>IF(B1778="","",IFERROR(K1778,0)+IFERROR(P1778,0)-IFERROR(Q1778,0))</f>
        <v/>
      </c>
      <c r="S1778" s="5" t="n"/>
      <c r="T1778" s="5" t="n"/>
      <c r="U1778" s="11">
        <f>IF(B1778="","",TRIM(LOWER(C1778)&amp;"|"&amp;LOWER(D1778)))</f>
        <v/>
      </c>
    </row>
    <row r="1779">
      <c r="A1779" s="11">
        <f>IF(B1779="","",TEXT(ROW()-3,"""DC-""0000"))</f>
        <v/>
      </c>
      <c r="B1779" s="5" t="n"/>
      <c r="C1779" s="5" t="n"/>
      <c r="D1779" s="5" t="n"/>
      <c r="E1779" s="5" t="n"/>
      <c r="F1779" s="5" t="n"/>
      <c r="G1779" s="5" t="n"/>
      <c r="H1779" s="8" t="n"/>
      <c r="I1779" s="8" t="n"/>
      <c r="J1779" s="8" t="n"/>
      <c r="K1779" s="11">
        <f>IF(B1779="","",MAX(0,IFERROR(I1779,0)*IFERROR(H1779,0)-IFERROR(J1779,0)))</f>
        <v/>
      </c>
      <c r="L1779" s="8" t="n"/>
      <c r="M1779" s="11">
        <f>IF(B1779="","",MAX(0,K1779-L1779))</f>
        <v/>
      </c>
      <c r="N1779" s="11">
        <f>IF(B1779="","",IF(L1779&gt;=K1779,"Paid",IF(L1779&gt;0,"Partial","Unpaid")))</f>
        <v/>
      </c>
      <c r="O1779" s="5" t="n"/>
      <c r="P1779" s="8" t="n"/>
      <c r="Q1779" s="8" t="n"/>
      <c r="R1779" s="11">
        <f>IF(B1779="","",IFERROR(K1779,0)+IFERROR(P1779,0)-IFERROR(Q1779,0))</f>
        <v/>
      </c>
      <c r="S1779" s="5" t="n"/>
      <c r="T1779" s="5" t="n"/>
      <c r="U1779" s="11">
        <f>IF(B1779="","",TRIM(LOWER(C1779)&amp;"|"&amp;LOWER(D1779)))</f>
        <v/>
      </c>
    </row>
    <row r="1780">
      <c r="A1780" s="11">
        <f>IF(B1780="","",TEXT(ROW()-3,"""DC-""0000"))</f>
        <v/>
      </c>
      <c r="B1780" s="5" t="n"/>
      <c r="C1780" s="5" t="n"/>
      <c r="D1780" s="5" t="n"/>
      <c r="E1780" s="5" t="n"/>
      <c r="F1780" s="5" t="n"/>
      <c r="G1780" s="5" t="n"/>
      <c r="H1780" s="8" t="n"/>
      <c r="I1780" s="8" t="n"/>
      <c r="J1780" s="8" t="n"/>
      <c r="K1780" s="11">
        <f>IF(B1780="","",MAX(0,IFERROR(I1780,0)*IFERROR(H1780,0)-IFERROR(J1780,0)))</f>
        <v/>
      </c>
      <c r="L1780" s="8" t="n"/>
      <c r="M1780" s="11">
        <f>IF(B1780="","",MAX(0,K1780-L1780))</f>
        <v/>
      </c>
      <c r="N1780" s="11">
        <f>IF(B1780="","",IF(L1780&gt;=K1780,"Paid",IF(L1780&gt;0,"Partial","Unpaid")))</f>
        <v/>
      </c>
      <c r="O1780" s="5" t="n"/>
      <c r="P1780" s="8" t="n"/>
      <c r="Q1780" s="8" t="n"/>
      <c r="R1780" s="11">
        <f>IF(B1780="","",IFERROR(K1780,0)+IFERROR(P1780,0)-IFERROR(Q1780,0))</f>
        <v/>
      </c>
      <c r="S1780" s="5" t="n"/>
      <c r="T1780" s="5" t="n"/>
      <c r="U1780" s="11">
        <f>IF(B1780="","",TRIM(LOWER(C1780)&amp;"|"&amp;LOWER(D1780)))</f>
        <v/>
      </c>
    </row>
    <row r="1781">
      <c r="A1781" s="11">
        <f>IF(B1781="","",TEXT(ROW()-3,"""DC-""0000"))</f>
        <v/>
      </c>
      <c r="B1781" s="5" t="n"/>
      <c r="C1781" s="5" t="n"/>
      <c r="D1781" s="5" t="n"/>
      <c r="E1781" s="5" t="n"/>
      <c r="F1781" s="5" t="n"/>
      <c r="G1781" s="5" t="n"/>
      <c r="H1781" s="8" t="n"/>
      <c r="I1781" s="8" t="n"/>
      <c r="J1781" s="8" t="n"/>
      <c r="K1781" s="11">
        <f>IF(B1781="","",MAX(0,IFERROR(I1781,0)*IFERROR(H1781,0)-IFERROR(J1781,0)))</f>
        <v/>
      </c>
      <c r="L1781" s="8" t="n"/>
      <c r="M1781" s="11">
        <f>IF(B1781="","",MAX(0,K1781-L1781))</f>
        <v/>
      </c>
      <c r="N1781" s="11">
        <f>IF(B1781="","",IF(L1781&gt;=K1781,"Paid",IF(L1781&gt;0,"Partial","Unpaid")))</f>
        <v/>
      </c>
      <c r="O1781" s="5" t="n"/>
      <c r="P1781" s="8" t="n"/>
      <c r="Q1781" s="8" t="n"/>
      <c r="R1781" s="11">
        <f>IF(B1781="","",IFERROR(K1781,0)+IFERROR(P1781,0)-IFERROR(Q1781,0))</f>
        <v/>
      </c>
      <c r="S1781" s="5" t="n"/>
      <c r="T1781" s="5" t="n"/>
      <c r="U1781" s="11">
        <f>IF(B1781="","",TRIM(LOWER(C1781)&amp;"|"&amp;LOWER(D1781)))</f>
        <v/>
      </c>
    </row>
    <row r="1782">
      <c r="A1782" s="11">
        <f>IF(B1782="","",TEXT(ROW()-3,"""DC-""0000"))</f>
        <v/>
      </c>
      <c r="B1782" s="5" t="n"/>
      <c r="C1782" s="5" t="n"/>
      <c r="D1782" s="5" t="n"/>
      <c r="E1782" s="5" t="n"/>
      <c r="F1782" s="5" t="n"/>
      <c r="G1782" s="5" t="n"/>
      <c r="H1782" s="8" t="n"/>
      <c r="I1782" s="8" t="n"/>
      <c r="J1782" s="8" t="n"/>
      <c r="K1782" s="11">
        <f>IF(B1782="","",MAX(0,IFERROR(I1782,0)*IFERROR(H1782,0)-IFERROR(J1782,0)))</f>
        <v/>
      </c>
      <c r="L1782" s="8" t="n"/>
      <c r="M1782" s="11">
        <f>IF(B1782="","",MAX(0,K1782-L1782))</f>
        <v/>
      </c>
      <c r="N1782" s="11">
        <f>IF(B1782="","",IF(L1782&gt;=K1782,"Paid",IF(L1782&gt;0,"Partial","Unpaid")))</f>
        <v/>
      </c>
      <c r="O1782" s="5" t="n"/>
      <c r="P1782" s="8" t="n"/>
      <c r="Q1782" s="8" t="n"/>
      <c r="R1782" s="11">
        <f>IF(B1782="","",IFERROR(K1782,0)+IFERROR(P1782,0)-IFERROR(Q1782,0))</f>
        <v/>
      </c>
      <c r="S1782" s="5" t="n"/>
      <c r="T1782" s="5" t="n"/>
      <c r="U1782" s="11">
        <f>IF(B1782="","",TRIM(LOWER(C1782)&amp;"|"&amp;LOWER(D1782)))</f>
        <v/>
      </c>
    </row>
    <row r="1783">
      <c r="A1783" s="11">
        <f>IF(B1783="","",TEXT(ROW()-3,"""DC-""0000"))</f>
        <v/>
      </c>
      <c r="B1783" s="5" t="n"/>
      <c r="C1783" s="5" t="n"/>
      <c r="D1783" s="5" t="n"/>
      <c r="E1783" s="5" t="n"/>
      <c r="F1783" s="5" t="n"/>
      <c r="G1783" s="5" t="n"/>
      <c r="H1783" s="8" t="n"/>
      <c r="I1783" s="8" t="n"/>
      <c r="J1783" s="8" t="n"/>
      <c r="K1783" s="11">
        <f>IF(B1783="","",MAX(0,IFERROR(I1783,0)*IFERROR(H1783,0)-IFERROR(J1783,0)))</f>
        <v/>
      </c>
      <c r="L1783" s="8" t="n"/>
      <c r="M1783" s="11">
        <f>IF(B1783="","",MAX(0,K1783-L1783))</f>
        <v/>
      </c>
      <c r="N1783" s="11">
        <f>IF(B1783="","",IF(L1783&gt;=K1783,"Paid",IF(L1783&gt;0,"Partial","Unpaid")))</f>
        <v/>
      </c>
      <c r="O1783" s="5" t="n"/>
      <c r="P1783" s="8" t="n"/>
      <c r="Q1783" s="8" t="n"/>
      <c r="R1783" s="11">
        <f>IF(B1783="","",IFERROR(K1783,0)+IFERROR(P1783,0)-IFERROR(Q1783,0))</f>
        <v/>
      </c>
      <c r="S1783" s="5" t="n"/>
      <c r="T1783" s="5" t="n"/>
      <c r="U1783" s="11">
        <f>IF(B1783="","",TRIM(LOWER(C1783)&amp;"|"&amp;LOWER(D1783)))</f>
        <v/>
      </c>
    </row>
    <row r="1784">
      <c r="A1784" s="11">
        <f>IF(B1784="","",TEXT(ROW()-3,"""DC-""0000"))</f>
        <v/>
      </c>
      <c r="B1784" s="5" t="n"/>
      <c r="C1784" s="5" t="n"/>
      <c r="D1784" s="5" t="n"/>
      <c r="E1784" s="5" t="n"/>
      <c r="F1784" s="5" t="n"/>
      <c r="G1784" s="5" t="n"/>
      <c r="H1784" s="8" t="n"/>
      <c r="I1784" s="8" t="n"/>
      <c r="J1784" s="8" t="n"/>
      <c r="K1784" s="11">
        <f>IF(B1784="","",MAX(0,IFERROR(I1784,0)*IFERROR(H1784,0)-IFERROR(J1784,0)))</f>
        <v/>
      </c>
      <c r="L1784" s="8" t="n"/>
      <c r="M1784" s="11">
        <f>IF(B1784="","",MAX(0,K1784-L1784))</f>
        <v/>
      </c>
      <c r="N1784" s="11">
        <f>IF(B1784="","",IF(L1784&gt;=K1784,"Paid",IF(L1784&gt;0,"Partial","Unpaid")))</f>
        <v/>
      </c>
      <c r="O1784" s="5" t="n"/>
      <c r="P1784" s="8" t="n"/>
      <c r="Q1784" s="8" t="n"/>
      <c r="R1784" s="11">
        <f>IF(B1784="","",IFERROR(K1784,0)+IFERROR(P1784,0)-IFERROR(Q1784,0))</f>
        <v/>
      </c>
      <c r="S1784" s="5" t="n"/>
      <c r="T1784" s="5" t="n"/>
      <c r="U1784" s="11">
        <f>IF(B1784="","",TRIM(LOWER(C1784)&amp;"|"&amp;LOWER(D1784)))</f>
        <v/>
      </c>
    </row>
    <row r="1785">
      <c r="A1785" s="11">
        <f>IF(B1785="","",TEXT(ROW()-3,"""DC-""0000"))</f>
        <v/>
      </c>
      <c r="B1785" s="5" t="n"/>
      <c r="C1785" s="5" t="n"/>
      <c r="D1785" s="5" t="n"/>
      <c r="E1785" s="5" t="n"/>
      <c r="F1785" s="5" t="n"/>
      <c r="G1785" s="5" t="n"/>
      <c r="H1785" s="8" t="n"/>
      <c r="I1785" s="8" t="n"/>
      <c r="J1785" s="8" t="n"/>
      <c r="K1785" s="11">
        <f>IF(B1785="","",MAX(0,IFERROR(I1785,0)*IFERROR(H1785,0)-IFERROR(J1785,0)))</f>
        <v/>
      </c>
      <c r="L1785" s="8" t="n"/>
      <c r="M1785" s="11">
        <f>IF(B1785="","",MAX(0,K1785-L1785))</f>
        <v/>
      </c>
      <c r="N1785" s="11">
        <f>IF(B1785="","",IF(L1785&gt;=K1785,"Paid",IF(L1785&gt;0,"Partial","Unpaid")))</f>
        <v/>
      </c>
      <c r="O1785" s="5" t="n"/>
      <c r="P1785" s="8" t="n"/>
      <c r="Q1785" s="8" t="n"/>
      <c r="R1785" s="11">
        <f>IF(B1785="","",IFERROR(K1785,0)+IFERROR(P1785,0)-IFERROR(Q1785,0))</f>
        <v/>
      </c>
      <c r="S1785" s="5" t="n"/>
      <c r="T1785" s="5" t="n"/>
      <c r="U1785" s="11">
        <f>IF(B1785="","",TRIM(LOWER(C1785)&amp;"|"&amp;LOWER(D1785)))</f>
        <v/>
      </c>
    </row>
    <row r="1786">
      <c r="A1786" s="11">
        <f>IF(B1786="","",TEXT(ROW()-3,"""DC-""0000"))</f>
        <v/>
      </c>
      <c r="B1786" s="5" t="n"/>
      <c r="C1786" s="5" t="n"/>
      <c r="D1786" s="5" t="n"/>
      <c r="E1786" s="5" t="n"/>
      <c r="F1786" s="5" t="n"/>
      <c r="G1786" s="5" t="n"/>
      <c r="H1786" s="8" t="n"/>
      <c r="I1786" s="8" t="n"/>
      <c r="J1786" s="8" t="n"/>
      <c r="K1786" s="11">
        <f>IF(B1786="","",MAX(0,IFERROR(I1786,0)*IFERROR(H1786,0)-IFERROR(J1786,0)))</f>
        <v/>
      </c>
      <c r="L1786" s="8" t="n"/>
      <c r="M1786" s="11">
        <f>IF(B1786="","",MAX(0,K1786-L1786))</f>
        <v/>
      </c>
      <c r="N1786" s="11">
        <f>IF(B1786="","",IF(L1786&gt;=K1786,"Paid",IF(L1786&gt;0,"Partial","Unpaid")))</f>
        <v/>
      </c>
      <c r="O1786" s="5" t="n"/>
      <c r="P1786" s="8" t="n"/>
      <c r="Q1786" s="8" t="n"/>
      <c r="R1786" s="11">
        <f>IF(B1786="","",IFERROR(K1786,0)+IFERROR(P1786,0)-IFERROR(Q1786,0))</f>
        <v/>
      </c>
      <c r="S1786" s="5" t="n"/>
      <c r="T1786" s="5" t="n"/>
      <c r="U1786" s="11">
        <f>IF(B1786="","",TRIM(LOWER(C1786)&amp;"|"&amp;LOWER(D1786)))</f>
        <v/>
      </c>
    </row>
    <row r="1787">
      <c r="A1787" s="11">
        <f>IF(B1787="","",TEXT(ROW()-3,"""DC-""0000"))</f>
        <v/>
      </c>
      <c r="B1787" s="5" t="n"/>
      <c r="C1787" s="5" t="n"/>
      <c r="D1787" s="5" t="n"/>
      <c r="E1787" s="5" t="n"/>
      <c r="F1787" s="5" t="n"/>
      <c r="G1787" s="5" t="n"/>
      <c r="H1787" s="8" t="n"/>
      <c r="I1787" s="8" t="n"/>
      <c r="J1787" s="8" t="n"/>
      <c r="K1787" s="11">
        <f>IF(B1787="","",MAX(0,IFERROR(I1787,0)*IFERROR(H1787,0)-IFERROR(J1787,0)))</f>
        <v/>
      </c>
      <c r="L1787" s="8" t="n"/>
      <c r="M1787" s="11">
        <f>IF(B1787="","",MAX(0,K1787-L1787))</f>
        <v/>
      </c>
      <c r="N1787" s="11">
        <f>IF(B1787="","",IF(L1787&gt;=K1787,"Paid",IF(L1787&gt;0,"Partial","Unpaid")))</f>
        <v/>
      </c>
      <c r="O1787" s="5" t="n"/>
      <c r="P1787" s="8" t="n"/>
      <c r="Q1787" s="8" t="n"/>
      <c r="R1787" s="11">
        <f>IF(B1787="","",IFERROR(K1787,0)+IFERROR(P1787,0)-IFERROR(Q1787,0))</f>
        <v/>
      </c>
      <c r="S1787" s="5" t="n"/>
      <c r="T1787" s="5" t="n"/>
      <c r="U1787" s="11">
        <f>IF(B1787="","",TRIM(LOWER(C1787)&amp;"|"&amp;LOWER(D1787)))</f>
        <v/>
      </c>
    </row>
    <row r="1788">
      <c r="A1788" s="11">
        <f>IF(B1788="","",TEXT(ROW()-3,"""DC-""0000"))</f>
        <v/>
      </c>
      <c r="B1788" s="5" t="n"/>
      <c r="C1788" s="5" t="n"/>
      <c r="D1788" s="5" t="n"/>
      <c r="E1788" s="5" t="n"/>
      <c r="F1788" s="5" t="n"/>
      <c r="G1788" s="5" t="n"/>
      <c r="H1788" s="8" t="n"/>
      <c r="I1788" s="8" t="n"/>
      <c r="J1788" s="8" t="n"/>
      <c r="K1788" s="11">
        <f>IF(B1788="","",MAX(0,IFERROR(I1788,0)*IFERROR(H1788,0)-IFERROR(J1788,0)))</f>
        <v/>
      </c>
      <c r="L1788" s="8" t="n"/>
      <c r="M1788" s="11">
        <f>IF(B1788="","",MAX(0,K1788-L1788))</f>
        <v/>
      </c>
      <c r="N1788" s="11">
        <f>IF(B1788="","",IF(L1788&gt;=K1788,"Paid",IF(L1788&gt;0,"Partial","Unpaid")))</f>
        <v/>
      </c>
      <c r="O1788" s="5" t="n"/>
      <c r="P1788" s="8" t="n"/>
      <c r="Q1788" s="8" t="n"/>
      <c r="R1788" s="11">
        <f>IF(B1788="","",IFERROR(K1788,0)+IFERROR(P1788,0)-IFERROR(Q1788,0))</f>
        <v/>
      </c>
      <c r="S1788" s="5" t="n"/>
      <c r="T1788" s="5" t="n"/>
      <c r="U1788" s="11">
        <f>IF(B1788="","",TRIM(LOWER(C1788)&amp;"|"&amp;LOWER(D1788)))</f>
        <v/>
      </c>
    </row>
    <row r="1789">
      <c r="A1789" s="11">
        <f>IF(B1789="","",TEXT(ROW()-3,"""DC-""0000"))</f>
        <v/>
      </c>
      <c r="B1789" s="5" t="n"/>
      <c r="C1789" s="5" t="n"/>
      <c r="D1789" s="5" t="n"/>
      <c r="E1789" s="5" t="n"/>
      <c r="F1789" s="5" t="n"/>
      <c r="G1789" s="5" t="n"/>
      <c r="H1789" s="8" t="n"/>
      <c r="I1789" s="8" t="n"/>
      <c r="J1789" s="8" t="n"/>
      <c r="K1789" s="11">
        <f>IF(B1789="","",MAX(0,IFERROR(I1789,0)*IFERROR(H1789,0)-IFERROR(J1789,0)))</f>
        <v/>
      </c>
      <c r="L1789" s="8" t="n"/>
      <c r="M1789" s="11">
        <f>IF(B1789="","",MAX(0,K1789-L1789))</f>
        <v/>
      </c>
      <c r="N1789" s="11">
        <f>IF(B1789="","",IF(L1789&gt;=K1789,"Paid",IF(L1789&gt;0,"Partial","Unpaid")))</f>
        <v/>
      </c>
      <c r="O1789" s="5" t="n"/>
      <c r="P1789" s="8" t="n"/>
      <c r="Q1789" s="8" t="n"/>
      <c r="R1789" s="11">
        <f>IF(B1789="","",IFERROR(K1789,0)+IFERROR(P1789,0)-IFERROR(Q1789,0))</f>
        <v/>
      </c>
      <c r="S1789" s="5" t="n"/>
      <c r="T1789" s="5" t="n"/>
      <c r="U1789" s="11">
        <f>IF(B1789="","",TRIM(LOWER(C1789)&amp;"|"&amp;LOWER(D1789)))</f>
        <v/>
      </c>
    </row>
    <row r="1790">
      <c r="A1790" s="11">
        <f>IF(B1790="","",TEXT(ROW()-3,"""DC-""0000"))</f>
        <v/>
      </c>
      <c r="B1790" s="5" t="n"/>
      <c r="C1790" s="5" t="n"/>
      <c r="D1790" s="5" t="n"/>
      <c r="E1790" s="5" t="n"/>
      <c r="F1790" s="5" t="n"/>
      <c r="G1790" s="5" t="n"/>
      <c r="H1790" s="8" t="n"/>
      <c r="I1790" s="8" t="n"/>
      <c r="J1790" s="8" t="n"/>
      <c r="K1790" s="11">
        <f>IF(B1790="","",MAX(0,IFERROR(I1790,0)*IFERROR(H1790,0)-IFERROR(J1790,0)))</f>
        <v/>
      </c>
      <c r="L1790" s="8" t="n"/>
      <c r="M1790" s="11">
        <f>IF(B1790="","",MAX(0,K1790-L1790))</f>
        <v/>
      </c>
      <c r="N1790" s="11">
        <f>IF(B1790="","",IF(L1790&gt;=K1790,"Paid",IF(L1790&gt;0,"Partial","Unpaid")))</f>
        <v/>
      </c>
      <c r="O1790" s="5" t="n"/>
      <c r="P1790" s="8" t="n"/>
      <c r="Q1790" s="8" t="n"/>
      <c r="R1790" s="11">
        <f>IF(B1790="","",IFERROR(K1790,0)+IFERROR(P1790,0)-IFERROR(Q1790,0))</f>
        <v/>
      </c>
      <c r="S1790" s="5" t="n"/>
      <c r="T1790" s="5" t="n"/>
      <c r="U1790" s="11">
        <f>IF(B1790="","",TRIM(LOWER(C1790)&amp;"|"&amp;LOWER(D1790)))</f>
        <v/>
      </c>
    </row>
    <row r="1791">
      <c r="A1791" s="11">
        <f>IF(B1791="","",TEXT(ROW()-3,"""DC-""0000"))</f>
        <v/>
      </c>
      <c r="B1791" s="5" t="n"/>
      <c r="C1791" s="5" t="n"/>
      <c r="D1791" s="5" t="n"/>
      <c r="E1791" s="5" t="n"/>
      <c r="F1791" s="5" t="n"/>
      <c r="G1791" s="5" t="n"/>
      <c r="H1791" s="8" t="n"/>
      <c r="I1791" s="8" t="n"/>
      <c r="J1791" s="8" t="n"/>
      <c r="K1791" s="11">
        <f>IF(B1791="","",MAX(0,IFERROR(I1791,0)*IFERROR(H1791,0)-IFERROR(J1791,0)))</f>
        <v/>
      </c>
      <c r="L1791" s="8" t="n"/>
      <c r="M1791" s="11">
        <f>IF(B1791="","",MAX(0,K1791-L1791))</f>
        <v/>
      </c>
      <c r="N1791" s="11">
        <f>IF(B1791="","",IF(L1791&gt;=K1791,"Paid",IF(L1791&gt;0,"Partial","Unpaid")))</f>
        <v/>
      </c>
      <c r="O1791" s="5" t="n"/>
      <c r="P1791" s="8" t="n"/>
      <c r="Q1791" s="8" t="n"/>
      <c r="R1791" s="11">
        <f>IF(B1791="","",IFERROR(K1791,0)+IFERROR(P1791,0)-IFERROR(Q1791,0))</f>
        <v/>
      </c>
      <c r="S1791" s="5" t="n"/>
      <c r="T1791" s="5" t="n"/>
      <c r="U1791" s="11">
        <f>IF(B1791="","",TRIM(LOWER(C1791)&amp;"|"&amp;LOWER(D1791)))</f>
        <v/>
      </c>
    </row>
    <row r="1792">
      <c r="A1792" s="11">
        <f>IF(B1792="","",TEXT(ROW()-3,"""DC-""0000"))</f>
        <v/>
      </c>
      <c r="B1792" s="5" t="n"/>
      <c r="C1792" s="5" t="n"/>
      <c r="D1792" s="5" t="n"/>
      <c r="E1792" s="5" t="n"/>
      <c r="F1792" s="5" t="n"/>
      <c r="G1792" s="5" t="n"/>
      <c r="H1792" s="8" t="n"/>
      <c r="I1792" s="8" t="n"/>
      <c r="J1792" s="8" t="n"/>
      <c r="K1792" s="11">
        <f>IF(B1792="","",MAX(0,IFERROR(I1792,0)*IFERROR(H1792,0)-IFERROR(J1792,0)))</f>
        <v/>
      </c>
      <c r="L1792" s="8" t="n"/>
      <c r="M1792" s="11">
        <f>IF(B1792="","",MAX(0,K1792-L1792))</f>
        <v/>
      </c>
      <c r="N1792" s="11">
        <f>IF(B1792="","",IF(L1792&gt;=K1792,"Paid",IF(L1792&gt;0,"Partial","Unpaid")))</f>
        <v/>
      </c>
      <c r="O1792" s="5" t="n"/>
      <c r="P1792" s="8" t="n"/>
      <c r="Q1792" s="8" t="n"/>
      <c r="R1792" s="11">
        <f>IF(B1792="","",IFERROR(K1792,0)+IFERROR(P1792,0)-IFERROR(Q1792,0))</f>
        <v/>
      </c>
      <c r="S1792" s="5" t="n"/>
      <c r="T1792" s="5" t="n"/>
      <c r="U1792" s="11">
        <f>IF(B1792="","",TRIM(LOWER(C1792)&amp;"|"&amp;LOWER(D1792)))</f>
        <v/>
      </c>
    </row>
    <row r="1793">
      <c r="A1793" s="11">
        <f>IF(B1793="","",TEXT(ROW()-3,"""DC-""0000"))</f>
        <v/>
      </c>
      <c r="B1793" s="5" t="n"/>
      <c r="C1793" s="5" t="n"/>
      <c r="D1793" s="5" t="n"/>
      <c r="E1793" s="5" t="n"/>
      <c r="F1793" s="5" t="n"/>
      <c r="G1793" s="5" t="n"/>
      <c r="H1793" s="8" t="n"/>
      <c r="I1793" s="8" t="n"/>
      <c r="J1793" s="8" t="n"/>
      <c r="K1793" s="11">
        <f>IF(B1793="","",MAX(0,IFERROR(I1793,0)*IFERROR(H1793,0)-IFERROR(J1793,0)))</f>
        <v/>
      </c>
      <c r="L1793" s="8" t="n"/>
      <c r="M1793" s="11">
        <f>IF(B1793="","",MAX(0,K1793-L1793))</f>
        <v/>
      </c>
      <c r="N1793" s="11">
        <f>IF(B1793="","",IF(L1793&gt;=K1793,"Paid",IF(L1793&gt;0,"Partial","Unpaid")))</f>
        <v/>
      </c>
      <c r="O1793" s="5" t="n"/>
      <c r="P1793" s="8" t="n"/>
      <c r="Q1793" s="8" t="n"/>
      <c r="R1793" s="11">
        <f>IF(B1793="","",IFERROR(K1793,0)+IFERROR(P1793,0)-IFERROR(Q1793,0))</f>
        <v/>
      </c>
      <c r="S1793" s="5" t="n"/>
      <c r="T1793" s="5" t="n"/>
      <c r="U1793" s="11">
        <f>IF(B1793="","",TRIM(LOWER(C1793)&amp;"|"&amp;LOWER(D1793)))</f>
        <v/>
      </c>
    </row>
    <row r="1794">
      <c r="A1794" s="11">
        <f>IF(B1794="","",TEXT(ROW()-3,"""DC-""0000"))</f>
        <v/>
      </c>
      <c r="B1794" s="5" t="n"/>
      <c r="C1794" s="5" t="n"/>
      <c r="D1794" s="5" t="n"/>
      <c r="E1794" s="5" t="n"/>
      <c r="F1794" s="5" t="n"/>
      <c r="G1794" s="5" t="n"/>
      <c r="H1794" s="8" t="n"/>
      <c r="I1794" s="8" t="n"/>
      <c r="J1794" s="8" t="n"/>
      <c r="K1794" s="11">
        <f>IF(B1794="","",MAX(0,IFERROR(I1794,0)*IFERROR(H1794,0)-IFERROR(J1794,0)))</f>
        <v/>
      </c>
      <c r="L1794" s="8" t="n"/>
      <c r="M1794" s="11">
        <f>IF(B1794="","",MAX(0,K1794-L1794))</f>
        <v/>
      </c>
      <c r="N1794" s="11">
        <f>IF(B1794="","",IF(L1794&gt;=K1794,"Paid",IF(L1794&gt;0,"Partial","Unpaid")))</f>
        <v/>
      </c>
      <c r="O1794" s="5" t="n"/>
      <c r="P1794" s="8" t="n"/>
      <c r="Q1794" s="8" t="n"/>
      <c r="R1794" s="11">
        <f>IF(B1794="","",IFERROR(K1794,0)+IFERROR(P1794,0)-IFERROR(Q1794,0))</f>
        <v/>
      </c>
      <c r="S1794" s="5" t="n"/>
      <c r="T1794" s="5" t="n"/>
      <c r="U1794" s="11">
        <f>IF(B1794="","",TRIM(LOWER(C1794)&amp;"|"&amp;LOWER(D1794)))</f>
        <v/>
      </c>
    </row>
    <row r="1795">
      <c r="A1795" s="11">
        <f>IF(B1795="","",TEXT(ROW()-3,"""DC-""0000"))</f>
        <v/>
      </c>
      <c r="B1795" s="5" t="n"/>
      <c r="C1795" s="5" t="n"/>
      <c r="D1795" s="5" t="n"/>
      <c r="E1795" s="5" t="n"/>
      <c r="F1795" s="5" t="n"/>
      <c r="G1795" s="5" t="n"/>
      <c r="H1795" s="8" t="n"/>
      <c r="I1795" s="8" t="n"/>
      <c r="J1795" s="8" t="n"/>
      <c r="K1795" s="11">
        <f>IF(B1795="","",MAX(0,IFERROR(I1795,0)*IFERROR(H1795,0)-IFERROR(J1795,0)))</f>
        <v/>
      </c>
      <c r="L1795" s="8" t="n"/>
      <c r="M1795" s="11">
        <f>IF(B1795="","",MAX(0,K1795-L1795))</f>
        <v/>
      </c>
      <c r="N1795" s="11">
        <f>IF(B1795="","",IF(L1795&gt;=K1795,"Paid",IF(L1795&gt;0,"Partial","Unpaid")))</f>
        <v/>
      </c>
      <c r="O1795" s="5" t="n"/>
      <c r="P1795" s="8" t="n"/>
      <c r="Q1795" s="8" t="n"/>
      <c r="R1795" s="11">
        <f>IF(B1795="","",IFERROR(K1795,0)+IFERROR(P1795,0)-IFERROR(Q1795,0))</f>
        <v/>
      </c>
      <c r="S1795" s="5" t="n"/>
      <c r="T1795" s="5" t="n"/>
      <c r="U1795" s="11">
        <f>IF(B1795="","",TRIM(LOWER(C1795)&amp;"|"&amp;LOWER(D1795)))</f>
        <v/>
      </c>
    </row>
    <row r="1796">
      <c r="A1796" s="11">
        <f>IF(B1796="","",TEXT(ROW()-3,"""DC-""0000"))</f>
        <v/>
      </c>
      <c r="B1796" s="5" t="n"/>
      <c r="C1796" s="5" t="n"/>
      <c r="D1796" s="5" t="n"/>
      <c r="E1796" s="5" t="n"/>
      <c r="F1796" s="5" t="n"/>
      <c r="G1796" s="5" t="n"/>
      <c r="H1796" s="8" t="n"/>
      <c r="I1796" s="8" t="n"/>
      <c r="J1796" s="8" t="n"/>
      <c r="K1796" s="11">
        <f>IF(B1796="","",MAX(0,IFERROR(I1796,0)*IFERROR(H1796,0)-IFERROR(J1796,0)))</f>
        <v/>
      </c>
      <c r="L1796" s="8" t="n"/>
      <c r="M1796" s="11">
        <f>IF(B1796="","",MAX(0,K1796-L1796))</f>
        <v/>
      </c>
      <c r="N1796" s="11">
        <f>IF(B1796="","",IF(L1796&gt;=K1796,"Paid",IF(L1796&gt;0,"Partial","Unpaid")))</f>
        <v/>
      </c>
      <c r="O1796" s="5" t="n"/>
      <c r="P1796" s="8" t="n"/>
      <c r="Q1796" s="8" t="n"/>
      <c r="R1796" s="11">
        <f>IF(B1796="","",IFERROR(K1796,0)+IFERROR(P1796,0)-IFERROR(Q1796,0))</f>
        <v/>
      </c>
      <c r="S1796" s="5" t="n"/>
      <c r="T1796" s="5" t="n"/>
      <c r="U1796" s="11">
        <f>IF(B1796="","",TRIM(LOWER(C1796)&amp;"|"&amp;LOWER(D1796)))</f>
        <v/>
      </c>
    </row>
    <row r="1797">
      <c r="A1797" s="11">
        <f>IF(B1797="","",TEXT(ROW()-3,"""DC-""0000"))</f>
        <v/>
      </c>
      <c r="B1797" s="5" t="n"/>
      <c r="C1797" s="5" t="n"/>
      <c r="D1797" s="5" t="n"/>
      <c r="E1797" s="5" t="n"/>
      <c r="F1797" s="5" t="n"/>
      <c r="G1797" s="5" t="n"/>
      <c r="H1797" s="8" t="n"/>
      <c r="I1797" s="8" t="n"/>
      <c r="J1797" s="8" t="n"/>
      <c r="K1797" s="11">
        <f>IF(B1797="","",MAX(0,IFERROR(I1797,0)*IFERROR(H1797,0)-IFERROR(J1797,0)))</f>
        <v/>
      </c>
      <c r="L1797" s="8" t="n"/>
      <c r="M1797" s="11">
        <f>IF(B1797="","",MAX(0,K1797-L1797))</f>
        <v/>
      </c>
      <c r="N1797" s="11">
        <f>IF(B1797="","",IF(L1797&gt;=K1797,"Paid",IF(L1797&gt;0,"Partial","Unpaid")))</f>
        <v/>
      </c>
      <c r="O1797" s="5" t="n"/>
      <c r="P1797" s="8" t="n"/>
      <c r="Q1797" s="8" t="n"/>
      <c r="R1797" s="11">
        <f>IF(B1797="","",IFERROR(K1797,0)+IFERROR(P1797,0)-IFERROR(Q1797,0))</f>
        <v/>
      </c>
      <c r="S1797" s="5" t="n"/>
      <c r="T1797" s="5" t="n"/>
      <c r="U1797" s="11">
        <f>IF(B1797="","",TRIM(LOWER(C1797)&amp;"|"&amp;LOWER(D1797)))</f>
        <v/>
      </c>
    </row>
    <row r="1798">
      <c r="A1798" s="11">
        <f>IF(B1798="","",TEXT(ROW()-3,"""DC-""0000"))</f>
        <v/>
      </c>
      <c r="B1798" s="5" t="n"/>
      <c r="C1798" s="5" t="n"/>
      <c r="D1798" s="5" t="n"/>
      <c r="E1798" s="5" t="n"/>
      <c r="F1798" s="5" t="n"/>
      <c r="G1798" s="5" t="n"/>
      <c r="H1798" s="8" t="n"/>
      <c r="I1798" s="8" t="n"/>
      <c r="J1798" s="8" t="n"/>
      <c r="K1798" s="11">
        <f>IF(B1798="","",MAX(0,IFERROR(I1798,0)*IFERROR(H1798,0)-IFERROR(J1798,0)))</f>
        <v/>
      </c>
      <c r="L1798" s="8" t="n"/>
      <c r="M1798" s="11">
        <f>IF(B1798="","",MAX(0,K1798-L1798))</f>
        <v/>
      </c>
      <c r="N1798" s="11">
        <f>IF(B1798="","",IF(L1798&gt;=K1798,"Paid",IF(L1798&gt;0,"Partial","Unpaid")))</f>
        <v/>
      </c>
      <c r="O1798" s="5" t="n"/>
      <c r="P1798" s="8" t="n"/>
      <c r="Q1798" s="8" t="n"/>
      <c r="R1798" s="11">
        <f>IF(B1798="","",IFERROR(K1798,0)+IFERROR(P1798,0)-IFERROR(Q1798,0))</f>
        <v/>
      </c>
      <c r="S1798" s="5" t="n"/>
      <c r="T1798" s="5" t="n"/>
      <c r="U1798" s="11">
        <f>IF(B1798="","",TRIM(LOWER(C1798)&amp;"|"&amp;LOWER(D1798)))</f>
        <v/>
      </c>
    </row>
    <row r="1799">
      <c r="A1799" s="11">
        <f>IF(B1799="","",TEXT(ROW()-3,"""DC-""0000"))</f>
        <v/>
      </c>
      <c r="B1799" s="5" t="n"/>
      <c r="C1799" s="5" t="n"/>
      <c r="D1799" s="5" t="n"/>
      <c r="E1799" s="5" t="n"/>
      <c r="F1799" s="5" t="n"/>
      <c r="G1799" s="5" t="n"/>
      <c r="H1799" s="8" t="n"/>
      <c r="I1799" s="8" t="n"/>
      <c r="J1799" s="8" t="n"/>
      <c r="K1799" s="11">
        <f>IF(B1799="","",MAX(0,IFERROR(I1799,0)*IFERROR(H1799,0)-IFERROR(J1799,0)))</f>
        <v/>
      </c>
      <c r="L1799" s="8" t="n"/>
      <c r="M1799" s="11">
        <f>IF(B1799="","",MAX(0,K1799-L1799))</f>
        <v/>
      </c>
      <c r="N1799" s="11">
        <f>IF(B1799="","",IF(L1799&gt;=K1799,"Paid",IF(L1799&gt;0,"Partial","Unpaid")))</f>
        <v/>
      </c>
      <c r="O1799" s="5" t="n"/>
      <c r="P1799" s="8" t="n"/>
      <c r="Q1799" s="8" t="n"/>
      <c r="R1799" s="11">
        <f>IF(B1799="","",IFERROR(K1799,0)+IFERROR(P1799,0)-IFERROR(Q1799,0))</f>
        <v/>
      </c>
      <c r="S1799" s="5" t="n"/>
      <c r="T1799" s="5" t="n"/>
      <c r="U1799" s="11">
        <f>IF(B1799="","",TRIM(LOWER(C1799)&amp;"|"&amp;LOWER(D1799)))</f>
        <v/>
      </c>
    </row>
    <row r="1800">
      <c r="A1800" s="11">
        <f>IF(B1800="","",TEXT(ROW()-3,"""DC-""0000"))</f>
        <v/>
      </c>
      <c r="B1800" s="5" t="n"/>
      <c r="C1800" s="5" t="n"/>
      <c r="D1800" s="5" t="n"/>
      <c r="E1800" s="5" t="n"/>
      <c r="F1800" s="5" t="n"/>
      <c r="G1800" s="5" t="n"/>
      <c r="H1800" s="8" t="n"/>
      <c r="I1800" s="8" t="n"/>
      <c r="J1800" s="8" t="n"/>
      <c r="K1800" s="11">
        <f>IF(B1800="","",MAX(0,IFERROR(I1800,0)*IFERROR(H1800,0)-IFERROR(J1800,0)))</f>
        <v/>
      </c>
      <c r="L1800" s="8" t="n"/>
      <c r="M1800" s="11">
        <f>IF(B1800="","",MAX(0,K1800-L1800))</f>
        <v/>
      </c>
      <c r="N1800" s="11">
        <f>IF(B1800="","",IF(L1800&gt;=K1800,"Paid",IF(L1800&gt;0,"Partial","Unpaid")))</f>
        <v/>
      </c>
      <c r="O1800" s="5" t="n"/>
      <c r="P1800" s="8" t="n"/>
      <c r="Q1800" s="8" t="n"/>
      <c r="R1800" s="11">
        <f>IF(B1800="","",IFERROR(K1800,0)+IFERROR(P1800,0)-IFERROR(Q1800,0))</f>
        <v/>
      </c>
      <c r="S1800" s="5" t="n"/>
      <c r="T1800" s="5" t="n"/>
      <c r="U1800" s="11">
        <f>IF(B1800="","",TRIM(LOWER(C1800)&amp;"|"&amp;LOWER(D1800)))</f>
        <v/>
      </c>
    </row>
    <row r="1801">
      <c r="A1801" s="11">
        <f>IF(B1801="","",TEXT(ROW()-3,"""DC-""0000"))</f>
        <v/>
      </c>
      <c r="B1801" s="5" t="n"/>
      <c r="C1801" s="5" t="n"/>
      <c r="D1801" s="5" t="n"/>
      <c r="E1801" s="5" t="n"/>
      <c r="F1801" s="5" t="n"/>
      <c r="G1801" s="5" t="n"/>
      <c r="H1801" s="8" t="n"/>
      <c r="I1801" s="8" t="n"/>
      <c r="J1801" s="8" t="n"/>
      <c r="K1801" s="11">
        <f>IF(B1801="","",MAX(0,IFERROR(I1801,0)*IFERROR(H1801,0)-IFERROR(J1801,0)))</f>
        <v/>
      </c>
      <c r="L1801" s="8" t="n"/>
      <c r="M1801" s="11">
        <f>IF(B1801="","",MAX(0,K1801-L1801))</f>
        <v/>
      </c>
      <c r="N1801" s="11">
        <f>IF(B1801="","",IF(L1801&gt;=K1801,"Paid",IF(L1801&gt;0,"Partial","Unpaid")))</f>
        <v/>
      </c>
      <c r="O1801" s="5" t="n"/>
      <c r="P1801" s="8" t="n"/>
      <c r="Q1801" s="8" t="n"/>
      <c r="R1801" s="11">
        <f>IF(B1801="","",IFERROR(K1801,0)+IFERROR(P1801,0)-IFERROR(Q1801,0))</f>
        <v/>
      </c>
      <c r="S1801" s="5" t="n"/>
      <c r="T1801" s="5" t="n"/>
      <c r="U1801" s="11">
        <f>IF(B1801="","",TRIM(LOWER(C1801)&amp;"|"&amp;LOWER(D1801)))</f>
        <v/>
      </c>
    </row>
    <row r="1802">
      <c r="A1802" s="11">
        <f>IF(B1802="","",TEXT(ROW()-3,"""DC-""0000"))</f>
        <v/>
      </c>
      <c r="B1802" s="5" t="n"/>
      <c r="C1802" s="5" t="n"/>
      <c r="D1802" s="5" t="n"/>
      <c r="E1802" s="5" t="n"/>
      <c r="F1802" s="5" t="n"/>
      <c r="G1802" s="5" t="n"/>
      <c r="H1802" s="8" t="n"/>
      <c r="I1802" s="8" t="n"/>
      <c r="J1802" s="8" t="n"/>
      <c r="K1802" s="11">
        <f>IF(B1802="","",MAX(0,IFERROR(I1802,0)*IFERROR(H1802,0)-IFERROR(J1802,0)))</f>
        <v/>
      </c>
      <c r="L1802" s="8" t="n"/>
      <c r="M1802" s="11">
        <f>IF(B1802="","",MAX(0,K1802-L1802))</f>
        <v/>
      </c>
      <c r="N1802" s="11">
        <f>IF(B1802="","",IF(L1802&gt;=K1802,"Paid",IF(L1802&gt;0,"Partial","Unpaid")))</f>
        <v/>
      </c>
      <c r="O1802" s="5" t="n"/>
      <c r="P1802" s="8" t="n"/>
      <c r="Q1802" s="8" t="n"/>
      <c r="R1802" s="11">
        <f>IF(B1802="","",IFERROR(K1802,0)+IFERROR(P1802,0)-IFERROR(Q1802,0))</f>
        <v/>
      </c>
      <c r="S1802" s="5" t="n"/>
      <c r="T1802" s="5" t="n"/>
      <c r="U1802" s="11">
        <f>IF(B1802="","",TRIM(LOWER(C1802)&amp;"|"&amp;LOWER(D1802)))</f>
        <v/>
      </c>
    </row>
    <row r="1803">
      <c r="A1803" s="11">
        <f>IF(B1803="","",TEXT(ROW()-3,"""DC-""0000"))</f>
        <v/>
      </c>
      <c r="B1803" s="5" t="n"/>
      <c r="C1803" s="5" t="n"/>
      <c r="D1803" s="5" t="n"/>
      <c r="E1803" s="5" t="n"/>
      <c r="F1803" s="5" t="n"/>
      <c r="G1803" s="5" t="n"/>
      <c r="H1803" s="8" t="n"/>
      <c r="I1803" s="8" t="n"/>
      <c r="J1803" s="8" t="n"/>
      <c r="K1803" s="11">
        <f>IF(B1803="","",MAX(0,IFERROR(I1803,0)*IFERROR(H1803,0)-IFERROR(J1803,0)))</f>
        <v/>
      </c>
      <c r="L1803" s="8" t="n"/>
      <c r="M1803" s="11">
        <f>IF(B1803="","",MAX(0,K1803-L1803))</f>
        <v/>
      </c>
      <c r="N1803" s="11">
        <f>IF(B1803="","",IF(L1803&gt;=K1803,"Paid",IF(L1803&gt;0,"Partial","Unpaid")))</f>
        <v/>
      </c>
      <c r="O1803" s="5" t="n"/>
      <c r="P1803" s="8" t="n"/>
      <c r="Q1803" s="8" t="n"/>
      <c r="R1803" s="11">
        <f>IF(B1803="","",IFERROR(K1803,0)+IFERROR(P1803,0)-IFERROR(Q1803,0))</f>
        <v/>
      </c>
      <c r="S1803" s="5" t="n"/>
      <c r="T1803" s="5" t="n"/>
      <c r="U1803" s="11">
        <f>IF(B1803="","",TRIM(LOWER(C1803)&amp;"|"&amp;LOWER(D1803)))</f>
        <v/>
      </c>
    </row>
    <row r="1804">
      <c r="A1804" s="11">
        <f>IF(B1804="","",TEXT(ROW()-3,"""DC-""0000"))</f>
        <v/>
      </c>
      <c r="B1804" s="5" t="n"/>
      <c r="C1804" s="5" t="n"/>
      <c r="D1804" s="5" t="n"/>
      <c r="E1804" s="5" t="n"/>
      <c r="F1804" s="5" t="n"/>
      <c r="G1804" s="5" t="n"/>
      <c r="H1804" s="8" t="n"/>
      <c r="I1804" s="8" t="n"/>
      <c r="J1804" s="8" t="n"/>
      <c r="K1804" s="11">
        <f>IF(B1804="","",MAX(0,IFERROR(I1804,0)*IFERROR(H1804,0)-IFERROR(J1804,0)))</f>
        <v/>
      </c>
      <c r="L1804" s="8" t="n"/>
      <c r="M1804" s="11">
        <f>IF(B1804="","",MAX(0,K1804-L1804))</f>
        <v/>
      </c>
      <c r="N1804" s="11">
        <f>IF(B1804="","",IF(L1804&gt;=K1804,"Paid",IF(L1804&gt;0,"Partial","Unpaid")))</f>
        <v/>
      </c>
      <c r="O1804" s="5" t="n"/>
      <c r="P1804" s="8" t="n"/>
      <c r="Q1804" s="8" t="n"/>
      <c r="R1804" s="11">
        <f>IF(B1804="","",IFERROR(K1804,0)+IFERROR(P1804,0)-IFERROR(Q1804,0))</f>
        <v/>
      </c>
      <c r="S1804" s="5" t="n"/>
      <c r="T1804" s="5" t="n"/>
      <c r="U1804" s="11">
        <f>IF(B1804="","",TRIM(LOWER(C1804)&amp;"|"&amp;LOWER(D1804)))</f>
        <v/>
      </c>
    </row>
    <row r="1805">
      <c r="A1805" s="11">
        <f>IF(B1805="","",TEXT(ROW()-3,"""DC-""0000"))</f>
        <v/>
      </c>
      <c r="B1805" s="5" t="n"/>
      <c r="C1805" s="5" t="n"/>
      <c r="D1805" s="5" t="n"/>
      <c r="E1805" s="5" t="n"/>
      <c r="F1805" s="5" t="n"/>
      <c r="G1805" s="5" t="n"/>
      <c r="H1805" s="8" t="n"/>
      <c r="I1805" s="8" t="n"/>
      <c r="J1805" s="8" t="n"/>
      <c r="K1805" s="11">
        <f>IF(B1805="","",MAX(0,IFERROR(I1805,0)*IFERROR(H1805,0)-IFERROR(J1805,0)))</f>
        <v/>
      </c>
      <c r="L1805" s="8" t="n"/>
      <c r="M1805" s="11">
        <f>IF(B1805="","",MAX(0,K1805-L1805))</f>
        <v/>
      </c>
      <c r="N1805" s="11">
        <f>IF(B1805="","",IF(L1805&gt;=K1805,"Paid",IF(L1805&gt;0,"Partial","Unpaid")))</f>
        <v/>
      </c>
      <c r="O1805" s="5" t="n"/>
      <c r="P1805" s="8" t="n"/>
      <c r="Q1805" s="8" t="n"/>
      <c r="R1805" s="11">
        <f>IF(B1805="","",IFERROR(K1805,0)+IFERROR(P1805,0)-IFERROR(Q1805,0))</f>
        <v/>
      </c>
      <c r="S1805" s="5" t="n"/>
      <c r="T1805" s="5" t="n"/>
      <c r="U1805" s="11">
        <f>IF(B1805="","",TRIM(LOWER(C1805)&amp;"|"&amp;LOWER(D1805)))</f>
        <v/>
      </c>
    </row>
    <row r="1806">
      <c r="A1806" s="11">
        <f>IF(B1806="","",TEXT(ROW()-3,"""DC-""0000"))</f>
        <v/>
      </c>
      <c r="B1806" s="5" t="n"/>
      <c r="C1806" s="5" t="n"/>
      <c r="D1806" s="5" t="n"/>
      <c r="E1806" s="5" t="n"/>
      <c r="F1806" s="5" t="n"/>
      <c r="G1806" s="5" t="n"/>
      <c r="H1806" s="8" t="n"/>
      <c r="I1806" s="8" t="n"/>
      <c r="J1806" s="8" t="n"/>
      <c r="K1806" s="11">
        <f>IF(B1806="","",MAX(0,IFERROR(I1806,0)*IFERROR(H1806,0)-IFERROR(J1806,0)))</f>
        <v/>
      </c>
      <c r="L1806" s="8" t="n"/>
      <c r="M1806" s="11">
        <f>IF(B1806="","",MAX(0,K1806-L1806))</f>
        <v/>
      </c>
      <c r="N1806" s="11">
        <f>IF(B1806="","",IF(L1806&gt;=K1806,"Paid",IF(L1806&gt;0,"Partial","Unpaid")))</f>
        <v/>
      </c>
      <c r="O1806" s="5" t="n"/>
      <c r="P1806" s="8" t="n"/>
      <c r="Q1806" s="8" t="n"/>
      <c r="R1806" s="11">
        <f>IF(B1806="","",IFERROR(K1806,0)+IFERROR(P1806,0)-IFERROR(Q1806,0))</f>
        <v/>
      </c>
      <c r="S1806" s="5" t="n"/>
      <c r="T1806" s="5" t="n"/>
      <c r="U1806" s="11">
        <f>IF(B1806="","",TRIM(LOWER(C1806)&amp;"|"&amp;LOWER(D1806)))</f>
        <v/>
      </c>
    </row>
    <row r="1807">
      <c r="A1807" s="11">
        <f>IF(B1807="","",TEXT(ROW()-3,"""DC-""0000"))</f>
        <v/>
      </c>
      <c r="B1807" s="5" t="n"/>
      <c r="C1807" s="5" t="n"/>
      <c r="D1807" s="5" t="n"/>
      <c r="E1807" s="5" t="n"/>
      <c r="F1807" s="5" t="n"/>
      <c r="G1807" s="5" t="n"/>
      <c r="H1807" s="8" t="n"/>
      <c r="I1807" s="8" t="n"/>
      <c r="J1807" s="8" t="n"/>
      <c r="K1807" s="11">
        <f>IF(B1807="","",MAX(0,IFERROR(I1807,0)*IFERROR(H1807,0)-IFERROR(J1807,0)))</f>
        <v/>
      </c>
      <c r="L1807" s="8" t="n"/>
      <c r="M1807" s="11">
        <f>IF(B1807="","",MAX(0,K1807-L1807))</f>
        <v/>
      </c>
      <c r="N1807" s="11">
        <f>IF(B1807="","",IF(L1807&gt;=K1807,"Paid",IF(L1807&gt;0,"Partial","Unpaid")))</f>
        <v/>
      </c>
      <c r="O1807" s="5" t="n"/>
      <c r="P1807" s="8" t="n"/>
      <c r="Q1807" s="8" t="n"/>
      <c r="R1807" s="11">
        <f>IF(B1807="","",IFERROR(K1807,0)+IFERROR(P1807,0)-IFERROR(Q1807,0))</f>
        <v/>
      </c>
      <c r="S1807" s="5" t="n"/>
      <c r="T1807" s="5" t="n"/>
      <c r="U1807" s="11">
        <f>IF(B1807="","",TRIM(LOWER(C1807)&amp;"|"&amp;LOWER(D1807)))</f>
        <v/>
      </c>
    </row>
    <row r="1808">
      <c r="A1808" s="11">
        <f>IF(B1808="","",TEXT(ROW()-3,"""DC-""0000"))</f>
        <v/>
      </c>
      <c r="B1808" s="5" t="n"/>
      <c r="C1808" s="5" t="n"/>
      <c r="D1808" s="5" t="n"/>
      <c r="E1808" s="5" t="n"/>
      <c r="F1808" s="5" t="n"/>
      <c r="G1808" s="5" t="n"/>
      <c r="H1808" s="8" t="n"/>
      <c r="I1808" s="8" t="n"/>
      <c r="J1808" s="8" t="n"/>
      <c r="K1808" s="11">
        <f>IF(B1808="","",MAX(0,IFERROR(I1808,0)*IFERROR(H1808,0)-IFERROR(J1808,0)))</f>
        <v/>
      </c>
      <c r="L1808" s="8" t="n"/>
      <c r="M1808" s="11">
        <f>IF(B1808="","",MAX(0,K1808-L1808))</f>
        <v/>
      </c>
      <c r="N1808" s="11">
        <f>IF(B1808="","",IF(L1808&gt;=K1808,"Paid",IF(L1808&gt;0,"Partial","Unpaid")))</f>
        <v/>
      </c>
      <c r="O1808" s="5" t="n"/>
      <c r="P1808" s="8" t="n"/>
      <c r="Q1808" s="8" t="n"/>
      <c r="R1808" s="11">
        <f>IF(B1808="","",IFERROR(K1808,0)+IFERROR(P1808,0)-IFERROR(Q1808,0))</f>
        <v/>
      </c>
      <c r="S1808" s="5" t="n"/>
      <c r="T1808" s="5" t="n"/>
      <c r="U1808" s="11">
        <f>IF(B1808="","",TRIM(LOWER(C1808)&amp;"|"&amp;LOWER(D1808)))</f>
        <v/>
      </c>
    </row>
    <row r="1809">
      <c r="A1809" s="11">
        <f>IF(B1809="","",TEXT(ROW()-3,"""DC-""0000"))</f>
        <v/>
      </c>
      <c r="B1809" s="5" t="n"/>
      <c r="C1809" s="5" t="n"/>
      <c r="D1809" s="5" t="n"/>
      <c r="E1809" s="5" t="n"/>
      <c r="F1809" s="5" t="n"/>
      <c r="G1809" s="5" t="n"/>
      <c r="H1809" s="8" t="n"/>
      <c r="I1809" s="8" t="n"/>
      <c r="J1809" s="8" t="n"/>
      <c r="K1809" s="11">
        <f>IF(B1809="","",MAX(0,IFERROR(I1809,0)*IFERROR(H1809,0)-IFERROR(J1809,0)))</f>
        <v/>
      </c>
      <c r="L1809" s="8" t="n"/>
      <c r="M1809" s="11">
        <f>IF(B1809="","",MAX(0,K1809-L1809))</f>
        <v/>
      </c>
      <c r="N1809" s="11">
        <f>IF(B1809="","",IF(L1809&gt;=K1809,"Paid",IF(L1809&gt;0,"Partial","Unpaid")))</f>
        <v/>
      </c>
      <c r="O1809" s="5" t="n"/>
      <c r="P1809" s="8" t="n"/>
      <c r="Q1809" s="8" t="n"/>
      <c r="R1809" s="11">
        <f>IF(B1809="","",IFERROR(K1809,0)+IFERROR(P1809,0)-IFERROR(Q1809,0))</f>
        <v/>
      </c>
      <c r="S1809" s="5" t="n"/>
      <c r="T1809" s="5" t="n"/>
      <c r="U1809" s="11">
        <f>IF(B1809="","",TRIM(LOWER(C1809)&amp;"|"&amp;LOWER(D1809)))</f>
        <v/>
      </c>
    </row>
    <row r="1810">
      <c r="A1810" s="11">
        <f>IF(B1810="","",TEXT(ROW()-3,"""DC-""0000"))</f>
        <v/>
      </c>
      <c r="B1810" s="5" t="n"/>
      <c r="C1810" s="5" t="n"/>
      <c r="D1810" s="5" t="n"/>
      <c r="E1810" s="5" t="n"/>
      <c r="F1810" s="5" t="n"/>
      <c r="G1810" s="5" t="n"/>
      <c r="H1810" s="8" t="n"/>
      <c r="I1810" s="8" t="n"/>
      <c r="J1810" s="8" t="n"/>
      <c r="K1810" s="11">
        <f>IF(B1810="","",MAX(0,IFERROR(I1810,0)*IFERROR(H1810,0)-IFERROR(J1810,0)))</f>
        <v/>
      </c>
      <c r="L1810" s="8" t="n"/>
      <c r="M1810" s="11">
        <f>IF(B1810="","",MAX(0,K1810-L1810))</f>
        <v/>
      </c>
      <c r="N1810" s="11">
        <f>IF(B1810="","",IF(L1810&gt;=K1810,"Paid",IF(L1810&gt;0,"Partial","Unpaid")))</f>
        <v/>
      </c>
      <c r="O1810" s="5" t="n"/>
      <c r="P1810" s="8" t="n"/>
      <c r="Q1810" s="8" t="n"/>
      <c r="R1810" s="11">
        <f>IF(B1810="","",IFERROR(K1810,0)+IFERROR(P1810,0)-IFERROR(Q1810,0))</f>
        <v/>
      </c>
      <c r="S1810" s="5" t="n"/>
      <c r="T1810" s="5" t="n"/>
      <c r="U1810" s="11">
        <f>IF(B1810="","",TRIM(LOWER(C1810)&amp;"|"&amp;LOWER(D1810)))</f>
        <v/>
      </c>
    </row>
    <row r="1811">
      <c r="A1811" s="11">
        <f>IF(B1811="","",TEXT(ROW()-3,"""DC-""0000"))</f>
        <v/>
      </c>
      <c r="B1811" s="5" t="n"/>
      <c r="C1811" s="5" t="n"/>
      <c r="D1811" s="5" t="n"/>
      <c r="E1811" s="5" t="n"/>
      <c r="F1811" s="5" t="n"/>
      <c r="G1811" s="5" t="n"/>
      <c r="H1811" s="8" t="n"/>
      <c r="I1811" s="8" t="n"/>
      <c r="J1811" s="8" t="n"/>
      <c r="K1811" s="11">
        <f>IF(B1811="","",MAX(0,IFERROR(I1811,0)*IFERROR(H1811,0)-IFERROR(J1811,0)))</f>
        <v/>
      </c>
      <c r="L1811" s="8" t="n"/>
      <c r="M1811" s="11">
        <f>IF(B1811="","",MAX(0,K1811-L1811))</f>
        <v/>
      </c>
      <c r="N1811" s="11">
        <f>IF(B1811="","",IF(L1811&gt;=K1811,"Paid",IF(L1811&gt;0,"Partial","Unpaid")))</f>
        <v/>
      </c>
      <c r="O1811" s="5" t="n"/>
      <c r="P1811" s="8" t="n"/>
      <c r="Q1811" s="8" t="n"/>
      <c r="R1811" s="11">
        <f>IF(B1811="","",IFERROR(K1811,0)+IFERROR(P1811,0)-IFERROR(Q1811,0))</f>
        <v/>
      </c>
      <c r="S1811" s="5" t="n"/>
      <c r="T1811" s="5" t="n"/>
      <c r="U1811" s="11">
        <f>IF(B1811="","",TRIM(LOWER(C1811)&amp;"|"&amp;LOWER(D1811)))</f>
        <v/>
      </c>
    </row>
    <row r="1812">
      <c r="A1812" s="11">
        <f>IF(B1812="","",TEXT(ROW()-3,"""DC-""0000"))</f>
        <v/>
      </c>
      <c r="B1812" s="5" t="n"/>
      <c r="C1812" s="5" t="n"/>
      <c r="D1812" s="5" t="n"/>
      <c r="E1812" s="5" t="n"/>
      <c r="F1812" s="5" t="n"/>
      <c r="G1812" s="5" t="n"/>
      <c r="H1812" s="8" t="n"/>
      <c r="I1812" s="8" t="n"/>
      <c r="J1812" s="8" t="n"/>
      <c r="K1812" s="11">
        <f>IF(B1812="","",MAX(0,IFERROR(I1812,0)*IFERROR(H1812,0)-IFERROR(J1812,0)))</f>
        <v/>
      </c>
      <c r="L1812" s="8" t="n"/>
      <c r="M1812" s="11">
        <f>IF(B1812="","",MAX(0,K1812-L1812))</f>
        <v/>
      </c>
      <c r="N1812" s="11">
        <f>IF(B1812="","",IF(L1812&gt;=K1812,"Paid",IF(L1812&gt;0,"Partial","Unpaid")))</f>
        <v/>
      </c>
      <c r="O1812" s="5" t="n"/>
      <c r="P1812" s="8" t="n"/>
      <c r="Q1812" s="8" t="n"/>
      <c r="R1812" s="11">
        <f>IF(B1812="","",IFERROR(K1812,0)+IFERROR(P1812,0)-IFERROR(Q1812,0))</f>
        <v/>
      </c>
      <c r="S1812" s="5" t="n"/>
      <c r="T1812" s="5" t="n"/>
      <c r="U1812" s="11">
        <f>IF(B1812="","",TRIM(LOWER(C1812)&amp;"|"&amp;LOWER(D1812)))</f>
        <v/>
      </c>
    </row>
    <row r="1813">
      <c r="A1813" s="11">
        <f>IF(B1813="","",TEXT(ROW()-3,"""DC-""0000"))</f>
        <v/>
      </c>
      <c r="B1813" s="5" t="n"/>
      <c r="C1813" s="5" t="n"/>
      <c r="D1813" s="5" t="n"/>
      <c r="E1813" s="5" t="n"/>
      <c r="F1813" s="5" t="n"/>
      <c r="G1813" s="5" t="n"/>
      <c r="H1813" s="8" t="n"/>
      <c r="I1813" s="8" t="n"/>
      <c r="J1813" s="8" t="n"/>
      <c r="K1813" s="11">
        <f>IF(B1813="","",MAX(0,IFERROR(I1813,0)*IFERROR(H1813,0)-IFERROR(J1813,0)))</f>
        <v/>
      </c>
      <c r="L1813" s="8" t="n"/>
      <c r="M1813" s="11">
        <f>IF(B1813="","",MAX(0,K1813-L1813))</f>
        <v/>
      </c>
      <c r="N1813" s="11">
        <f>IF(B1813="","",IF(L1813&gt;=K1813,"Paid",IF(L1813&gt;0,"Partial","Unpaid")))</f>
        <v/>
      </c>
      <c r="O1813" s="5" t="n"/>
      <c r="P1813" s="8" t="n"/>
      <c r="Q1813" s="8" t="n"/>
      <c r="R1813" s="11">
        <f>IF(B1813="","",IFERROR(K1813,0)+IFERROR(P1813,0)-IFERROR(Q1813,0))</f>
        <v/>
      </c>
      <c r="S1813" s="5" t="n"/>
      <c r="T1813" s="5" t="n"/>
      <c r="U1813" s="11">
        <f>IF(B1813="","",TRIM(LOWER(C1813)&amp;"|"&amp;LOWER(D1813)))</f>
        <v/>
      </c>
    </row>
    <row r="1814">
      <c r="A1814" s="11">
        <f>IF(B1814="","",TEXT(ROW()-3,"""DC-""0000"))</f>
        <v/>
      </c>
      <c r="B1814" s="5" t="n"/>
      <c r="C1814" s="5" t="n"/>
      <c r="D1814" s="5" t="n"/>
      <c r="E1814" s="5" t="n"/>
      <c r="F1814" s="5" t="n"/>
      <c r="G1814" s="5" t="n"/>
      <c r="H1814" s="8" t="n"/>
      <c r="I1814" s="8" t="n"/>
      <c r="J1814" s="8" t="n"/>
      <c r="K1814" s="11">
        <f>IF(B1814="","",MAX(0,IFERROR(I1814,0)*IFERROR(H1814,0)-IFERROR(J1814,0)))</f>
        <v/>
      </c>
      <c r="L1814" s="8" t="n"/>
      <c r="M1814" s="11">
        <f>IF(B1814="","",MAX(0,K1814-L1814))</f>
        <v/>
      </c>
      <c r="N1814" s="11">
        <f>IF(B1814="","",IF(L1814&gt;=K1814,"Paid",IF(L1814&gt;0,"Partial","Unpaid")))</f>
        <v/>
      </c>
      <c r="O1814" s="5" t="n"/>
      <c r="P1814" s="8" t="n"/>
      <c r="Q1814" s="8" t="n"/>
      <c r="R1814" s="11">
        <f>IF(B1814="","",IFERROR(K1814,0)+IFERROR(P1814,0)-IFERROR(Q1814,0))</f>
        <v/>
      </c>
      <c r="S1814" s="5" t="n"/>
      <c r="T1814" s="5" t="n"/>
      <c r="U1814" s="11">
        <f>IF(B1814="","",TRIM(LOWER(C1814)&amp;"|"&amp;LOWER(D1814)))</f>
        <v/>
      </c>
    </row>
    <row r="1815">
      <c r="A1815" s="11">
        <f>IF(B1815="","",TEXT(ROW()-3,"""DC-""0000"))</f>
        <v/>
      </c>
      <c r="B1815" s="5" t="n"/>
      <c r="C1815" s="5" t="n"/>
      <c r="D1815" s="5" t="n"/>
      <c r="E1815" s="5" t="n"/>
      <c r="F1815" s="5" t="n"/>
      <c r="G1815" s="5" t="n"/>
      <c r="H1815" s="8" t="n"/>
      <c r="I1815" s="8" t="n"/>
      <c r="J1815" s="8" t="n"/>
      <c r="K1815" s="11">
        <f>IF(B1815="","",MAX(0,IFERROR(I1815,0)*IFERROR(H1815,0)-IFERROR(J1815,0)))</f>
        <v/>
      </c>
      <c r="L1815" s="8" t="n"/>
      <c r="M1815" s="11">
        <f>IF(B1815="","",MAX(0,K1815-L1815))</f>
        <v/>
      </c>
      <c r="N1815" s="11">
        <f>IF(B1815="","",IF(L1815&gt;=K1815,"Paid",IF(L1815&gt;0,"Partial","Unpaid")))</f>
        <v/>
      </c>
      <c r="O1815" s="5" t="n"/>
      <c r="P1815" s="8" t="n"/>
      <c r="Q1815" s="8" t="n"/>
      <c r="R1815" s="11">
        <f>IF(B1815="","",IFERROR(K1815,0)+IFERROR(P1815,0)-IFERROR(Q1815,0))</f>
        <v/>
      </c>
      <c r="S1815" s="5" t="n"/>
      <c r="T1815" s="5" t="n"/>
      <c r="U1815" s="11">
        <f>IF(B1815="","",TRIM(LOWER(C1815)&amp;"|"&amp;LOWER(D1815)))</f>
        <v/>
      </c>
    </row>
    <row r="1816">
      <c r="A1816" s="11">
        <f>IF(B1816="","",TEXT(ROW()-3,"""DC-""0000"))</f>
        <v/>
      </c>
      <c r="B1816" s="5" t="n"/>
      <c r="C1816" s="5" t="n"/>
      <c r="D1816" s="5" t="n"/>
      <c r="E1816" s="5" t="n"/>
      <c r="F1816" s="5" t="n"/>
      <c r="G1816" s="5" t="n"/>
      <c r="H1816" s="8" t="n"/>
      <c r="I1816" s="8" t="n"/>
      <c r="J1816" s="8" t="n"/>
      <c r="K1816" s="11">
        <f>IF(B1816="","",MAX(0,IFERROR(I1816,0)*IFERROR(H1816,0)-IFERROR(J1816,0)))</f>
        <v/>
      </c>
      <c r="L1816" s="8" t="n"/>
      <c r="M1816" s="11">
        <f>IF(B1816="","",MAX(0,K1816-L1816))</f>
        <v/>
      </c>
      <c r="N1816" s="11">
        <f>IF(B1816="","",IF(L1816&gt;=K1816,"Paid",IF(L1816&gt;0,"Partial","Unpaid")))</f>
        <v/>
      </c>
      <c r="O1816" s="5" t="n"/>
      <c r="P1816" s="8" t="n"/>
      <c r="Q1816" s="8" t="n"/>
      <c r="R1816" s="11">
        <f>IF(B1816="","",IFERROR(K1816,0)+IFERROR(P1816,0)-IFERROR(Q1816,0))</f>
        <v/>
      </c>
      <c r="S1816" s="5" t="n"/>
      <c r="T1816" s="5" t="n"/>
      <c r="U1816" s="11">
        <f>IF(B1816="","",TRIM(LOWER(C1816)&amp;"|"&amp;LOWER(D1816)))</f>
        <v/>
      </c>
    </row>
    <row r="1817">
      <c r="A1817" s="11">
        <f>IF(B1817="","",TEXT(ROW()-3,"""DC-""0000"))</f>
        <v/>
      </c>
      <c r="B1817" s="5" t="n"/>
      <c r="C1817" s="5" t="n"/>
      <c r="D1817" s="5" t="n"/>
      <c r="E1817" s="5" t="n"/>
      <c r="F1817" s="5" t="n"/>
      <c r="G1817" s="5" t="n"/>
      <c r="H1817" s="8" t="n"/>
      <c r="I1817" s="8" t="n"/>
      <c r="J1817" s="8" t="n"/>
      <c r="K1817" s="11">
        <f>IF(B1817="","",MAX(0,IFERROR(I1817,0)*IFERROR(H1817,0)-IFERROR(J1817,0)))</f>
        <v/>
      </c>
      <c r="L1817" s="8" t="n"/>
      <c r="M1817" s="11">
        <f>IF(B1817="","",MAX(0,K1817-L1817))</f>
        <v/>
      </c>
      <c r="N1817" s="11">
        <f>IF(B1817="","",IF(L1817&gt;=K1817,"Paid",IF(L1817&gt;0,"Partial","Unpaid")))</f>
        <v/>
      </c>
      <c r="O1817" s="5" t="n"/>
      <c r="P1817" s="8" t="n"/>
      <c r="Q1817" s="8" t="n"/>
      <c r="R1817" s="11">
        <f>IF(B1817="","",IFERROR(K1817,0)+IFERROR(P1817,0)-IFERROR(Q1817,0))</f>
        <v/>
      </c>
      <c r="S1817" s="5" t="n"/>
      <c r="T1817" s="5" t="n"/>
      <c r="U1817" s="11">
        <f>IF(B1817="","",TRIM(LOWER(C1817)&amp;"|"&amp;LOWER(D1817)))</f>
        <v/>
      </c>
    </row>
    <row r="1818">
      <c r="A1818" s="11">
        <f>IF(B1818="","",TEXT(ROW()-3,"""DC-""0000"))</f>
        <v/>
      </c>
      <c r="B1818" s="5" t="n"/>
      <c r="C1818" s="5" t="n"/>
      <c r="D1818" s="5" t="n"/>
      <c r="E1818" s="5" t="n"/>
      <c r="F1818" s="5" t="n"/>
      <c r="G1818" s="5" t="n"/>
      <c r="H1818" s="8" t="n"/>
      <c r="I1818" s="8" t="n"/>
      <c r="J1818" s="8" t="n"/>
      <c r="K1818" s="11">
        <f>IF(B1818="","",MAX(0,IFERROR(I1818,0)*IFERROR(H1818,0)-IFERROR(J1818,0)))</f>
        <v/>
      </c>
      <c r="L1818" s="8" t="n"/>
      <c r="M1818" s="11">
        <f>IF(B1818="","",MAX(0,K1818-L1818))</f>
        <v/>
      </c>
      <c r="N1818" s="11">
        <f>IF(B1818="","",IF(L1818&gt;=K1818,"Paid",IF(L1818&gt;0,"Partial","Unpaid")))</f>
        <v/>
      </c>
      <c r="O1818" s="5" t="n"/>
      <c r="P1818" s="8" t="n"/>
      <c r="Q1818" s="8" t="n"/>
      <c r="R1818" s="11">
        <f>IF(B1818="","",IFERROR(K1818,0)+IFERROR(P1818,0)-IFERROR(Q1818,0))</f>
        <v/>
      </c>
      <c r="S1818" s="5" t="n"/>
      <c r="T1818" s="5" t="n"/>
      <c r="U1818" s="11">
        <f>IF(B1818="","",TRIM(LOWER(C1818)&amp;"|"&amp;LOWER(D1818)))</f>
        <v/>
      </c>
    </row>
    <row r="1819">
      <c r="A1819" s="11">
        <f>IF(B1819="","",TEXT(ROW()-3,"""DC-""0000"))</f>
        <v/>
      </c>
      <c r="B1819" s="5" t="n"/>
      <c r="C1819" s="5" t="n"/>
      <c r="D1819" s="5" t="n"/>
      <c r="E1819" s="5" t="n"/>
      <c r="F1819" s="5" t="n"/>
      <c r="G1819" s="5" t="n"/>
      <c r="H1819" s="8" t="n"/>
      <c r="I1819" s="8" t="n"/>
      <c r="J1819" s="8" t="n"/>
      <c r="K1819" s="11">
        <f>IF(B1819="","",MAX(0,IFERROR(I1819,0)*IFERROR(H1819,0)-IFERROR(J1819,0)))</f>
        <v/>
      </c>
      <c r="L1819" s="8" t="n"/>
      <c r="M1819" s="11">
        <f>IF(B1819="","",MAX(0,K1819-L1819))</f>
        <v/>
      </c>
      <c r="N1819" s="11">
        <f>IF(B1819="","",IF(L1819&gt;=K1819,"Paid",IF(L1819&gt;0,"Partial","Unpaid")))</f>
        <v/>
      </c>
      <c r="O1819" s="5" t="n"/>
      <c r="P1819" s="8" t="n"/>
      <c r="Q1819" s="8" t="n"/>
      <c r="R1819" s="11">
        <f>IF(B1819="","",IFERROR(K1819,0)+IFERROR(P1819,0)-IFERROR(Q1819,0))</f>
        <v/>
      </c>
      <c r="S1819" s="5" t="n"/>
      <c r="T1819" s="5" t="n"/>
      <c r="U1819" s="11">
        <f>IF(B1819="","",TRIM(LOWER(C1819)&amp;"|"&amp;LOWER(D1819)))</f>
        <v/>
      </c>
    </row>
    <row r="1820">
      <c r="A1820" s="11">
        <f>IF(B1820="","",TEXT(ROW()-3,"""DC-""0000"))</f>
        <v/>
      </c>
      <c r="B1820" s="5" t="n"/>
      <c r="C1820" s="5" t="n"/>
      <c r="D1820" s="5" t="n"/>
      <c r="E1820" s="5" t="n"/>
      <c r="F1820" s="5" t="n"/>
      <c r="G1820" s="5" t="n"/>
      <c r="H1820" s="8" t="n"/>
      <c r="I1820" s="8" t="n"/>
      <c r="J1820" s="8" t="n"/>
      <c r="K1820" s="11">
        <f>IF(B1820="","",MAX(0,IFERROR(I1820,0)*IFERROR(H1820,0)-IFERROR(J1820,0)))</f>
        <v/>
      </c>
      <c r="L1820" s="8" t="n"/>
      <c r="M1820" s="11">
        <f>IF(B1820="","",MAX(0,K1820-L1820))</f>
        <v/>
      </c>
      <c r="N1820" s="11">
        <f>IF(B1820="","",IF(L1820&gt;=K1820,"Paid",IF(L1820&gt;0,"Partial","Unpaid")))</f>
        <v/>
      </c>
      <c r="O1820" s="5" t="n"/>
      <c r="P1820" s="8" t="n"/>
      <c r="Q1820" s="8" t="n"/>
      <c r="R1820" s="11">
        <f>IF(B1820="","",IFERROR(K1820,0)+IFERROR(P1820,0)-IFERROR(Q1820,0))</f>
        <v/>
      </c>
      <c r="S1820" s="5" t="n"/>
      <c r="T1820" s="5" t="n"/>
      <c r="U1820" s="11">
        <f>IF(B1820="","",TRIM(LOWER(C1820)&amp;"|"&amp;LOWER(D1820)))</f>
        <v/>
      </c>
    </row>
    <row r="1821">
      <c r="A1821" s="11">
        <f>IF(B1821="","",TEXT(ROW()-3,"""DC-""0000"))</f>
        <v/>
      </c>
      <c r="B1821" s="5" t="n"/>
      <c r="C1821" s="5" t="n"/>
      <c r="D1821" s="5" t="n"/>
      <c r="E1821" s="5" t="n"/>
      <c r="F1821" s="5" t="n"/>
      <c r="G1821" s="5" t="n"/>
      <c r="H1821" s="8" t="n"/>
      <c r="I1821" s="8" t="n"/>
      <c r="J1821" s="8" t="n"/>
      <c r="K1821" s="11">
        <f>IF(B1821="","",MAX(0,IFERROR(I1821,0)*IFERROR(H1821,0)-IFERROR(J1821,0)))</f>
        <v/>
      </c>
      <c r="L1821" s="8" t="n"/>
      <c r="M1821" s="11">
        <f>IF(B1821="","",MAX(0,K1821-L1821))</f>
        <v/>
      </c>
      <c r="N1821" s="11">
        <f>IF(B1821="","",IF(L1821&gt;=K1821,"Paid",IF(L1821&gt;0,"Partial","Unpaid")))</f>
        <v/>
      </c>
      <c r="O1821" s="5" t="n"/>
      <c r="P1821" s="8" t="n"/>
      <c r="Q1821" s="8" t="n"/>
      <c r="R1821" s="11">
        <f>IF(B1821="","",IFERROR(K1821,0)+IFERROR(P1821,0)-IFERROR(Q1821,0))</f>
        <v/>
      </c>
      <c r="S1821" s="5" t="n"/>
      <c r="T1821" s="5" t="n"/>
      <c r="U1821" s="11">
        <f>IF(B1821="","",TRIM(LOWER(C1821)&amp;"|"&amp;LOWER(D1821)))</f>
        <v/>
      </c>
    </row>
    <row r="1822">
      <c r="A1822" s="11">
        <f>IF(B1822="","",TEXT(ROW()-3,"""DC-""0000"))</f>
        <v/>
      </c>
      <c r="B1822" s="5" t="n"/>
      <c r="C1822" s="5" t="n"/>
      <c r="D1822" s="5" t="n"/>
      <c r="E1822" s="5" t="n"/>
      <c r="F1822" s="5" t="n"/>
      <c r="G1822" s="5" t="n"/>
      <c r="H1822" s="8" t="n"/>
      <c r="I1822" s="8" t="n"/>
      <c r="J1822" s="8" t="n"/>
      <c r="K1822" s="11">
        <f>IF(B1822="","",MAX(0,IFERROR(I1822,0)*IFERROR(H1822,0)-IFERROR(J1822,0)))</f>
        <v/>
      </c>
      <c r="L1822" s="8" t="n"/>
      <c r="M1822" s="11">
        <f>IF(B1822="","",MAX(0,K1822-L1822))</f>
        <v/>
      </c>
      <c r="N1822" s="11">
        <f>IF(B1822="","",IF(L1822&gt;=K1822,"Paid",IF(L1822&gt;0,"Partial","Unpaid")))</f>
        <v/>
      </c>
      <c r="O1822" s="5" t="n"/>
      <c r="P1822" s="8" t="n"/>
      <c r="Q1822" s="8" t="n"/>
      <c r="R1822" s="11">
        <f>IF(B1822="","",IFERROR(K1822,0)+IFERROR(P1822,0)-IFERROR(Q1822,0))</f>
        <v/>
      </c>
      <c r="S1822" s="5" t="n"/>
      <c r="T1822" s="5" t="n"/>
      <c r="U1822" s="11">
        <f>IF(B1822="","",TRIM(LOWER(C1822)&amp;"|"&amp;LOWER(D1822)))</f>
        <v/>
      </c>
    </row>
    <row r="1823">
      <c r="A1823" s="11">
        <f>IF(B1823="","",TEXT(ROW()-3,"""DC-""0000"))</f>
        <v/>
      </c>
      <c r="B1823" s="5" t="n"/>
      <c r="C1823" s="5" t="n"/>
      <c r="D1823" s="5" t="n"/>
      <c r="E1823" s="5" t="n"/>
      <c r="F1823" s="5" t="n"/>
      <c r="G1823" s="5" t="n"/>
      <c r="H1823" s="8" t="n"/>
      <c r="I1823" s="8" t="n"/>
      <c r="J1823" s="8" t="n"/>
      <c r="K1823" s="11">
        <f>IF(B1823="","",MAX(0,IFERROR(I1823,0)*IFERROR(H1823,0)-IFERROR(J1823,0)))</f>
        <v/>
      </c>
      <c r="L1823" s="8" t="n"/>
      <c r="M1823" s="11">
        <f>IF(B1823="","",MAX(0,K1823-L1823))</f>
        <v/>
      </c>
      <c r="N1823" s="11">
        <f>IF(B1823="","",IF(L1823&gt;=K1823,"Paid",IF(L1823&gt;0,"Partial","Unpaid")))</f>
        <v/>
      </c>
      <c r="O1823" s="5" t="n"/>
      <c r="P1823" s="8" t="n"/>
      <c r="Q1823" s="8" t="n"/>
      <c r="R1823" s="11">
        <f>IF(B1823="","",IFERROR(K1823,0)+IFERROR(P1823,0)-IFERROR(Q1823,0))</f>
        <v/>
      </c>
      <c r="S1823" s="5" t="n"/>
      <c r="T1823" s="5" t="n"/>
      <c r="U1823" s="11">
        <f>IF(B1823="","",TRIM(LOWER(C1823)&amp;"|"&amp;LOWER(D1823)))</f>
        <v/>
      </c>
    </row>
    <row r="1824">
      <c r="A1824" s="11">
        <f>IF(B1824="","",TEXT(ROW()-3,"""DC-""0000"))</f>
        <v/>
      </c>
      <c r="B1824" s="5" t="n"/>
      <c r="C1824" s="5" t="n"/>
      <c r="D1824" s="5" t="n"/>
      <c r="E1824" s="5" t="n"/>
      <c r="F1824" s="5" t="n"/>
      <c r="G1824" s="5" t="n"/>
      <c r="H1824" s="8" t="n"/>
      <c r="I1824" s="8" t="n"/>
      <c r="J1824" s="8" t="n"/>
      <c r="K1824" s="11">
        <f>IF(B1824="","",MAX(0,IFERROR(I1824,0)*IFERROR(H1824,0)-IFERROR(J1824,0)))</f>
        <v/>
      </c>
      <c r="L1824" s="8" t="n"/>
      <c r="M1824" s="11">
        <f>IF(B1824="","",MAX(0,K1824-L1824))</f>
        <v/>
      </c>
      <c r="N1824" s="11">
        <f>IF(B1824="","",IF(L1824&gt;=K1824,"Paid",IF(L1824&gt;0,"Partial","Unpaid")))</f>
        <v/>
      </c>
      <c r="O1824" s="5" t="n"/>
      <c r="P1824" s="8" t="n"/>
      <c r="Q1824" s="8" t="n"/>
      <c r="R1824" s="11">
        <f>IF(B1824="","",IFERROR(K1824,0)+IFERROR(P1824,0)-IFERROR(Q1824,0))</f>
        <v/>
      </c>
      <c r="S1824" s="5" t="n"/>
      <c r="T1824" s="5" t="n"/>
      <c r="U1824" s="11">
        <f>IF(B1824="","",TRIM(LOWER(C1824)&amp;"|"&amp;LOWER(D1824)))</f>
        <v/>
      </c>
    </row>
    <row r="1825">
      <c r="A1825" s="11">
        <f>IF(B1825="","",TEXT(ROW()-3,"""DC-""0000"))</f>
        <v/>
      </c>
      <c r="B1825" s="5" t="n"/>
      <c r="C1825" s="5" t="n"/>
      <c r="D1825" s="5" t="n"/>
      <c r="E1825" s="5" t="n"/>
      <c r="F1825" s="5" t="n"/>
      <c r="G1825" s="5" t="n"/>
      <c r="H1825" s="8" t="n"/>
      <c r="I1825" s="8" t="n"/>
      <c r="J1825" s="8" t="n"/>
      <c r="K1825" s="11">
        <f>IF(B1825="","",MAX(0,IFERROR(I1825,0)*IFERROR(H1825,0)-IFERROR(J1825,0)))</f>
        <v/>
      </c>
      <c r="L1825" s="8" t="n"/>
      <c r="M1825" s="11">
        <f>IF(B1825="","",MAX(0,K1825-L1825))</f>
        <v/>
      </c>
      <c r="N1825" s="11">
        <f>IF(B1825="","",IF(L1825&gt;=K1825,"Paid",IF(L1825&gt;0,"Partial","Unpaid")))</f>
        <v/>
      </c>
      <c r="O1825" s="5" t="n"/>
      <c r="P1825" s="8" t="n"/>
      <c r="Q1825" s="8" t="n"/>
      <c r="R1825" s="11">
        <f>IF(B1825="","",IFERROR(K1825,0)+IFERROR(P1825,0)-IFERROR(Q1825,0))</f>
        <v/>
      </c>
      <c r="S1825" s="5" t="n"/>
      <c r="T1825" s="5" t="n"/>
      <c r="U1825" s="11">
        <f>IF(B1825="","",TRIM(LOWER(C1825)&amp;"|"&amp;LOWER(D1825)))</f>
        <v/>
      </c>
    </row>
    <row r="1826">
      <c r="A1826" s="11">
        <f>IF(B1826="","",TEXT(ROW()-3,"""DC-""0000"))</f>
        <v/>
      </c>
      <c r="B1826" s="5" t="n"/>
      <c r="C1826" s="5" t="n"/>
      <c r="D1826" s="5" t="n"/>
      <c r="E1826" s="5" t="n"/>
      <c r="F1826" s="5" t="n"/>
      <c r="G1826" s="5" t="n"/>
      <c r="H1826" s="8" t="n"/>
      <c r="I1826" s="8" t="n"/>
      <c r="J1826" s="8" t="n"/>
      <c r="K1826" s="11">
        <f>IF(B1826="","",MAX(0,IFERROR(I1826,0)*IFERROR(H1826,0)-IFERROR(J1826,0)))</f>
        <v/>
      </c>
      <c r="L1826" s="8" t="n"/>
      <c r="M1826" s="11">
        <f>IF(B1826="","",MAX(0,K1826-L1826))</f>
        <v/>
      </c>
      <c r="N1826" s="11">
        <f>IF(B1826="","",IF(L1826&gt;=K1826,"Paid",IF(L1826&gt;0,"Partial","Unpaid")))</f>
        <v/>
      </c>
      <c r="O1826" s="5" t="n"/>
      <c r="P1826" s="8" t="n"/>
      <c r="Q1826" s="8" t="n"/>
      <c r="R1826" s="11">
        <f>IF(B1826="","",IFERROR(K1826,0)+IFERROR(P1826,0)-IFERROR(Q1826,0))</f>
        <v/>
      </c>
      <c r="S1826" s="5" t="n"/>
      <c r="T1826" s="5" t="n"/>
      <c r="U1826" s="11">
        <f>IF(B1826="","",TRIM(LOWER(C1826)&amp;"|"&amp;LOWER(D1826)))</f>
        <v/>
      </c>
    </row>
    <row r="1827">
      <c r="A1827" s="11">
        <f>IF(B1827="","",TEXT(ROW()-3,"""DC-""0000"))</f>
        <v/>
      </c>
      <c r="B1827" s="5" t="n"/>
      <c r="C1827" s="5" t="n"/>
      <c r="D1827" s="5" t="n"/>
      <c r="E1827" s="5" t="n"/>
      <c r="F1827" s="5" t="n"/>
      <c r="G1827" s="5" t="n"/>
      <c r="H1827" s="8" t="n"/>
      <c r="I1827" s="8" t="n"/>
      <c r="J1827" s="8" t="n"/>
      <c r="K1827" s="11">
        <f>IF(B1827="","",MAX(0,IFERROR(I1827,0)*IFERROR(H1827,0)-IFERROR(J1827,0)))</f>
        <v/>
      </c>
      <c r="L1827" s="8" t="n"/>
      <c r="M1827" s="11">
        <f>IF(B1827="","",MAX(0,K1827-L1827))</f>
        <v/>
      </c>
      <c r="N1827" s="11">
        <f>IF(B1827="","",IF(L1827&gt;=K1827,"Paid",IF(L1827&gt;0,"Partial","Unpaid")))</f>
        <v/>
      </c>
      <c r="O1827" s="5" t="n"/>
      <c r="P1827" s="8" t="n"/>
      <c r="Q1827" s="8" t="n"/>
      <c r="R1827" s="11">
        <f>IF(B1827="","",IFERROR(K1827,0)+IFERROR(P1827,0)-IFERROR(Q1827,0))</f>
        <v/>
      </c>
      <c r="S1827" s="5" t="n"/>
      <c r="T1827" s="5" t="n"/>
      <c r="U1827" s="11">
        <f>IF(B1827="","",TRIM(LOWER(C1827)&amp;"|"&amp;LOWER(D1827)))</f>
        <v/>
      </c>
    </row>
    <row r="1828">
      <c r="A1828" s="11">
        <f>IF(B1828="","",TEXT(ROW()-3,"""DC-""0000"))</f>
        <v/>
      </c>
      <c r="B1828" s="5" t="n"/>
      <c r="C1828" s="5" t="n"/>
      <c r="D1828" s="5" t="n"/>
      <c r="E1828" s="5" t="n"/>
      <c r="F1828" s="5" t="n"/>
      <c r="G1828" s="5" t="n"/>
      <c r="H1828" s="8" t="n"/>
      <c r="I1828" s="8" t="n"/>
      <c r="J1828" s="8" t="n"/>
      <c r="K1828" s="11">
        <f>IF(B1828="","",MAX(0,IFERROR(I1828,0)*IFERROR(H1828,0)-IFERROR(J1828,0)))</f>
        <v/>
      </c>
      <c r="L1828" s="8" t="n"/>
      <c r="M1828" s="11">
        <f>IF(B1828="","",MAX(0,K1828-L1828))</f>
        <v/>
      </c>
      <c r="N1828" s="11">
        <f>IF(B1828="","",IF(L1828&gt;=K1828,"Paid",IF(L1828&gt;0,"Partial","Unpaid")))</f>
        <v/>
      </c>
      <c r="O1828" s="5" t="n"/>
      <c r="P1828" s="8" t="n"/>
      <c r="Q1828" s="8" t="n"/>
      <c r="R1828" s="11">
        <f>IF(B1828="","",IFERROR(K1828,0)+IFERROR(P1828,0)-IFERROR(Q1828,0))</f>
        <v/>
      </c>
      <c r="S1828" s="5" t="n"/>
      <c r="T1828" s="5" t="n"/>
      <c r="U1828" s="11">
        <f>IF(B1828="","",TRIM(LOWER(C1828)&amp;"|"&amp;LOWER(D1828)))</f>
        <v/>
      </c>
    </row>
    <row r="1829">
      <c r="A1829" s="11">
        <f>IF(B1829="","",TEXT(ROW()-3,"""DC-""0000"))</f>
        <v/>
      </c>
      <c r="B1829" s="5" t="n"/>
      <c r="C1829" s="5" t="n"/>
      <c r="D1829" s="5" t="n"/>
      <c r="E1829" s="5" t="n"/>
      <c r="F1829" s="5" t="n"/>
      <c r="G1829" s="5" t="n"/>
      <c r="H1829" s="8" t="n"/>
      <c r="I1829" s="8" t="n"/>
      <c r="J1829" s="8" t="n"/>
      <c r="K1829" s="11">
        <f>IF(B1829="","",MAX(0,IFERROR(I1829,0)*IFERROR(H1829,0)-IFERROR(J1829,0)))</f>
        <v/>
      </c>
      <c r="L1829" s="8" t="n"/>
      <c r="M1829" s="11">
        <f>IF(B1829="","",MAX(0,K1829-L1829))</f>
        <v/>
      </c>
      <c r="N1829" s="11">
        <f>IF(B1829="","",IF(L1829&gt;=K1829,"Paid",IF(L1829&gt;0,"Partial","Unpaid")))</f>
        <v/>
      </c>
      <c r="O1829" s="5" t="n"/>
      <c r="P1829" s="8" t="n"/>
      <c r="Q1829" s="8" t="n"/>
      <c r="R1829" s="11">
        <f>IF(B1829="","",IFERROR(K1829,0)+IFERROR(P1829,0)-IFERROR(Q1829,0))</f>
        <v/>
      </c>
      <c r="S1829" s="5" t="n"/>
      <c r="T1829" s="5" t="n"/>
      <c r="U1829" s="11">
        <f>IF(B1829="","",TRIM(LOWER(C1829)&amp;"|"&amp;LOWER(D1829)))</f>
        <v/>
      </c>
    </row>
    <row r="1830">
      <c r="A1830" s="11">
        <f>IF(B1830="","",TEXT(ROW()-3,"""DC-""0000"))</f>
        <v/>
      </c>
      <c r="B1830" s="5" t="n"/>
      <c r="C1830" s="5" t="n"/>
      <c r="D1830" s="5" t="n"/>
      <c r="E1830" s="5" t="n"/>
      <c r="F1830" s="5" t="n"/>
      <c r="G1830" s="5" t="n"/>
      <c r="H1830" s="8" t="n"/>
      <c r="I1830" s="8" t="n"/>
      <c r="J1830" s="8" t="n"/>
      <c r="K1830" s="11">
        <f>IF(B1830="","",MAX(0,IFERROR(I1830,0)*IFERROR(H1830,0)-IFERROR(J1830,0)))</f>
        <v/>
      </c>
      <c r="L1830" s="8" t="n"/>
      <c r="M1830" s="11">
        <f>IF(B1830="","",MAX(0,K1830-L1830))</f>
        <v/>
      </c>
      <c r="N1830" s="11">
        <f>IF(B1830="","",IF(L1830&gt;=K1830,"Paid",IF(L1830&gt;0,"Partial","Unpaid")))</f>
        <v/>
      </c>
      <c r="O1830" s="5" t="n"/>
      <c r="P1830" s="8" t="n"/>
      <c r="Q1830" s="8" t="n"/>
      <c r="R1830" s="11">
        <f>IF(B1830="","",IFERROR(K1830,0)+IFERROR(P1830,0)-IFERROR(Q1830,0))</f>
        <v/>
      </c>
      <c r="S1830" s="5" t="n"/>
      <c r="T1830" s="5" t="n"/>
      <c r="U1830" s="11">
        <f>IF(B1830="","",TRIM(LOWER(C1830)&amp;"|"&amp;LOWER(D1830)))</f>
        <v/>
      </c>
    </row>
    <row r="1831">
      <c r="A1831" s="11">
        <f>IF(B1831="","",TEXT(ROW()-3,"""DC-""0000"))</f>
        <v/>
      </c>
      <c r="B1831" s="5" t="n"/>
      <c r="C1831" s="5" t="n"/>
      <c r="D1831" s="5" t="n"/>
      <c r="E1831" s="5" t="n"/>
      <c r="F1831" s="5" t="n"/>
      <c r="G1831" s="5" t="n"/>
      <c r="H1831" s="8" t="n"/>
      <c r="I1831" s="8" t="n"/>
      <c r="J1831" s="8" t="n"/>
      <c r="K1831" s="11">
        <f>IF(B1831="","",MAX(0,IFERROR(I1831,0)*IFERROR(H1831,0)-IFERROR(J1831,0)))</f>
        <v/>
      </c>
      <c r="L1831" s="8" t="n"/>
      <c r="M1831" s="11">
        <f>IF(B1831="","",MAX(0,K1831-L1831))</f>
        <v/>
      </c>
      <c r="N1831" s="11">
        <f>IF(B1831="","",IF(L1831&gt;=K1831,"Paid",IF(L1831&gt;0,"Partial","Unpaid")))</f>
        <v/>
      </c>
      <c r="O1831" s="5" t="n"/>
      <c r="P1831" s="8" t="n"/>
      <c r="Q1831" s="8" t="n"/>
      <c r="R1831" s="11">
        <f>IF(B1831="","",IFERROR(K1831,0)+IFERROR(P1831,0)-IFERROR(Q1831,0))</f>
        <v/>
      </c>
      <c r="S1831" s="5" t="n"/>
      <c r="T1831" s="5" t="n"/>
      <c r="U1831" s="11">
        <f>IF(B1831="","",TRIM(LOWER(C1831)&amp;"|"&amp;LOWER(D1831)))</f>
        <v/>
      </c>
    </row>
    <row r="1832">
      <c r="A1832" s="11">
        <f>IF(B1832="","",TEXT(ROW()-3,"""DC-""0000"))</f>
        <v/>
      </c>
      <c r="B1832" s="5" t="n"/>
      <c r="C1832" s="5" t="n"/>
      <c r="D1832" s="5" t="n"/>
      <c r="E1832" s="5" t="n"/>
      <c r="F1832" s="5" t="n"/>
      <c r="G1832" s="5" t="n"/>
      <c r="H1832" s="8" t="n"/>
      <c r="I1832" s="8" t="n"/>
      <c r="J1832" s="8" t="n"/>
      <c r="K1832" s="11">
        <f>IF(B1832="","",MAX(0,IFERROR(I1832,0)*IFERROR(H1832,0)-IFERROR(J1832,0)))</f>
        <v/>
      </c>
      <c r="L1832" s="8" t="n"/>
      <c r="M1832" s="11">
        <f>IF(B1832="","",MAX(0,K1832-L1832))</f>
        <v/>
      </c>
      <c r="N1832" s="11">
        <f>IF(B1832="","",IF(L1832&gt;=K1832,"Paid",IF(L1832&gt;0,"Partial","Unpaid")))</f>
        <v/>
      </c>
      <c r="O1832" s="5" t="n"/>
      <c r="P1832" s="8" t="n"/>
      <c r="Q1832" s="8" t="n"/>
      <c r="R1832" s="11">
        <f>IF(B1832="","",IFERROR(K1832,0)+IFERROR(P1832,0)-IFERROR(Q1832,0))</f>
        <v/>
      </c>
      <c r="S1832" s="5" t="n"/>
      <c r="T1832" s="5" t="n"/>
      <c r="U1832" s="11">
        <f>IF(B1832="","",TRIM(LOWER(C1832)&amp;"|"&amp;LOWER(D1832)))</f>
        <v/>
      </c>
    </row>
    <row r="1833">
      <c r="A1833" s="11">
        <f>IF(B1833="","",TEXT(ROW()-3,"""DC-""0000"))</f>
        <v/>
      </c>
      <c r="B1833" s="5" t="n"/>
      <c r="C1833" s="5" t="n"/>
      <c r="D1833" s="5" t="n"/>
      <c r="E1833" s="5" t="n"/>
      <c r="F1833" s="5" t="n"/>
      <c r="G1833" s="5" t="n"/>
      <c r="H1833" s="8" t="n"/>
      <c r="I1833" s="8" t="n"/>
      <c r="J1833" s="8" t="n"/>
      <c r="K1833" s="11">
        <f>IF(B1833="","",MAX(0,IFERROR(I1833,0)*IFERROR(H1833,0)-IFERROR(J1833,0)))</f>
        <v/>
      </c>
      <c r="L1833" s="8" t="n"/>
      <c r="M1833" s="11">
        <f>IF(B1833="","",MAX(0,K1833-L1833))</f>
        <v/>
      </c>
      <c r="N1833" s="11">
        <f>IF(B1833="","",IF(L1833&gt;=K1833,"Paid",IF(L1833&gt;0,"Partial","Unpaid")))</f>
        <v/>
      </c>
      <c r="O1833" s="5" t="n"/>
      <c r="P1833" s="8" t="n"/>
      <c r="Q1833" s="8" t="n"/>
      <c r="R1833" s="11">
        <f>IF(B1833="","",IFERROR(K1833,0)+IFERROR(P1833,0)-IFERROR(Q1833,0))</f>
        <v/>
      </c>
      <c r="S1833" s="5" t="n"/>
      <c r="T1833" s="5" t="n"/>
      <c r="U1833" s="11">
        <f>IF(B1833="","",TRIM(LOWER(C1833)&amp;"|"&amp;LOWER(D1833)))</f>
        <v/>
      </c>
    </row>
    <row r="1834">
      <c r="A1834" s="11">
        <f>IF(B1834="","",TEXT(ROW()-3,"""DC-""0000"))</f>
        <v/>
      </c>
      <c r="B1834" s="5" t="n"/>
      <c r="C1834" s="5" t="n"/>
      <c r="D1834" s="5" t="n"/>
      <c r="E1834" s="5" t="n"/>
      <c r="F1834" s="5" t="n"/>
      <c r="G1834" s="5" t="n"/>
      <c r="H1834" s="8" t="n"/>
      <c r="I1834" s="8" t="n"/>
      <c r="J1834" s="8" t="n"/>
      <c r="K1834" s="11">
        <f>IF(B1834="","",MAX(0,IFERROR(I1834,0)*IFERROR(H1834,0)-IFERROR(J1834,0)))</f>
        <v/>
      </c>
      <c r="L1834" s="8" t="n"/>
      <c r="M1834" s="11">
        <f>IF(B1834="","",MAX(0,K1834-L1834))</f>
        <v/>
      </c>
      <c r="N1834" s="11">
        <f>IF(B1834="","",IF(L1834&gt;=K1834,"Paid",IF(L1834&gt;0,"Partial","Unpaid")))</f>
        <v/>
      </c>
      <c r="O1834" s="5" t="n"/>
      <c r="P1834" s="8" t="n"/>
      <c r="Q1834" s="8" t="n"/>
      <c r="R1834" s="11">
        <f>IF(B1834="","",IFERROR(K1834,0)+IFERROR(P1834,0)-IFERROR(Q1834,0))</f>
        <v/>
      </c>
      <c r="S1834" s="5" t="n"/>
      <c r="T1834" s="5" t="n"/>
      <c r="U1834" s="11">
        <f>IF(B1834="","",TRIM(LOWER(C1834)&amp;"|"&amp;LOWER(D1834)))</f>
        <v/>
      </c>
    </row>
    <row r="1835">
      <c r="A1835" s="11">
        <f>IF(B1835="","",TEXT(ROW()-3,"""DC-""0000"))</f>
        <v/>
      </c>
      <c r="B1835" s="5" t="n"/>
      <c r="C1835" s="5" t="n"/>
      <c r="D1835" s="5" t="n"/>
      <c r="E1835" s="5" t="n"/>
      <c r="F1835" s="5" t="n"/>
      <c r="G1835" s="5" t="n"/>
      <c r="H1835" s="8" t="n"/>
      <c r="I1835" s="8" t="n"/>
      <c r="J1835" s="8" t="n"/>
      <c r="K1835" s="11">
        <f>IF(B1835="","",MAX(0,IFERROR(I1835,0)*IFERROR(H1835,0)-IFERROR(J1835,0)))</f>
        <v/>
      </c>
      <c r="L1835" s="8" t="n"/>
      <c r="M1835" s="11">
        <f>IF(B1835="","",MAX(0,K1835-L1835))</f>
        <v/>
      </c>
      <c r="N1835" s="11">
        <f>IF(B1835="","",IF(L1835&gt;=K1835,"Paid",IF(L1835&gt;0,"Partial","Unpaid")))</f>
        <v/>
      </c>
      <c r="O1835" s="5" t="n"/>
      <c r="P1835" s="8" t="n"/>
      <c r="Q1835" s="8" t="n"/>
      <c r="R1835" s="11">
        <f>IF(B1835="","",IFERROR(K1835,0)+IFERROR(P1835,0)-IFERROR(Q1835,0))</f>
        <v/>
      </c>
      <c r="S1835" s="5" t="n"/>
      <c r="T1835" s="5" t="n"/>
      <c r="U1835" s="11">
        <f>IF(B1835="","",TRIM(LOWER(C1835)&amp;"|"&amp;LOWER(D1835)))</f>
        <v/>
      </c>
    </row>
    <row r="1836">
      <c r="A1836" s="11">
        <f>IF(B1836="","",TEXT(ROW()-3,"""DC-""0000"))</f>
        <v/>
      </c>
      <c r="B1836" s="5" t="n"/>
      <c r="C1836" s="5" t="n"/>
      <c r="D1836" s="5" t="n"/>
      <c r="E1836" s="5" t="n"/>
      <c r="F1836" s="5" t="n"/>
      <c r="G1836" s="5" t="n"/>
      <c r="H1836" s="8" t="n"/>
      <c r="I1836" s="8" t="n"/>
      <c r="J1836" s="8" t="n"/>
      <c r="K1836" s="11">
        <f>IF(B1836="","",MAX(0,IFERROR(I1836,0)*IFERROR(H1836,0)-IFERROR(J1836,0)))</f>
        <v/>
      </c>
      <c r="L1836" s="8" t="n"/>
      <c r="M1836" s="11">
        <f>IF(B1836="","",MAX(0,K1836-L1836))</f>
        <v/>
      </c>
      <c r="N1836" s="11">
        <f>IF(B1836="","",IF(L1836&gt;=K1836,"Paid",IF(L1836&gt;0,"Partial","Unpaid")))</f>
        <v/>
      </c>
      <c r="O1836" s="5" t="n"/>
      <c r="P1836" s="8" t="n"/>
      <c r="Q1836" s="8" t="n"/>
      <c r="R1836" s="11">
        <f>IF(B1836="","",IFERROR(K1836,0)+IFERROR(P1836,0)-IFERROR(Q1836,0))</f>
        <v/>
      </c>
      <c r="S1836" s="5" t="n"/>
      <c r="T1836" s="5" t="n"/>
      <c r="U1836" s="11">
        <f>IF(B1836="","",TRIM(LOWER(C1836)&amp;"|"&amp;LOWER(D1836)))</f>
        <v/>
      </c>
    </row>
    <row r="1837">
      <c r="A1837" s="11">
        <f>IF(B1837="","",TEXT(ROW()-3,"""DC-""0000"))</f>
        <v/>
      </c>
      <c r="B1837" s="5" t="n"/>
      <c r="C1837" s="5" t="n"/>
      <c r="D1837" s="5" t="n"/>
      <c r="E1837" s="5" t="n"/>
      <c r="F1837" s="5" t="n"/>
      <c r="G1837" s="5" t="n"/>
      <c r="H1837" s="8" t="n"/>
      <c r="I1837" s="8" t="n"/>
      <c r="J1837" s="8" t="n"/>
      <c r="K1837" s="11">
        <f>IF(B1837="","",MAX(0,IFERROR(I1837,0)*IFERROR(H1837,0)-IFERROR(J1837,0)))</f>
        <v/>
      </c>
      <c r="L1837" s="8" t="n"/>
      <c r="M1837" s="11">
        <f>IF(B1837="","",MAX(0,K1837-L1837))</f>
        <v/>
      </c>
      <c r="N1837" s="11">
        <f>IF(B1837="","",IF(L1837&gt;=K1837,"Paid",IF(L1837&gt;0,"Partial","Unpaid")))</f>
        <v/>
      </c>
      <c r="O1837" s="5" t="n"/>
      <c r="P1837" s="8" t="n"/>
      <c r="Q1837" s="8" t="n"/>
      <c r="R1837" s="11">
        <f>IF(B1837="","",IFERROR(K1837,0)+IFERROR(P1837,0)-IFERROR(Q1837,0))</f>
        <v/>
      </c>
      <c r="S1837" s="5" t="n"/>
      <c r="T1837" s="5" t="n"/>
      <c r="U1837" s="11">
        <f>IF(B1837="","",TRIM(LOWER(C1837)&amp;"|"&amp;LOWER(D1837)))</f>
        <v/>
      </c>
    </row>
    <row r="1838">
      <c r="A1838" s="11">
        <f>IF(B1838="","",TEXT(ROW()-3,"""DC-""0000"))</f>
        <v/>
      </c>
      <c r="B1838" s="5" t="n"/>
      <c r="C1838" s="5" t="n"/>
      <c r="D1838" s="5" t="n"/>
      <c r="E1838" s="5" t="n"/>
      <c r="F1838" s="5" t="n"/>
      <c r="G1838" s="5" t="n"/>
      <c r="H1838" s="8" t="n"/>
      <c r="I1838" s="8" t="n"/>
      <c r="J1838" s="8" t="n"/>
      <c r="K1838" s="11">
        <f>IF(B1838="","",MAX(0,IFERROR(I1838,0)*IFERROR(H1838,0)-IFERROR(J1838,0)))</f>
        <v/>
      </c>
      <c r="L1838" s="8" t="n"/>
      <c r="M1838" s="11">
        <f>IF(B1838="","",MAX(0,K1838-L1838))</f>
        <v/>
      </c>
      <c r="N1838" s="11">
        <f>IF(B1838="","",IF(L1838&gt;=K1838,"Paid",IF(L1838&gt;0,"Partial","Unpaid")))</f>
        <v/>
      </c>
      <c r="O1838" s="5" t="n"/>
      <c r="P1838" s="8" t="n"/>
      <c r="Q1838" s="8" t="n"/>
      <c r="R1838" s="11">
        <f>IF(B1838="","",IFERROR(K1838,0)+IFERROR(P1838,0)-IFERROR(Q1838,0))</f>
        <v/>
      </c>
      <c r="S1838" s="5" t="n"/>
      <c r="T1838" s="5" t="n"/>
      <c r="U1838" s="11">
        <f>IF(B1838="","",TRIM(LOWER(C1838)&amp;"|"&amp;LOWER(D1838)))</f>
        <v/>
      </c>
    </row>
    <row r="1839">
      <c r="A1839" s="11">
        <f>IF(B1839="","",TEXT(ROW()-3,"""DC-""0000"))</f>
        <v/>
      </c>
      <c r="B1839" s="5" t="n"/>
      <c r="C1839" s="5" t="n"/>
      <c r="D1839" s="5" t="n"/>
      <c r="E1839" s="5" t="n"/>
      <c r="F1839" s="5" t="n"/>
      <c r="G1839" s="5" t="n"/>
      <c r="H1839" s="8" t="n"/>
      <c r="I1839" s="8" t="n"/>
      <c r="J1839" s="8" t="n"/>
      <c r="K1839" s="11">
        <f>IF(B1839="","",MAX(0,IFERROR(I1839,0)*IFERROR(H1839,0)-IFERROR(J1839,0)))</f>
        <v/>
      </c>
      <c r="L1839" s="8" t="n"/>
      <c r="M1839" s="11">
        <f>IF(B1839="","",MAX(0,K1839-L1839))</f>
        <v/>
      </c>
      <c r="N1839" s="11">
        <f>IF(B1839="","",IF(L1839&gt;=K1839,"Paid",IF(L1839&gt;0,"Partial","Unpaid")))</f>
        <v/>
      </c>
      <c r="O1839" s="5" t="n"/>
      <c r="P1839" s="8" t="n"/>
      <c r="Q1839" s="8" t="n"/>
      <c r="R1839" s="11">
        <f>IF(B1839="","",IFERROR(K1839,0)+IFERROR(P1839,0)-IFERROR(Q1839,0))</f>
        <v/>
      </c>
      <c r="S1839" s="5" t="n"/>
      <c r="T1839" s="5" t="n"/>
      <c r="U1839" s="11">
        <f>IF(B1839="","",TRIM(LOWER(C1839)&amp;"|"&amp;LOWER(D1839)))</f>
        <v/>
      </c>
    </row>
    <row r="1840">
      <c r="A1840" s="11">
        <f>IF(B1840="","",TEXT(ROW()-3,"""DC-""0000"))</f>
        <v/>
      </c>
      <c r="B1840" s="5" t="n"/>
      <c r="C1840" s="5" t="n"/>
      <c r="D1840" s="5" t="n"/>
      <c r="E1840" s="5" t="n"/>
      <c r="F1840" s="5" t="n"/>
      <c r="G1840" s="5" t="n"/>
      <c r="H1840" s="8" t="n"/>
      <c r="I1840" s="8" t="n"/>
      <c r="J1840" s="8" t="n"/>
      <c r="K1840" s="11">
        <f>IF(B1840="","",MAX(0,IFERROR(I1840,0)*IFERROR(H1840,0)-IFERROR(J1840,0)))</f>
        <v/>
      </c>
      <c r="L1840" s="8" t="n"/>
      <c r="M1840" s="11">
        <f>IF(B1840="","",MAX(0,K1840-L1840))</f>
        <v/>
      </c>
      <c r="N1840" s="11">
        <f>IF(B1840="","",IF(L1840&gt;=K1840,"Paid",IF(L1840&gt;0,"Partial","Unpaid")))</f>
        <v/>
      </c>
      <c r="O1840" s="5" t="n"/>
      <c r="P1840" s="8" t="n"/>
      <c r="Q1840" s="8" t="n"/>
      <c r="R1840" s="11">
        <f>IF(B1840="","",IFERROR(K1840,0)+IFERROR(P1840,0)-IFERROR(Q1840,0))</f>
        <v/>
      </c>
      <c r="S1840" s="5" t="n"/>
      <c r="T1840" s="5" t="n"/>
      <c r="U1840" s="11">
        <f>IF(B1840="","",TRIM(LOWER(C1840)&amp;"|"&amp;LOWER(D1840)))</f>
        <v/>
      </c>
    </row>
    <row r="1841">
      <c r="A1841" s="11">
        <f>IF(B1841="","",TEXT(ROW()-3,"""DC-""0000"))</f>
        <v/>
      </c>
      <c r="B1841" s="5" t="n"/>
      <c r="C1841" s="5" t="n"/>
      <c r="D1841" s="5" t="n"/>
      <c r="E1841" s="5" t="n"/>
      <c r="F1841" s="5" t="n"/>
      <c r="G1841" s="5" t="n"/>
      <c r="H1841" s="8" t="n"/>
      <c r="I1841" s="8" t="n"/>
      <c r="J1841" s="8" t="n"/>
      <c r="K1841" s="11">
        <f>IF(B1841="","",MAX(0,IFERROR(I1841,0)*IFERROR(H1841,0)-IFERROR(J1841,0)))</f>
        <v/>
      </c>
      <c r="L1841" s="8" t="n"/>
      <c r="M1841" s="11">
        <f>IF(B1841="","",MAX(0,K1841-L1841))</f>
        <v/>
      </c>
      <c r="N1841" s="11">
        <f>IF(B1841="","",IF(L1841&gt;=K1841,"Paid",IF(L1841&gt;0,"Partial","Unpaid")))</f>
        <v/>
      </c>
      <c r="O1841" s="5" t="n"/>
      <c r="P1841" s="8" t="n"/>
      <c r="Q1841" s="8" t="n"/>
      <c r="R1841" s="11">
        <f>IF(B1841="","",IFERROR(K1841,0)+IFERROR(P1841,0)-IFERROR(Q1841,0))</f>
        <v/>
      </c>
      <c r="S1841" s="5" t="n"/>
      <c r="T1841" s="5" t="n"/>
      <c r="U1841" s="11">
        <f>IF(B1841="","",TRIM(LOWER(C1841)&amp;"|"&amp;LOWER(D1841)))</f>
        <v/>
      </c>
    </row>
    <row r="1842">
      <c r="A1842" s="11">
        <f>IF(B1842="","",TEXT(ROW()-3,"""DC-""0000"))</f>
        <v/>
      </c>
      <c r="B1842" s="5" t="n"/>
      <c r="C1842" s="5" t="n"/>
      <c r="D1842" s="5" t="n"/>
      <c r="E1842" s="5" t="n"/>
      <c r="F1842" s="5" t="n"/>
      <c r="G1842" s="5" t="n"/>
      <c r="H1842" s="8" t="n"/>
      <c r="I1842" s="8" t="n"/>
      <c r="J1842" s="8" t="n"/>
      <c r="K1842" s="11">
        <f>IF(B1842="","",MAX(0,IFERROR(I1842,0)*IFERROR(H1842,0)-IFERROR(J1842,0)))</f>
        <v/>
      </c>
      <c r="L1842" s="8" t="n"/>
      <c r="M1842" s="11">
        <f>IF(B1842="","",MAX(0,K1842-L1842))</f>
        <v/>
      </c>
      <c r="N1842" s="11">
        <f>IF(B1842="","",IF(L1842&gt;=K1842,"Paid",IF(L1842&gt;0,"Partial","Unpaid")))</f>
        <v/>
      </c>
      <c r="O1842" s="5" t="n"/>
      <c r="P1842" s="8" t="n"/>
      <c r="Q1842" s="8" t="n"/>
      <c r="R1842" s="11">
        <f>IF(B1842="","",IFERROR(K1842,0)+IFERROR(P1842,0)-IFERROR(Q1842,0))</f>
        <v/>
      </c>
      <c r="S1842" s="5" t="n"/>
      <c r="T1842" s="5" t="n"/>
      <c r="U1842" s="11">
        <f>IF(B1842="","",TRIM(LOWER(C1842)&amp;"|"&amp;LOWER(D1842)))</f>
        <v/>
      </c>
    </row>
    <row r="1843">
      <c r="A1843" s="11">
        <f>IF(B1843="","",TEXT(ROW()-3,"""DC-""0000"))</f>
        <v/>
      </c>
      <c r="B1843" s="5" t="n"/>
      <c r="C1843" s="5" t="n"/>
      <c r="D1843" s="5" t="n"/>
      <c r="E1843" s="5" t="n"/>
      <c r="F1843" s="5" t="n"/>
      <c r="G1843" s="5" t="n"/>
      <c r="H1843" s="8" t="n"/>
      <c r="I1843" s="8" t="n"/>
      <c r="J1843" s="8" t="n"/>
      <c r="K1843" s="11">
        <f>IF(B1843="","",MAX(0,IFERROR(I1843,0)*IFERROR(H1843,0)-IFERROR(J1843,0)))</f>
        <v/>
      </c>
      <c r="L1843" s="8" t="n"/>
      <c r="M1843" s="11">
        <f>IF(B1843="","",MAX(0,K1843-L1843))</f>
        <v/>
      </c>
      <c r="N1843" s="11">
        <f>IF(B1843="","",IF(L1843&gt;=K1843,"Paid",IF(L1843&gt;0,"Partial","Unpaid")))</f>
        <v/>
      </c>
      <c r="O1843" s="5" t="n"/>
      <c r="P1843" s="8" t="n"/>
      <c r="Q1843" s="8" t="n"/>
      <c r="R1843" s="11">
        <f>IF(B1843="","",IFERROR(K1843,0)+IFERROR(P1843,0)-IFERROR(Q1843,0))</f>
        <v/>
      </c>
      <c r="S1843" s="5" t="n"/>
      <c r="T1843" s="5" t="n"/>
      <c r="U1843" s="11">
        <f>IF(B1843="","",TRIM(LOWER(C1843)&amp;"|"&amp;LOWER(D1843)))</f>
        <v/>
      </c>
    </row>
    <row r="1844">
      <c r="A1844" s="11">
        <f>IF(B1844="","",TEXT(ROW()-3,"""DC-""0000"))</f>
        <v/>
      </c>
      <c r="B1844" s="5" t="n"/>
      <c r="C1844" s="5" t="n"/>
      <c r="D1844" s="5" t="n"/>
      <c r="E1844" s="5" t="n"/>
      <c r="F1844" s="5" t="n"/>
      <c r="G1844" s="5" t="n"/>
      <c r="H1844" s="8" t="n"/>
      <c r="I1844" s="8" t="n"/>
      <c r="J1844" s="8" t="n"/>
      <c r="K1844" s="11">
        <f>IF(B1844="","",MAX(0,IFERROR(I1844,0)*IFERROR(H1844,0)-IFERROR(J1844,0)))</f>
        <v/>
      </c>
      <c r="L1844" s="8" t="n"/>
      <c r="M1844" s="11">
        <f>IF(B1844="","",MAX(0,K1844-L1844))</f>
        <v/>
      </c>
      <c r="N1844" s="11">
        <f>IF(B1844="","",IF(L1844&gt;=K1844,"Paid",IF(L1844&gt;0,"Partial","Unpaid")))</f>
        <v/>
      </c>
      <c r="O1844" s="5" t="n"/>
      <c r="P1844" s="8" t="n"/>
      <c r="Q1844" s="8" t="n"/>
      <c r="R1844" s="11">
        <f>IF(B1844="","",IFERROR(K1844,0)+IFERROR(P1844,0)-IFERROR(Q1844,0))</f>
        <v/>
      </c>
      <c r="S1844" s="5" t="n"/>
      <c r="T1844" s="5" t="n"/>
      <c r="U1844" s="11">
        <f>IF(B1844="","",TRIM(LOWER(C1844)&amp;"|"&amp;LOWER(D1844)))</f>
        <v/>
      </c>
    </row>
    <row r="1845">
      <c r="A1845" s="11">
        <f>IF(B1845="","",TEXT(ROW()-3,"""DC-""0000"))</f>
        <v/>
      </c>
      <c r="B1845" s="5" t="n"/>
      <c r="C1845" s="5" t="n"/>
      <c r="D1845" s="5" t="n"/>
      <c r="E1845" s="5" t="n"/>
      <c r="F1845" s="5" t="n"/>
      <c r="G1845" s="5" t="n"/>
      <c r="H1845" s="8" t="n"/>
      <c r="I1845" s="8" t="n"/>
      <c r="J1845" s="8" t="n"/>
      <c r="K1845" s="11">
        <f>IF(B1845="","",MAX(0,IFERROR(I1845,0)*IFERROR(H1845,0)-IFERROR(J1845,0)))</f>
        <v/>
      </c>
      <c r="L1845" s="8" t="n"/>
      <c r="M1845" s="11">
        <f>IF(B1845="","",MAX(0,K1845-L1845))</f>
        <v/>
      </c>
      <c r="N1845" s="11">
        <f>IF(B1845="","",IF(L1845&gt;=K1845,"Paid",IF(L1845&gt;0,"Partial","Unpaid")))</f>
        <v/>
      </c>
      <c r="O1845" s="5" t="n"/>
      <c r="P1845" s="8" t="n"/>
      <c r="Q1845" s="8" t="n"/>
      <c r="R1845" s="11">
        <f>IF(B1845="","",IFERROR(K1845,0)+IFERROR(P1845,0)-IFERROR(Q1845,0))</f>
        <v/>
      </c>
      <c r="S1845" s="5" t="n"/>
      <c r="T1845" s="5" t="n"/>
      <c r="U1845" s="11">
        <f>IF(B1845="","",TRIM(LOWER(C1845)&amp;"|"&amp;LOWER(D1845)))</f>
        <v/>
      </c>
    </row>
    <row r="1846">
      <c r="A1846" s="11">
        <f>IF(B1846="","",TEXT(ROW()-3,"""DC-""0000"))</f>
        <v/>
      </c>
      <c r="B1846" s="5" t="n"/>
      <c r="C1846" s="5" t="n"/>
      <c r="D1846" s="5" t="n"/>
      <c r="E1846" s="5" t="n"/>
      <c r="F1846" s="5" t="n"/>
      <c r="G1846" s="5" t="n"/>
      <c r="H1846" s="8" t="n"/>
      <c r="I1846" s="8" t="n"/>
      <c r="J1846" s="8" t="n"/>
      <c r="K1846" s="11">
        <f>IF(B1846="","",MAX(0,IFERROR(I1846,0)*IFERROR(H1846,0)-IFERROR(J1846,0)))</f>
        <v/>
      </c>
      <c r="L1846" s="8" t="n"/>
      <c r="M1846" s="11">
        <f>IF(B1846="","",MAX(0,K1846-L1846))</f>
        <v/>
      </c>
      <c r="N1846" s="11">
        <f>IF(B1846="","",IF(L1846&gt;=K1846,"Paid",IF(L1846&gt;0,"Partial","Unpaid")))</f>
        <v/>
      </c>
      <c r="O1846" s="5" t="n"/>
      <c r="P1846" s="8" t="n"/>
      <c r="Q1846" s="8" t="n"/>
      <c r="R1846" s="11">
        <f>IF(B1846="","",IFERROR(K1846,0)+IFERROR(P1846,0)-IFERROR(Q1846,0))</f>
        <v/>
      </c>
      <c r="S1846" s="5" t="n"/>
      <c r="T1846" s="5" t="n"/>
      <c r="U1846" s="11">
        <f>IF(B1846="","",TRIM(LOWER(C1846)&amp;"|"&amp;LOWER(D1846)))</f>
        <v/>
      </c>
    </row>
    <row r="1847">
      <c r="A1847" s="11">
        <f>IF(B1847="","",TEXT(ROW()-3,"""DC-""0000"))</f>
        <v/>
      </c>
      <c r="B1847" s="5" t="n"/>
      <c r="C1847" s="5" t="n"/>
      <c r="D1847" s="5" t="n"/>
      <c r="E1847" s="5" t="n"/>
      <c r="F1847" s="5" t="n"/>
      <c r="G1847" s="5" t="n"/>
      <c r="H1847" s="8" t="n"/>
      <c r="I1847" s="8" t="n"/>
      <c r="J1847" s="8" t="n"/>
      <c r="K1847" s="11">
        <f>IF(B1847="","",MAX(0,IFERROR(I1847,0)*IFERROR(H1847,0)-IFERROR(J1847,0)))</f>
        <v/>
      </c>
      <c r="L1847" s="8" t="n"/>
      <c r="M1847" s="11">
        <f>IF(B1847="","",MAX(0,K1847-L1847))</f>
        <v/>
      </c>
      <c r="N1847" s="11">
        <f>IF(B1847="","",IF(L1847&gt;=K1847,"Paid",IF(L1847&gt;0,"Partial","Unpaid")))</f>
        <v/>
      </c>
      <c r="O1847" s="5" t="n"/>
      <c r="P1847" s="8" t="n"/>
      <c r="Q1847" s="8" t="n"/>
      <c r="R1847" s="11">
        <f>IF(B1847="","",IFERROR(K1847,0)+IFERROR(P1847,0)-IFERROR(Q1847,0))</f>
        <v/>
      </c>
      <c r="S1847" s="5" t="n"/>
      <c r="T1847" s="5" t="n"/>
      <c r="U1847" s="11">
        <f>IF(B1847="","",TRIM(LOWER(C1847)&amp;"|"&amp;LOWER(D1847)))</f>
        <v/>
      </c>
    </row>
    <row r="1848">
      <c r="A1848" s="11">
        <f>IF(B1848="","",TEXT(ROW()-3,"""DC-""0000"))</f>
        <v/>
      </c>
      <c r="B1848" s="5" t="n"/>
      <c r="C1848" s="5" t="n"/>
      <c r="D1848" s="5" t="n"/>
      <c r="E1848" s="5" t="n"/>
      <c r="F1848" s="5" t="n"/>
      <c r="G1848" s="5" t="n"/>
      <c r="H1848" s="8" t="n"/>
      <c r="I1848" s="8" t="n"/>
      <c r="J1848" s="8" t="n"/>
      <c r="K1848" s="11">
        <f>IF(B1848="","",MAX(0,IFERROR(I1848,0)*IFERROR(H1848,0)-IFERROR(J1848,0)))</f>
        <v/>
      </c>
      <c r="L1848" s="8" t="n"/>
      <c r="M1848" s="11">
        <f>IF(B1848="","",MAX(0,K1848-L1848))</f>
        <v/>
      </c>
      <c r="N1848" s="11">
        <f>IF(B1848="","",IF(L1848&gt;=K1848,"Paid",IF(L1848&gt;0,"Partial","Unpaid")))</f>
        <v/>
      </c>
      <c r="O1848" s="5" t="n"/>
      <c r="P1848" s="8" t="n"/>
      <c r="Q1848" s="8" t="n"/>
      <c r="R1848" s="11">
        <f>IF(B1848="","",IFERROR(K1848,0)+IFERROR(P1848,0)-IFERROR(Q1848,0))</f>
        <v/>
      </c>
      <c r="S1848" s="5" t="n"/>
      <c r="T1848" s="5" t="n"/>
      <c r="U1848" s="11">
        <f>IF(B1848="","",TRIM(LOWER(C1848)&amp;"|"&amp;LOWER(D1848)))</f>
        <v/>
      </c>
    </row>
    <row r="1849">
      <c r="A1849" s="11">
        <f>IF(B1849="","",TEXT(ROW()-3,"""DC-""0000"))</f>
        <v/>
      </c>
      <c r="B1849" s="5" t="n"/>
      <c r="C1849" s="5" t="n"/>
      <c r="D1849" s="5" t="n"/>
      <c r="E1849" s="5" t="n"/>
      <c r="F1849" s="5" t="n"/>
      <c r="G1849" s="5" t="n"/>
      <c r="H1849" s="8" t="n"/>
      <c r="I1849" s="8" t="n"/>
      <c r="J1849" s="8" t="n"/>
      <c r="K1849" s="11">
        <f>IF(B1849="","",MAX(0,IFERROR(I1849,0)*IFERROR(H1849,0)-IFERROR(J1849,0)))</f>
        <v/>
      </c>
      <c r="L1849" s="8" t="n"/>
      <c r="M1849" s="11">
        <f>IF(B1849="","",MAX(0,K1849-L1849))</f>
        <v/>
      </c>
      <c r="N1849" s="11">
        <f>IF(B1849="","",IF(L1849&gt;=K1849,"Paid",IF(L1849&gt;0,"Partial","Unpaid")))</f>
        <v/>
      </c>
      <c r="O1849" s="5" t="n"/>
      <c r="P1849" s="8" t="n"/>
      <c r="Q1849" s="8" t="n"/>
      <c r="R1849" s="11">
        <f>IF(B1849="","",IFERROR(K1849,0)+IFERROR(P1849,0)-IFERROR(Q1849,0))</f>
        <v/>
      </c>
      <c r="S1849" s="5" t="n"/>
      <c r="T1849" s="5" t="n"/>
      <c r="U1849" s="11">
        <f>IF(B1849="","",TRIM(LOWER(C1849)&amp;"|"&amp;LOWER(D1849)))</f>
        <v/>
      </c>
    </row>
    <row r="1850">
      <c r="A1850" s="11">
        <f>IF(B1850="","",TEXT(ROW()-3,"""DC-""0000"))</f>
        <v/>
      </c>
      <c r="B1850" s="5" t="n"/>
      <c r="C1850" s="5" t="n"/>
      <c r="D1850" s="5" t="n"/>
      <c r="E1850" s="5" t="n"/>
      <c r="F1850" s="5" t="n"/>
      <c r="G1850" s="5" t="n"/>
      <c r="H1850" s="8" t="n"/>
      <c r="I1850" s="8" t="n"/>
      <c r="J1850" s="8" t="n"/>
      <c r="K1850" s="11">
        <f>IF(B1850="","",MAX(0,IFERROR(I1850,0)*IFERROR(H1850,0)-IFERROR(J1850,0)))</f>
        <v/>
      </c>
      <c r="L1850" s="8" t="n"/>
      <c r="M1850" s="11">
        <f>IF(B1850="","",MAX(0,K1850-L1850))</f>
        <v/>
      </c>
      <c r="N1850" s="11">
        <f>IF(B1850="","",IF(L1850&gt;=K1850,"Paid",IF(L1850&gt;0,"Partial","Unpaid")))</f>
        <v/>
      </c>
      <c r="O1850" s="5" t="n"/>
      <c r="P1850" s="8" t="n"/>
      <c r="Q1850" s="8" t="n"/>
      <c r="R1850" s="11">
        <f>IF(B1850="","",IFERROR(K1850,0)+IFERROR(P1850,0)-IFERROR(Q1850,0))</f>
        <v/>
      </c>
      <c r="S1850" s="5" t="n"/>
      <c r="T1850" s="5" t="n"/>
      <c r="U1850" s="11">
        <f>IF(B1850="","",TRIM(LOWER(C1850)&amp;"|"&amp;LOWER(D1850)))</f>
        <v/>
      </c>
    </row>
    <row r="1851">
      <c r="A1851" s="11">
        <f>IF(B1851="","",TEXT(ROW()-3,"""DC-""0000"))</f>
        <v/>
      </c>
      <c r="B1851" s="5" t="n"/>
      <c r="C1851" s="5" t="n"/>
      <c r="D1851" s="5" t="n"/>
      <c r="E1851" s="5" t="n"/>
      <c r="F1851" s="5" t="n"/>
      <c r="G1851" s="5" t="n"/>
      <c r="H1851" s="8" t="n"/>
      <c r="I1851" s="8" t="n"/>
      <c r="J1851" s="8" t="n"/>
      <c r="K1851" s="11">
        <f>IF(B1851="","",MAX(0,IFERROR(I1851,0)*IFERROR(H1851,0)-IFERROR(J1851,0)))</f>
        <v/>
      </c>
      <c r="L1851" s="8" t="n"/>
      <c r="M1851" s="11">
        <f>IF(B1851="","",MAX(0,K1851-L1851))</f>
        <v/>
      </c>
      <c r="N1851" s="11">
        <f>IF(B1851="","",IF(L1851&gt;=K1851,"Paid",IF(L1851&gt;0,"Partial","Unpaid")))</f>
        <v/>
      </c>
      <c r="O1851" s="5" t="n"/>
      <c r="P1851" s="8" t="n"/>
      <c r="Q1851" s="8" t="n"/>
      <c r="R1851" s="11">
        <f>IF(B1851="","",IFERROR(K1851,0)+IFERROR(P1851,0)-IFERROR(Q1851,0))</f>
        <v/>
      </c>
      <c r="S1851" s="5" t="n"/>
      <c r="T1851" s="5" t="n"/>
      <c r="U1851" s="11">
        <f>IF(B1851="","",TRIM(LOWER(C1851)&amp;"|"&amp;LOWER(D1851)))</f>
        <v/>
      </c>
    </row>
    <row r="1852">
      <c r="A1852" s="11">
        <f>IF(B1852="","",TEXT(ROW()-3,"""DC-""0000"))</f>
        <v/>
      </c>
      <c r="B1852" s="5" t="n"/>
      <c r="C1852" s="5" t="n"/>
      <c r="D1852" s="5" t="n"/>
      <c r="E1852" s="5" t="n"/>
      <c r="F1852" s="5" t="n"/>
      <c r="G1852" s="5" t="n"/>
      <c r="H1852" s="8" t="n"/>
      <c r="I1852" s="8" t="n"/>
      <c r="J1852" s="8" t="n"/>
      <c r="K1852" s="11">
        <f>IF(B1852="","",MAX(0,IFERROR(I1852,0)*IFERROR(H1852,0)-IFERROR(J1852,0)))</f>
        <v/>
      </c>
      <c r="L1852" s="8" t="n"/>
      <c r="M1852" s="11">
        <f>IF(B1852="","",MAX(0,K1852-L1852))</f>
        <v/>
      </c>
      <c r="N1852" s="11">
        <f>IF(B1852="","",IF(L1852&gt;=K1852,"Paid",IF(L1852&gt;0,"Partial","Unpaid")))</f>
        <v/>
      </c>
      <c r="O1852" s="5" t="n"/>
      <c r="P1852" s="8" t="n"/>
      <c r="Q1852" s="8" t="n"/>
      <c r="R1852" s="11">
        <f>IF(B1852="","",IFERROR(K1852,0)+IFERROR(P1852,0)-IFERROR(Q1852,0))</f>
        <v/>
      </c>
      <c r="S1852" s="5" t="n"/>
      <c r="T1852" s="5" t="n"/>
      <c r="U1852" s="11">
        <f>IF(B1852="","",TRIM(LOWER(C1852)&amp;"|"&amp;LOWER(D1852)))</f>
        <v/>
      </c>
    </row>
    <row r="1853">
      <c r="A1853" s="11">
        <f>IF(B1853="","",TEXT(ROW()-3,"""DC-""0000"))</f>
        <v/>
      </c>
      <c r="B1853" s="5" t="n"/>
      <c r="C1853" s="5" t="n"/>
      <c r="D1853" s="5" t="n"/>
      <c r="E1853" s="5" t="n"/>
      <c r="F1853" s="5" t="n"/>
      <c r="G1853" s="5" t="n"/>
      <c r="H1853" s="8" t="n"/>
      <c r="I1853" s="8" t="n"/>
      <c r="J1853" s="8" t="n"/>
      <c r="K1853" s="11">
        <f>IF(B1853="","",MAX(0,IFERROR(I1853,0)*IFERROR(H1853,0)-IFERROR(J1853,0)))</f>
        <v/>
      </c>
      <c r="L1853" s="8" t="n"/>
      <c r="M1853" s="11">
        <f>IF(B1853="","",MAX(0,K1853-L1853))</f>
        <v/>
      </c>
      <c r="N1853" s="11">
        <f>IF(B1853="","",IF(L1853&gt;=K1853,"Paid",IF(L1853&gt;0,"Partial","Unpaid")))</f>
        <v/>
      </c>
      <c r="O1853" s="5" t="n"/>
      <c r="P1853" s="8" t="n"/>
      <c r="Q1853" s="8" t="n"/>
      <c r="R1853" s="11">
        <f>IF(B1853="","",IFERROR(K1853,0)+IFERROR(P1853,0)-IFERROR(Q1853,0))</f>
        <v/>
      </c>
      <c r="S1853" s="5" t="n"/>
      <c r="T1853" s="5" t="n"/>
      <c r="U1853" s="11">
        <f>IF(B1853="","",TRIM(LOWER(C1853)&amp;"|"&amp;LOWER(D1853)))</f>
        <v/>
      </c>
    </row>
    <row r="1854">
      <c r="A1854" s="11">
        <f>IF(B1854="","",TEXT(ROW()-3,"""DC-""0000"))</f>
        <v/>
      </c>
      <c r="B1854" s="5" t="n"/>
      <c r="C1854" s="5" t="n"/>
      <c r="D1854" s="5" t="n"/>
      <c r="E1854" s="5" t="n"/>
      <c r="F1854" s="5" t="n"/>
      <c r="G1854" s="5" t="n"/>
      <c r="H1854" s="8" t="n"/>
      <c r="I1854" s="8" t="n"/>
      <c r="J1854" s="8" t="n"/>
      <c r="K1854" s="11">
        <f>IF(B1854="","",MAX(0,IFERROR(I1854,0)*IFERROR(H1854,0)-IFERROR(J1854,0)))</f>
        <v/>
      </c>
      <c r="L1854" s="8" t="n"/>
      <c r="M1854" s="11">
        <f>IF(B1854="","",MAX(0,K1854-L1854))</f>
        <v/>
      </c>
      <c r="N1854" s="11">
        <f>IF(B1854="","",IF(L1854&gt;=K1854,"Paid",IF(L1854&gt;0,"Partial","Unpaid")))</f>
        <v/>
      </c>
      <c r="O1854" s="5" t="n"/>
      <c r="P1854" s="8" t="n"/>
      <c r="Q1854" s="8" t="n"/>
      <c r="R1854" s="11">
        <f>IF(B1854="","",IFERROR(K1854,0)+IFERROR(P1854,0)-IFERROR(Q1854,0))</f>
        <v/>
      </c>
      <c r="S1854" s="5" t="n"/>
      <c r="T1854" s="5" t="n"/>
      <c r="U1854" s="11">
        <f>IF(B1854="","",TRIM(LOWER(C1854)&amp;"|"&amp;LOWER(D1854)))</f>
        <v/>
      </c>
    </row>
    <row r="1855">
      <c r="A1855" s="11">
        <f>IF(B1855="","",TEXT(ROW()-3,"""DC-""0000"))</f>
        <v/>
      </c>
      <c r="B1855" s="5" t="n"/>
      <c r="C1855" s="5" t="n"/>
      <c r="D1855" s="5" t="n"/>
      <c r="E1855" s="5" t="n"/>
      <c r="F1855" s="5" t="n"/>
      <c r="G1855" s="5" t="n"/>
      <c r="H1855" s="8" t="n"/>
      <c r="I1855" s="8" t="n"/>
      <c r="J1855" s="8" t="n"/>
      <c r="K1855" s="11">
        <f>IF(B1855="","",MAX(0,IFERROR(I1855,0)*IFERROR(H1855,0)-IFERROR(J1855,0)))</f>
        <v/>
      </c>
      <c r="L1855" s="8" t="n"/>
      <c r="M1855" s="11">
        <f>IF(B1855="","",MAX(0,K1855-L1855))</f>
        <v/>
      </c>
      <c r="N1855" s="11">
        <f>IF(B1855="","",IF(L1855&gt;=K1855,"Paid",IF(L1855&gt;0,"Partial","Unpaid")))</f>
        <v/>
      </c>
      <c r="O1855" s="5" t="n"/>
      <c r="P1855" s="8" t="n"/>
      <c r="Q1855" s="8" t="n"/>
      <c r="R1855" s="11">
        <f>IF(B1855="","",IFERROR(K1855,0)+IFERROR(P1855,0)-IFERROR(Q1855,0))</f>
        <v/>
      </c>
      <c r="S1855" s="5" t="n"/>
      <c r="T1855" s="5" t="n"/>
      <c r="U1855" s="11">
        <f>IF(B1855="","",TRIM(LOWER(C1855)&amp;"|"&amp;LOWER(D1855)))</f>
        <v/>
      </c>
    </row>
    <row r="1856">
      <c r="A1856" s="11">
        <f>IF(B1856="","",TEXT(ROW()-3,"""DC-""0000"))</f>
        <v/>
      </c>
      <c r="B1856" s="5" t="n"/>
      <c r="C1856" s="5" t="n"/>
      <c r="D1856" s="5" t="n"/>
      <c r="E1856" s="5" t="n"/>
      <c r="F1856" s="5" t="n"/>
      <c r="G1856" s="5" t="n"/>
      <c r="H1856" s="8" t="n"/>
      <c r="I1856" s="8" t="n"/>
      <c r="J1856" s="8" t="n"/>
      <c r="K1856" s="11">
        <f>IF(B1856="","",MAX(0,IFERROR(I1856,0)*IFERROR(H1856,0)-IFERROR(J1856,0)))</f>
        <v/>
      </c>
      <c r="L1856" s="8" t="n"/>
      <c r="M1856" s="11">
        <f>IF(B1856="","",MAX(0,K1856-L1856))</f>
        <v/>
      </c>
      <c r="N1856" s="11">
        <f>IF(B1856="","",IF(L1856&gt;=K1856,"Paid",IF(L1856&gt;0,"Partial","Unpaid")))</f>
        <v/>
      </c>
      <c r="O1856" s="5" t="n"/>
      <c r="P1856" s="8" t="n"/>
      <c r="Q1856" s="8" t="n"/>
      <c r="R1856" s="11">
        <f>IF(B1856="","",IFERROR(K1856,0)+IFERROR(P1856,0)-IFERROR(Q1856,0))</f>
        <v/>
      </c>
      <c r="S1856" s="5" t="n"/>
      <c r="T1856" s="5" t="n"/>
      <c r="U1856" s="11">
        <f>IF(B1856="","",TRIM(LOWER(C1856)&amp;"|"&amp;LOWER(D1856)))</f>
        <v/>
      </c>
    </row>
    <row r="1857">
      <c r="A1857" s="11">
        <f>IF(B1857="","",TEXT(ROW()-3,"""DC-""0000"))</f>
        <v/>
      </c>
      <c r="B1857" s="5" t="n"/>
      <c r="C1857" s="5" t="n"/>
      <c r="D1857" s="5" t="n"/>
      <c r="E1857" s="5" t="n"/>
      <c r="F1857" s="5" t="n"/>
      <c r="G1857" s="5" t="n"/>
      <c r="H1857" s="8" t="n"/>
      <c r="I1857" s="8" t="n"/>
      <c r="J1857" s="8" t="n"/>
      <c r="K1857" s="11">
        <f>IF(B1857="","",MAX(0,IFERROR(I1857,0)*IFERROR(H1857,0)-IFERROR(J1857,0)))</f>
        <v/>
      </c>
      <c r="L1857" s="8" t="n"/>
      <c r="M1857" s="11">
        <f>IF(B1857="","",MAX(0,K1857-L1857))</f>
        <v/>
      </c>
      <c r="N1857" s="11">
        <f>IF(B1857="","",IF(L1857&gt;=K1857,"Paid",IF(L1857&gt;0,"Partial","Unpaid")))</f>
        <v/>
      </c>
      <c r="O1857" s="5" t="n"/>
      <c r="P1857" s="8" t="n"/>
      <c r="Q1857" s="8" t="n"/>
      <c r="R1857" s="11">
        <f>IF(B1857="","",IFERROR(K1857,0)+IFERROR(P1857,0)-IFERROR(Q1857,0))</f>
        <v/>
      </c>
      <c r="S1857" s="5" t="n"/>
      <c r="T1857" s="5" t="n"/>
      <c r="U1857" s="11">
        <f>IF(B1857="","",TRIM(LOWER(C1857)&amp;"|"&amp;LOWER(D1857)))</f>
        <v/>
      </c>
    </row>
    <row r="1858">
      <c r="A1858" s="11">
        <f>IF(B1858="","",TEXT(ROW()-3,"""DC-""0000"))</f>
        <v/>
      </c>
      <c r="B1858" s="5" t="n"/>
      <c r="C1858" s="5" t="n"/>
      <c r="D1858" s="5" t="n"/>
      <c r="E1858" s="5" t="n"/>
      <c r="F1858" s="5" t="n"/>
      <c r="G1858" s="5" t="n"/>
      <c r="H1858" s="8" t="n"/>
      <c r="I1858" s="8" t="n"/>
      <c r="J1858" s="8" t="n"/>
      <c r="K1858" s="11">
        <f>IF(B1858="","",MAX(0,IFERROR(I1858,0)*IFERROR(H1858,0)-IFERROR(J1858,0)))</f>
        <v/>
      </c>
      <c r="L1858" s="8" t="n"/>
      <c r="M1858" s="11">
        <f>IF(B1858="","",MAX(0,K1858-L1858))</f>
        <v/>
      </c>
      <c r="N1858" s="11">
        <f>IF(B1858="","",IF(L1858&gt;=K1858,"Paid",IF(L1858&gt;0,"Partial","Unpaid")))</f>
        <v/>
      </c>
      <c r="O1858" s="5" t="n"/>
      <c r="P1858" s="8" t="n"/>
      <c r="Q1858" s="8" t="n"/>
      <c r="R1858" s="11">
        <f>IF(B1858="","",IFERROR(K1858,0)+IFERROR(P1858,0)-IFERROR(Q1858,0))</f>
        <v/>
      </c>
      <c r="S1858" s="5" t="n"/>
      <c r="T1858" s="5" t="n"/>
      <c r="U1858" s="11">
        <f>IF(B1858="","",TRIM(LOWER(C1858)&amp;"|"&amp;LOWER(D1858)))</f>
        <v/>
      </c>
    </row>
    <row r="1859">
      <c r="A1859" s="11">
        <f>IF(B1859="","",TEXT(ROW()-3,"""DC-""0000"))</f>
        <v/>
      </c>
      <c r="B1859" s="5" t="n"/>
      <c r="C1859" s="5" t="n"/>
      <c r="D1859" s="5" t="n"/>
      <c r="E1859" s="5" t="n"/>
      <c r="F1859" s="5" t="n"/>
      <c r="G1859" s="5" t="n"/>
      <c r="H1859" s="8" t="n"/>
      <c r="I1859" s="8" t="n"/>
      <c r="J1859" s="8" t="n"/>
      <c r="K1859" s="11">
        <f>IF(B1859="","",MAX(0,IFERROR(I1859,0)*IFERROR(H1859,0)-IFERROR(J1859,0)))</f>
        <v/>
      </c>
      <c r="L1859" s="8" t="n"/>
      <c r="M1859" s="11">
        <f>IF(B1859="","",MAX(0,K1859-L1859))</f>
        <v/>
      </c>
      <c r="N1859" s="11">
        <f>IF(B1859="","",IF(L1859&gt;=K1859,"Paid",IF(L1859&gt;0,"Partial","Unpaid")))</f>
        <v/>
      </c>
      <c r="O1859" s="5" t="n"/>
      <c r="P1859" s="8" t="n"/>
      <c r="Q1859" s="8" t="n"/>
      <c r="R1859" s="11">
        <f>IF(B1859="","",IFERROR(K1859,0)+IFERROR(P1859,0)-IFERROR(Q1859,0))</f>
        <v/>
      </c>
      <c r="S1859" s="5" t="n"/>
      <c r="T1859" s="5" t="n"/>
      <c r="U1859" s="11">
        <f>IF(B1859="","",TRIM(LOWER(C1859)&amp;"|"&amp;LOWER(D1859)))</f>
        <v/>
      </c>
    </row>
    <row r="1860">
      <c r="A1860" s="11">
        <f>IF(B1860="","",TEXT(ROW()-3,"""DC-""0000"))</f>
        <v/>
      </c>
      <c r="B1860" s="5" t="n"/>
      <c r="C1860" s="5" t="n"/>
      <c r="D1860" s="5" t="n"/>
      <c r="E1860" s="5" t="n"/>
      <c r="F1860" s="5" t="n"/>
      <c r="G1860" s="5" t="n"/>
      <c r="H1860" s="8" t="n"/>
      <c r="I1860" s="8" t="n"/>
      <c r="J1860" s="8" t="n"/>
      <c r="K1860" s="11">
        <f>IF(B1860="","",MAX(0,IFERROR(I1860,0)*IFERROR(H1860,0)-IFERROR(J1860,0)))</f>
        <v/>
      </c>
      <c r="L1860" s="8" t="n"/>
      <c r="M1860" s="11">
        <f>IF(B1860="","",MAX(0,K1860-L1860))</f>
        <v/>
      </c>
      <c r="N1860" s="11">
        <f>IF(B1860="","",IF(L1860&gt;=K1860,"Paid",IF(L1860&gt;0,"Partial","Unpaid")))</f>
        <v/>
      </c>
      <c r="O1860" s="5" t="n"/>
      <c r="P1860" s="8" t="n"/>
      <c r="Q1860" s="8" t="n"/>
      <c r="R1860" s="11">
        <f>IF(B1860="","",IFERROR(K1860,0)+IFERROR(P1860,0)-IFERROR(Q1860,0))</f>
        <v/>
      </c>
      <c r="S1860" s="5" t="n"/>
      <c r="T1860" s="5" t="n"/>
      <c r="U1860" s="11">
        <f>IF(B1860="","",TRIM(LOWER(C1860)&amp;"|"&amp;LOWER(D1860)))</f>
        <v/>
      </c>
    </row>
    <row r="1861">
      <c r="A1861" s="11">
        <f>IF(B1861="","",TEXT(ROW()-3,"""DC-""0000"))</f>
        <v/>
      </c>
      <c r="B1861" s="5" t="n"/>
      <c r="C1861" s="5" t="n"/>
      <c r="D1861" s="5" t="n"/>
      <c r="E1861" s="5" t="n"/>
      <c r="F1861" s="5" t="n"/>
      <c r="G1861" s="5" t="n"/>
      <c r="H1861" s="8" t="n"/>
      <c r="I1861" s="8" t="n"/>
      <c r="J1861" s="8" t="n"/>
      <c r="K1861" s="11">
        <f>IF(B1861="","",MAX(0,IFERROR(I1861,0)*IFERROR(H1861,0)-IFERROR(J1861,0)))</f>
        <v/>
      </c>
      <c r="L1861" s="8" t="n"/>
      <c r="M1861" s="11">
        <f>IF(B1861="","",MAX(0,K1861-L1861))</f>
        <v/>
      </c>
      <c r="N1861" s="11">
        <f>IF(B1861="","",IF(L1861&gt;=K1861,"Paid",IF(L1861&gt;0,"Partial","Unpaid")))</f>
        <v/>
      </c>
      <c r="O1861" s="5" t="n"/>
      <c r="P1861" s="8" t="n"/>
      <c r="Q1861" s="8" t="n"/>
      <c r="R1861" s="11">
        <f>IF(B1861="","",IFERROR(K1861,0)+IFERROR(P1861,0)-IFERROR(Q1861,0))</f>
        <v/>
      </c>
      <c r="S1861" s="5" t="n"/>
      <c r="T1861" s="5" t="n"/>
      <c r="U1861" s="11">
        <f>IF(B1861="","",TRIM(LOWER(C1861)&amp;"|"&amp;LOWER(D1861)))</f>
        <v/>
      </c>
    </row>
    <row r="1862">
      <c r="A1862" s="11">
        <f>IF(B1862="","",TEXT(ROW()-3,"""DC-""0000"))</f>
        <v/>
      </c>
      <c r="B1862" s="5" t="n"/>
      <c r="C1862" s="5" t="n"/>
      <c r="D1862" s="5" t="n"/>
      <c r="E1862" s="5" t="n"/>
      <c r="F1862" s="5" t="n"/>
      <c r="G1862" s="5" t="n"/>
      <c r="H1862" s="8" t="n"/>
      <c r="I1862" s="8" t="n"/>
      <c r="J1862" s="8" t="n"/>
      <c r="K1862" s="11">
        <f>IF(B1862="","",MAX(0,IFERROR(I1862,0)*IFERROR(H1862,0)-IFERROR(J1862,0)))</f>
        <v/>
      </c>
      <c r="L1862" s="8" t="n"/>
      <c r="M1862" s="11">
        <f>IF(B1862="","",MAX(0,K1862-L1862))</f>
        <v/>
      </c>
      <c r="N1862" s="11">
        <f>IF(B1862="","",IF(L1862&gt;=K1862,"Paid",IF(L1862&gt;0,"Partial","Unpaid")))</f>
        <v/>
      </c>
      <c r="O1862" s="5" t="n"/>
      <c r="P1862" s="8" t="n"/>
      <c r="Q1862" s="8" t="n"/>
      <c r="R1862" s="11">
        <f>IF(B1862="","",IFERROR(K1862,0)+IFERROR(P1862,0)-IFERROR(Q1862,0))</f>
        <v/>
      </c>
      <c r="S1862" s="5" t="n"/>
      <c r="T1862" s="5" t="n"/>
      <c r="U1862" s="11">
        <f>IF(B1862="","",TRIM(LOWER(C1862)&amp;"|"&amp;LOWER(D1862)))</f>
        <v/>
      </c>
    </row>
    <row r="1863">
      <c r="A1863" s="11">
        <f>IF(B1863="","",TEXT(ROW()-3,"""DC-""0000"))</f>
        <v/>
      </c>
      <c r="B1863" s="5" t="n"/>
      <c r="C1863" s="5" t="n"/>
      <c r="D1863" s="5" t="n"/>
      <c r="E1863" s="5" t="n"/>
      <c r="F1863" s="5" t="n"/>
      <c r="G1863" s="5" t="n"/>
      <c r="H1863" s="8" t="n"/>
      <c r="I1863" s="8" t="n"/>
      <c r="J1863" s="8" t="n"/>
      <c r="K1863" s="11">
        <f>IF(B1863="","",MAX(0,IFERROR(I1863,0)*IFERROR(H1863,0)-IFERROR(J1863,0)))</f>
        <v/>
      </c>
      <c r="L1863" s="8" t="n"/>
      <c r="M1863" s="11">
        <f>IF(B1863="","",MAX(0,K1863-L1863))</f>
        <v/>
      </c>
      <c r="N1863" s="11">
        <f>IF(B1863="","",IF(L1863&gt;=K1863,"Paid",IF(L1863&gt;0,"Partial","Unpaid")))</f>
        <v/>
      </c>
      <c r="O1863" s="5" t="n"/>
      <c r="P1863" s="8" t="n"/>
      <c r="Q1863" s="8" t="n"/>
      <c r="R1863" s="11">
        <f>IF(B1863="","",IFERROR(K1863,0)+IFERROR(P1863,0)-IFERROR(Q1863,0))</f>
        <v/>
      </c>
      <c r="S1863" s="5" t="n"/>
      <c r="T1863" s="5" t="n"/>
      <c r="U1863" s="11">
        <f>IF(B1863="","",TRIM(LOWER(C1863)&amp;"|"&amp;LOWER(D1863)))</f>
        <v/>
      </c>
    </row>
    <row r="1864">
      <c r="A1864" s="11">
        <f>IF(B1864="","",TEXT(ROW()-3,"""DC-""0000"))</f>
        <v/>
      </c>
      <c r="B1864" s="5" t="n"/>
      <c r="C1864" s="5" t="n"/>
      <c r="D1864" s="5" t="n"/>
      <c r="E1864" s="5" t="n"/>
      <c r="F1864" s="5" t="n"/>
      <c r="G1864" s="5" t="n"/>
      <c r="H1864" s="8" t="n"/>
      <c r="I1864" s="8" t="n"/>
      <c r="J1864" s="8" t="n"/>
      <c r="K1864" s="11">
        <f>IF(B1864="","",MAX(0,IFERROR(I1864,0)*IFERROR(H1864,0)-IFERROR(J1864,0)))</f>
        <v/>
      </c>
      <c r="L1864" s="8" t="n"/>
      <c r="M1864" s="11">
        <f>IF(B1864="","",MAX(0,K1864-L1864))</f>
        <v/>
      </c>
      <c r="N1864" s="11">
        <f>IF(B1864="","",IF(L1864&gt;=K1864,"Paid",IF(L1864&gt;0,"Partial","Unpaid")))</f>
        <v/>
      </c>
      <c r="O1864" s="5" t="n"/>
      <c r="P1864" s="8" t="n"/>
      <c r="Q1864" s="8" t="n"/>
      <c r="R1864" s="11">
        <f>IF(B1864="","",IFERROR(K1864,0)+IFERROR(P1864,0)-IFERROR(Q1864,0))</f>
        <v/>
      </c>
      <c r="S1864" s="5" t="n"/>
      <c r="T1864" s="5" t="n"/>
      <c r="U1864" s="11">
        <f>IF(B1864="","",TRIM(LOWER(C1864)&amp;"|"&amp;LOWER(D1864)))</f>
        <v/>
      </c>
    </row>
    <row r="1865">
      <c r="A1865" s="11">
        <f>IF(B1865="","",TEXT(ROW()-3,"""DC-""0000"))</f>
        <v/>
      </c>
      <c r="B1865" s="5" t="n"/>
      <c r="C1865" s="5" t="n"/>
      <c r="D1865" s="5" t="n"/>
      <c r="E1865" s="5" t="n"/>
      <c r="F1865" s="5" t="n"/>
      <c r="G1865" s="5" t="n"/>
      <c r="H1865" s="8" t="n"/>
      <c r="I1865" s="8" t="n"/>
      <c r="J1865" s="8" t="n"/>
      <c r="K1865" s="11">
        <f>IF(B1865="","",MAX(0,IFERROR(I1865,0)*IFERROR(H1865,0)-IFERROR(J1865,0)))</f>
        <v/>
      </c>
      <c r="L1865" s="8" t="n"/>
      <c r="M1865" s="11">
        <f>IF(B1865="","",MAX(0,K1865-L1865))</f>
        <v/>
      </c>
      <c r="N1865" s="11">
        <f>IF(B1865="","",IF(L1865&gt;=K1865,"Paid",IF(L1865&gt;0,"Partial","Unpaid")))</f>
        <v/>
      </c>
      <c r="O1865" s="5" t="n"/>
      <c r="P1865" s="8" t="n"/>
      <c r="Q1865" s="8" t="n"/>
      <c r="R1865" s="11">
        <f>IF(B1865="","",IFERROR(K1865,0)+IFERROR(P1865,0)-IFERROR(Q1865,0))</f>
        <v/>
      </c>
      <c r="S1865" s="5" t="n"/>
      <c r="T1865" s="5" t="n"/>
      <c r="U1865" s="11">
        <f>IF(B1865="","",TRIM(LOWER(C1865)&amp;"|"&amp;LOWER(D1865)))</f>
        <v/>
      </c>
    </row>
    <row r="1866">
      <c r="A1866" s="11">
        <f>IF(B1866="","",TEXT(ROW()-3,"""DC-""0000"))</f>
        <v/>
      </c>
      <c r="B1866" s="5" t="n"/>
      <c r="C1866" s="5" t="n"/>
      <c r="D1866" s="5" t="n"/>
      <c r="E1866" s="5" t="n"/>
      <c r="F1866" s="5" t="n"/>
      <c r="G1866" s="5" t="n"/>
      <c r="H1866" s="8" t="n"/>
      <c r="I1866" s="8" t="n"/>
      <c r="J1866" s="8" t="n"/>
      <c r="K1866" s="11">
        <f>IF(B1866="","",MAX(0,IFERROR(I1866,0)*IFERROR(H1866,0)-IFERROR(J1866,0)))</f>
        <v/>
      </c>
      <c r="L1866" s="8" t="n"/>
      <c r="M1866" s="11">
        <f>IF(B1866="","",MAX(0,K1866-L1866))</f>
        <v/>
      </c>
      <c r="N1866" s="11">
        <f>IF(B1866="","",IF(L1866&gt;=K1866,"Paid",IF(L1866&gt;0,"Partial","Unpaid")))</f>
        <v/>
      </c>
      <c r="O1866" s="5" t="n"/>
      <c r="P1866" s="8" t="n"/>
      <c r="Q1866" s="8" t="n"/>
      <c r="R1866" s="11">
        <f>IF(B1866="","",IFERROR(K1866,0)+IFERROR(P1866,0)-IFERROR(Q1866,0))</f>
        <v/>
      </c>
      <c r="S1866" s="5" t="n"/>
      <c r="T1866" s="5" t="n"/>
      <c r="U1866" s="11">
        <f>IF(B1866="","",TRIM(LOWER(C1866)&amp;"|"&amp;LOWER(D1866)))</f>
        <v/>
      </c>
    </row>
    <row r="1867">
      <c r="A1867" s="11">
        <f>IF(B1867="","",TEXT(ROW()-3,"""DC-""0000"))</f>
        <v/>
      </c>
      <c r="B1867" s="5" t="n"/>
      <c r="C1867" s="5" t="n"/>
      <c r="D1867" s="5" t="n"/>
      <c r="E1867" s="5" t="n"/>
      <c r="F1867" s="5" t="n"/>
      <c r="G1867" s="5" t="n"/>
      <c r="H1867" s="8" t="n"/>
      <c r="I1867" s="8" t="n"/>
      <c r="J1867" s="8" t="n"/>
      <c r="K1867" s="11">
        <f>IF(B1867="","",MAX(0,IFERROR(I1867,0)*IFERROR(H1867,0)-IFERROR(J1867,0)))</f>
        <v/>
      </c>
      <c r="L1867" s="8" t="n"/>
      <c r="M1867" s="11">
        <f>IF(B1867="","",MAX(0,K1867-L1867))</f>
        <v/>
      </c>
      <c r="N1867" s="11">
        <f>IF(B1867="","",IF(L1867&gt;=K1867,"Paid",IF(L1867&gt;0,"Partial","Unpaid")))</f>
        <v/>
      </c>
      <c r="O1867" s="5" t="n"/>
      <c r="P1867" s="8" t="n"/>
      <c r="Q1867" s="8" t="n"/>
      <c r="R1867" s="11">
        <f>IF(B1867="","",IFERROR(K1867,0)+IFERROR(P1867,0)-IFERROR(Q1867,0))</f>
        <v/>
      </c>
      <c r="S1867" s="5" t="n"/>
      <c r="T1867" s="5" t="n"/>
      <c r="U1867" s="11">
        <f>IF(B1867="","",TRIM(LOWER(C1867)&amp;"|"&amp;LOWER(D1867)))</f>
        <v/>
      </c>
    </row>
    <row r="1868">
      <c r="A1868" s="11">
        <f>IF(B1868="","",TEXT(ROW()-3,"""DC-""0000"))</f>
        <v/>
      </c>
      <c r="B1868" s="5" t="n"/>
      <c r="C1868" s="5" t="n"/>
      <c r="D1868" s="5" t="n"/>
      <c r="E1868" s="5" t="n"/>
      <c r="F1868" s="5" t="n"/>
      <c r="G1868" s="5" t="n"/>
      <c r="H1868" s="8" t="n"/>
      <c r="I1868" s="8" t="n"/>
      <c r="J1868" s="8" t="n"/>
      <c r="K1868" s="11">
        <f>IF(B1868="","",MAX(0,IFERROR(I1868,0)*IFERROR(H1868,0)-IFERROR(J1868,0)))</f>
        <v/>
      </c>
      <c r="L1868" s="8" t="n"/>
      <c r="M1868" s="11">
        <f>IF(B1868="","",MAX(0,K1868-L1868))</f>
        <v/>
      </c>
      <c r="N1868" s="11">
        <f>IF(B1868="","",IF(L1868&gt;=K1868,"Paid",IF(L1868&gt;0,"Partial","Unpaid")))</f>
        <v/>
      </c>
      <c r="O1868" s="5" t="n"/>
      <c r="P1868" s="8" t="n"/>
      <c r="Q1868" s="8" t="n"/>
      <c r="R1868" s="11">
        <f>IF(B1868="","",IFERROR(K1868,0)+IFERROR(P1868,0)-IFERROR(Q1868,0))</f>
        <v/>
      </c>
      <c r="S1868" s="5" t="n"/>
      <c r="T1868" s="5" t="n"/>
      <c r="U1868" s="11">
        <f>IF(B1868="","",TRIM(LOWER(C1868)&amp;"|"&amp;LOWER(D1868)))</f>
        <v/>
      </c>
    </row>
    <row r="1869">
      <c r="A1869" s="11">
        <f>IF(B1869="","",TEXT(ROW()-3,"""DC-""0000"))</f>
        <v/>
      </c>
      <c r="B1869" s="5" t="n"/>
      <c r="C1869" s="5" t="n"/>
      <c r="D1869" s="5" t="n"/>
      <c r="E1869" s="5" t="n"/>
      <c r="F1869" s="5" t="n"/>
      <c r="G1869" s="5" t="n"/>
      <c r="H1869" s="8" t="n"/>
      <c r="I1869" s="8" t="n"/>
      <c r="J1869" s="8" t="n"/>
      <c r="K1869" s="11">
        <f>IF(B1869="","",MAX(0,IFERROR(I1869,0)*IFERROR(H1869,0)-IFERROR(J1869,0)))</f>
        <v/>
      </c>
      <c r="L1869" s="8" t="n"/>
      <c r="M1869" s="11">
        <f>IF(B1869="","",MAX(0,K1869-L1869))</f>
        <v/>
      </c>
      <c r="N1869" s="11">
        <f>IF(B1869="","",IF(L1869&gt;=K1869,"Paid",IF(L1869&gt;0,"Partial","Unpaid")))</f>
        <v/>
      </c>
      <c r="O1869" s="5" t="n"/>
      <c r="P1869" s="8" t="n"/>
      <c r="Q1869" s="8" t="n"/>
      <c r="R1869" s="11">
        <f>IF(B1869="","",IFERROR(K1869,0)+IFERROR(P1869,0)-IFERROR(Q1869,0))</f>
        <v/>
      </c>
      <c r="S1869" s="5" t="n"/>
      <c r="T1869" s="5" t="n"/>
      <c r="U1869" s="11">
        <f>IF(B1869="","",TRIM(LOWER(C1869)&amp;"|"&amp;LOWER(D1869)))</f>
        <v/>
      </c>
    </row>
    <row r="1870">
      <c r="A1870" s="11">
        <f>IF(B1870="","",TEXT(ROW()-3,"""DC-""0000"))</f>
        <v/>
      </c>
      <c r="B1870" s="5" t="n"/>
      <c r="C1870" s="5" t="n"/>
      <c r="D1870" s="5" t="n"/>
      <c r="E1870" s="5" t="n"/>
      <c r="F1870" s="5" t="n"/>
      <c r="G1870" s="5" t="n"/>
      <c r="H1870" s="8" t="n"/>
      <c r="I1870" s="8" t="n"/>
      <c r="J1870" s="8" t="n"/>
      <c r="K1870" s="11">
        <f>IF(B1870="","",MAX(0,IFERROR(I1870,0)*IFERROR(H1870,0)-IFERROR(J1870,0)))</f>
        <v/>
      </c>
      <c r="L1870" s="8" t="n"/>
      <c r="M1870" s="11">
        <f>IF(B1870="","",MAX(0,K1870-L1870))</f>
        <v/>
      </c>
      <c r="N1870" s="11">
        <f>IF(B1870="","",IF(L1870&gt;=K1870,"Paid",IF(L1870&gt;0,"Partial","Unpaid")))</f>
        <v/>
      </c>
      <c r="O1870" s="5" t="n"/>
      <c r="P1870" s="8" t="n"/>
      <c r="Q1870" s="8" t="n"/>
      <c r="R1870" s="11">
        <f>IF(B1870="","",IFERROR(K1870,0)+IFERROR(P1870,0)-IFERROR(Q1870,0))</f>
        <v/>
      </c>
      <c r="S1870" s="5" t="n"/>
      <c r="T1870" s="5" t="n"/>
      <c r="U1870" s="11">
        <f>IF(B1870="","",TRIM(LOWER(C1870)&amp;"|"&amp;LOWER(D1870)))</f>
        <v/>
      </c>
    </row>
    <row r="1871">
      <c r="A1871" s="11">
        <f>IF(B1871="","",TEXT(ROW()-3,"""DC-""0000"))</f>
        <v/>
      </c>
      <c r="B1871" s="5" t="n"/>
      <c r="C1871" s="5" t="n"/>
      <c r="D1871" s="5" t="n"/>
      <c r="E1871" s="5" t="n"/>
      <c r="F1871" s="5" t="n"/>
      <c r="G1871" s="5" t="n"/>
      <c r="H1871" s="8" t="n"/>
      <c r="I1871" s="8" t="n"/>
      <c r="J1871" s="8" t="n"/>
      <c r="K1871" s="11">
        <f>IF(B1871="","",MAX(0,IFERROR(I1871,0)*IFERROR(H1871,0)-IFERROR(J1871,0)))</f>
        <v/>
      </c>
      <c r="L1871" s="8" t="n"/>
      <c r="M1871" s="11">
        <f>IF(B1871="","",MAX(0,K1871-L1871))</f>
        <v/>
      </c>
      <c r="N1871" s="11">
        <f>IF(B1871="","",IF(L1871&gt;=K1871,"Paid",IF(L1871&gt;0,"Partial","Unpaid")))</f>
        <v/>
      </c>
      <c r="O1871" s="5" t="n"/>
      <c r="P1871" s="8" t="n"/>
      <c r="Q1871" s="8" t="n"/>
      <c r="R1871" s="11">
        <f>IF(B1871="","",IFERROR(K1871,0)+IFERROR(P1871,0)-IFERROR(Q1871,0))</f>
        <v/>
      </c>
      <c r="S1871" s="5" t="n"/>
      <c r="T1871" s="5" t="n"/>
      <c r="U1871" s="11">
        <f>IF(B1871="","",TRIM(LOWER(C1871)&amp;"|"&amp;LOWER(D1871)))</f>
        <v/>
      </c>
    </row>
    <row r="1872">
      <c r="A1872" s="11">
        <f>IF(B1872="","",TEXT(ROW()-3,"""DC-""0000"))</f>
        <v/>
      </c>
      <c r="B1872" s="5" t="n"/>
      <c r="C1872" s="5" t="n"/>
      <c r="D1872" s="5" t="n"/>
      <c r="E1872" s="5" t="n"/>
      <c r="F1872" s="5" t="n"/>
      <c r="G1872" s="5" t="n"/>
      <c r="H1872" s="8" t="n"/>
      <c r="I1872" s="8" t="n"/>
      <c r="J1872" s="8" t="n"/>
      <c r="K1872" s="11">
        <f>IF(B1872="","",MAX(0,IFERROR(I1872,0)*IFERROR(H1872,0)-IFERROR(J1872,0)))</f>
        <v/>
      </c>
      <c r="L1872" s="8" t="n"/>
      <c r="M1872" s="11">
        <f>IF(B1872="","",MAX(0,K1872-L1872))</f>
        <v/>
      </c>
      <c r="N1872" s="11">
        <f>IF(B1872="","",IF(L1872&gt;=K1872,"Paid",IF(L1872&gt;0,"Partial","Unpaid")))</f>
        <v/>
      </c>
      <c r="O1872" s="5" t="n"/>
      <c r="P1872" s="8" t="n"/>
      <c r="Q1872" s="8" t="n"/>
      <c r="R1872" s="11">
        <f>IF(B1872="","",IFERROR(K1872,0)+IFERROR(P1872,0)-IFERROR(Q1872,0))</f>
        <v/>
      </c>
      <c r="S1872" s="5" t="n"/>
      <c r="T1872" s="5" t="n"/>
      <c r="U1872" s="11">
        <f>IF(B1872="","",TRIM(LOWER(C1872)&amp;"|"&amp;LOWER(D1872)))</f>
        <v/>
      </c>
    </row>
    <row r="1873">
      <c r="A1873" s="11">
        <f>IF(B1873="","",TEXT(ROW()-3,"""DC-""0000"))</f>
        <v/>
      </c>
      <c r="B1873" s="5" t="n"/>
      <c r="C1873" s="5" t="n"/>
      <c r="D1873" s="5" t="n"/>
      <c r="E1873" s="5" t="n"/>
      <c r="F1873" s="5" t="n"/>
      <c r="G1873" s="5" t="n"/>
      <c r="H1873" s="8" t="n"/>
      <c r="I1873" s="8" t="n"/>
      <c r="J1873" s="8" t="n"/>
      <c r="K1873" s="11">
        <f>IF(B1873="","",MAX(0,IFERROR(I1873,0)*IFERROR(H1873,0)-IFERROR(J1873,0)))</f>
        <v/>
      </c>
      <c r="L1873" s="8" t="n"/>
      <c r="M1873" s="11">
        <f>IF(B1873="","",MAX(0,K1873-L1873))</f>
        <v/>
      </c>
      <c r="N1873" s="11">
        <f>IF(B1873="","",IF(L1873&gt;=K1873,"Paid",IF(L1873&gt;0,"Partial","Unpaid")))</f>
        <v/>
      </c>
      <c r="O1873" s="5" t="n"/>
      <c r="P1873" s="8" t="n"/>
      <c r="Q1873" s="8" t="n"/>
      <c r="R1873" s="11">
        <f>IF(B1873="","",IFERROR(K1873,0)+IFERROR(P1873,0)-IFERROR(Q1873,0))</f>
        <v/>
      </c>
      <c r="S1873" s="5" t="n"/>
      <c r="T1873" s="5" t="n"/>
      <c r="U1873" s="11">
        <f>IF(B1873="","",TRIM(LOWER(C1873)&amp;"|"&amp;LOWER(D1873)))</f>
        <v/>
      </c>
    </row>
    <row r="1874">
      <c r="A1874" s="11">
        <f>IF(B1874="","",TEXT(ROW()-3,"""DC-""0000"))</f>
        <v/>
      </c>
      <c r="B1874" s="5" t="n"/>
      <c r="C1874" s="5" t="n"/>
      <c r="D1874" s="5" t="n"/>
      <c r="E1874" s="5" t="n"/>
      <c r="F1874" s="5" t="n"/>
      <c r="G1874" s="5" t="n"/>
      <c r="H1874" s="8" t="n"/>
      <c r="I1874" s="8" t="n"/>
      <c r="J1874" s="8" t="n"/>
      <c r="K1874" s="11">
        <f>IF(B1874="","",MAX(0,IFERROR(I1874,0)*IFERROR(H1874,0)-IFERROR(J1874,0)))</f>
        <v/>
      </c>
      <c r="L1874" s="8" t="n"/>
      <c r="M1874" s="11">
        <f>IF(B1874="","",MAX(0,K1874-L1874))</f>
        <v/>
      </c>
      <c r="N1874" s="11">
        <f>IF(B1874="","",IF(L1874&gt;=K1874,"Paid",IF(L1874&gt;0,"Partial","Unpaid")))</f>
        <v/>
      </c>
      <c r="O1874" s="5" t="n"/>
      <c r="P1874" s="8" t="n"/>
      <c r="Q1874" s="8" t="n"/>
      <c r="R1874" s="11">
        <f>IF(B1874="","",IFERROR(K1874,0)+IFERROR(P1874,0)-IFERROR(Q1874,0))</f>
        <v/>
      </c>
      <c r="S1874" s="5" t="n"/>
      <c r="T1874" s="5" t="n"/>
      <c r="U1874" s="11">
        <f>IF(B1874="","",TRIM(LOWER(C1874)&amp;"|"&amp;LOWER(D1874)))</f>
        <v/>
      </c>
    </row>
    <row r="1875">
      <c r="A1875" s="11">
        <f>IF(B1875="","",TEXT(ROW()-3,"""DC-""0000"))</f>
        <v/>
      </c>
      <c r="B1875" s="5" t="n"/>
      <c r="C1875" s="5" t="n"/>
      <c r="D1875" s="5" t="n"/>
      <c r="E1875" s="5" t="n"/>
      <c r="F1875" s="5" t="n"/>
      <c r="G1875" s="5" t="n"/>
      <c r="H1875" s="8" t="n"/>
      <c r="I1875" s="8" t="n"/>
      <c r="J1875" s="8" t="n"/>
      <c r="K1875" s="11">
        <f>IF(B1875="","",MAX(0,IFERROR(I1875,0)*IFERROR(H1875,0)-IFERROR(J1875,0)))</f>
        <v/>
      </c>
      <c r="L1875" s="8" t="n"/>
      <c r="M1875" s="11">
        <f>IF(B1875="","",MAX(0,K1875-L1875))</f>
        <v/>
      </c>
      <c r="N1875" s="11">
        <f>IF(B1875="","",IF(L1875&gt;=K1875,"Paid",IF(L1875&gt;0,"Partial","Unpaid")))</f>
        <v/>
      </c>
      <c r="O1875" s="5" t="n"/>
      <c r="P1875" s="8" t="n"/>
      <c r="Q1875" s="8" t="n"/>
      <c r="R1875" s="11">
        <f>IF(B1875="","",IFERROR(K1875,0)+IFERROR(P1875,0)-IFERROR(Q1875,0))</f>
        <v/>
      </c>
      <c r="S1875" s="5" t="n"/>
      <c r="T1875" s="5" t="n"/>
      <c r="U1875" s="11">
        <f>IF(B1875="","",TRIM(LOWER(C1875)&amp;"|"&amp;LOWER(D1875)))</f>
        <v/>
      </c>
    </row>
    <row r="1876">
      <c r="A1876" s="11">
        <f>IF(B1876="","",TEXT(ROW()-3,"""DC-""0000"))</f>
        <v/>
      </c>
      <c r="B1876" s="5" t="n"/>
      <c r="C1876" s="5" t="n"/>
      <c r="D1876" s="5" t="n"/>
      <c r="E1876" s="5" t="n"/>
      <c r="F1876" s="5" t="n"/>
      <c r="G1876" s="5" t="n"/>
      <c r="H1876" s="8" t="n"/>
      <c r="I1876" s="8" t="n"/>
      <c r="J1876" s="8" t="n"/>
      <c r="K1876" s="11">
        <f>IF(B1876="","",MAX(0,IFERROR(I1876,0)*IFERROR(H1876,0)-IFERROR(J1876,0)))</f>
        <v/>
      </c>
      <c r="L1876" s="8" t="n"/>
      <c r="M1876" s="11">
        <f>IF(B1876="","",MAX(0,K1876-L1876))</f>
        <v/>
      </c>
      <c r="N1876" s="11">
        <f>IF(B1876="","",IF(L1876&gt;=K1876,"Paid",IF(L1876&gt;0,"Partial","Unpaid")))</f>
        <v/>
      </c>
      <c r="O1876" s="5" t="n"/>
      <c r="P1876" s="8" t="n"/>
      <c r="Q1876" s="8" t="n"/>
      <c r="R1876" s="11">
        <f>IF(B1876="","",IFERROR(K1876,0)+IFERROR(P1876,0)-IFERROR(Q1876,0))</f>
        <v/>
      </c>
      <c r="S1876" s="5" t="n"/>
      <c r="T1876" s="5" t="n"/>
      <c r="U1876" s="11">
        <f>IF(B1876="","",TRIM(LOWER(C1876)&amp;"|"&amp;LOWER(D1876)))</f>
        <v/>
      </c>
    </row>
    <row r="1877">
      <c r="A1877" s="11">
        <f>IF(B1877="","",TEXT(ROW()-3,"""DC-""0000"))</f>
        <v/>
      </c>
      <c r="B1877" s="5" t="n"/>
      <c r="C1877" s="5" t="n"/>
      <c r="D1877" s="5" t="n"/>
      <c r="E1877" s="5" t="n"/>
      <c r="F1877" s="5" t="n"/>
      <c r="G1877" s="5" t="n"/>
      <c r="H1877" s="8" t="n"/>
      <c r="I1877" s="8" t="n"/>
      <c r="J1877" s="8" t="n"/>
      <c r="K1877" s="11">
        <f>IF(B1877="","",MAX(0,IFERROR(I1877,0)*IFERROR(H1877,0)-IFERROR(J1877,0)))</f>
        <v/>
      </c>
      <c r="L1877" s="8" t="n"/>
      <c r="M1877" s="11">
        <f>IF(B1877="","",MAX(0,K1877-L1877))</f>
        <v/>
      </c>
      <c r="N1877" s="11">
        <f>IF(B1877="","",IF(L1877&gt;=K1877,"Paid",IF(L1877&gt;0,"Partial","Unpaid")))</f>
        <v/>
      </c>
      <c r="O1877" s="5" t="n"/>
      <c r="P1877" s="8" t="n"/>
      <c r="Q1877" s="8" t="n"/>
      <c r="R1877" s="11">
        <f>IF(B1877="","",IFERROR(K1877,0)+IFERROR(P1877,0)-IFERROR(Q1877,0))</f>
        <v/>
      </c>
      <c r="S1877" s="5" t="n"/>
      <c r="T1877" s="5" t="n"/>
      <c r="U1877" s="11">
        <f>IF(B1877="","",TRIM(LOWER(C1877)&amp;"|"&amp;LOWER(D1877)))</f>
        <v/>
      </c>
    </row>
    <row r="1878">
      <c r="A1878" s="11">
        <f>IF(B1878="","",TEXT(ROW()-3,"""DC-""0000"))</f>
        <v/>
      </c>
      <c r="B1878" s="5" t="n"/>
      <c r="C1878" s="5" t="n"/>
      <c r="D1878" s="5" t="n"/>
      <c r="E1878" s="5" t="n"/>
      <c r="F1878" s="5" t="n"/>
      <c r="G1878" s="5" t="n"/>
      <c r="H1878" s="8" t="n"/>
      <c r="I1878" s="8" t="n"/>
      <c r="J1878" s="8" t="n"/>
      <c r="K1878" s="11">
        <f>IF(B1878="","",MAX(0,IFERROR(I1878,0)*IFERROR(H1878,0)-IFERROR(J1878,0)))</f>
        <v/>
      </c>
      <c r="L1878" s="8" t="n"/>
      <c r="M1878" s="11">
        <f>IF(B1878="","",MAX(0,K1878-L1878))</f>
        <v/>
      </c>
      <c r="N1878" s="11">
        <f>IF(B1878="","",IF(L1878&gt;=K1878,"Paid",IF(L1878&gt;0,"Partial","Unpaid")))</f>
        <v/>
      </c>
      <c r="O1878" s="5" t="n"/>
      <c r="P1878" s="8" t="n"/>
      <c r="Q1878" s="8" t="n"/>
      <c r="R1878" s="11">
        <f>IF(B1878="","",IFERROR(K1878,0)+IFERROR(P1878,0)-IFERROR(Q1878,0))</f>
        <v/>
      </c>
      <c r="S1878" s="5" t="n"/>
      <c r="T1878" s="5" t="n"/>
      <c r="U1878" s="11">
        <f>IF(B1878="","",TRIM(LOWER(C1878)&amp;"|"&amp;LOWER(D1878)))</f>
        <v/>
      </c>
    </row>
    <row r="1879">
      <c r="A1879" s="11">
        <f>IF(B1879="","",TEXT(ROW()-3,"""DC-""0000"))</f>
        <v/>
      </c>
      <c r="B1879" s="5" t="n"/>
      <c r="C1879" s="5" t="n"/>
      <c r="D1879" s="5" t="n"/>
      <c r="E1879" s="5" t="n"/>
      <c r="F1879" s="5" t="n"/>
      <c r="G1879" s="5" t="n"/>
      <c r="H1879" s="8" t="n"/>
      <c r="I1879" s="8" t="n"/>
      <c r="J1879" s="8" t="n"/>
      <c r="K1879" s="11">
        <f>IF(B1879="","",MAX(0,IFERROR(I1879,0)*IFERROR(H1879,0)-IFERROR(J1879,0)))</f>
        <v/>
      </c>
      <c r="L1879" s="8" t="n"/>
      <c r="M1879" s="11">
        <f>IF(B1879="","",MAX(0,K1879-L1879))</f>
        <v/>
      </c>
      <c r="N1879" s="11">
        <f>IF(B1879="","",IF(L1879&gt;=K1879,"Paid",IF(L1879&gt;0,"Partial","Unpaid")))</f>
        <v/>
      </c>
      <c r="O1879" s="5" t="n"/>
      <c r="P1879" s="8" t="n"/>
      <c r="Q1879" s="8" t="n"/>
      <c r="R1879" s="11">
        <f>IF(B1879="","",IFERROR(K1879,0)+IFERROR(P1879,0)-IFERROR(Q1879,0))</f>
        <v/>
      </c>
      <c r="S1879" s="5" t="n"/>
      <c r="T1879" s="5" t="n"/>
      <c r="U1879" s="11">
        <f>IF(B1879="","",TRIM(LOWER(C1879)&amp;"|"&amp;LOWER(D1879)))</f>
        <v/>
      </c>
    </row>
    <row r="1880">
      <c r="A1880" s="11">
        <f>IF(B1880="","",TEXT(ROW()-3,"""DC-""0000"))</f>
        <v/>
      </c>
      <c r="B1880" s="5" t="n"/>
      <c r="C1880" s="5" t="n"/>
      <c r="D1880" s="5" t="n"/>
      <c r="E1880" s="5" t="n"/>
      <c r="F1880" s="5" t="n"/>
      <c r="G1880" s="5" t="n"/>
      <c r="H1880" s="8" t="n"/>
      <c r="I1880" s="8" t="n"/>
      <c r="J1880" s="8" t="n"/>
      <c r="K1880" s="11">
        <f>IF(B1880="","",MAX(0,IFERROR(I1880,0)*IFERROR(H1880,0)-IFERROR(J1880,0)))</f>
        <v/>
      </c>
      <c r="L1880" s="8" t="n"/>
      <c r="M1880" s="11">
        <f>IF(B1880="","",MAX(0,K1880-L1880))</f>
        <v/>
      </c>
      <c r="N1880" s="11">
        <f>IF(B1880="","",IF(L1880&gt;=K1880,"Paid",IF(L1880&gt;0,"Partial","Unpaid")))</f>
        <v/>
      </c>
      <c r="O1880" s="5" t="n"/>
      <c r="P1880" s="8" t="n"/>
      <c r="Q1880" s="8" t="n"/>
      <c r="R1880" s="11">
        <f>IF(B1880="","",IFERROR(K1880,0)+IFERROR(P1880,0)-IFERROR(Q1880,0))</f>
        <v/>
      </c>
      <c r="S1880" s="5" t="n"/>
      <c r="T1880" s="5" t="n"/>
      <c r="U1880" s="11">
        <f>IF(B1880="","",TRIM(LOWER(C1880)&amp;"|"&amp;LOWER(D1880)))</f>
        <v/>
      </c>
    </row>
    <row r="1881">
      <c r="A1881" s="11">
        <f>IF(B1881="","",TEXT(ROW()-3,"""DC-""0000"))</f>
        <v/>
      </c>
      <c r="B1881" s="5" t="n"/>
      <c r="C1881" s="5" t="n"/>
      <c r="D1881" s="5" t="n"/>
      <c r="E1881" s="5" t="n"/>
      <c r="F1881" s="5" t="n"/>
      <c r="G1881" s="5" t="n"/>
      <c r="H1881" s="8" t="n"/>
      <c r="I1881" s="8" t="n"/>
      <c r="J1881" s="8" t="n"/>
      <c r="K1881" s="11">
        <f>IF(B1881="","",MAX(0,IFERROR(I1881,0)*IFERROR(H1881,0)-IFERROR(J1881,0)))</f>
        <v/>
      </c>
      <c r="L1881" s="8" t="n"/>
      <c r="M1881" s="11">
        <f>IF(B1881="","",MAX(0,K1881-L1881))</f>
        <v/>
      </c>
      <c r="N1881" s="11">
        <f>IF(B1881="","",IF(L1881&gt;=K1881,"Paid",IF(L1881&gt;0,"Partial","Unpaid")))</f>
        <v/>
      </c>
      <c r="O1881" s="5" t="n"/>
      <c r="P1881" s="8" t="n"/>
      <c r="Q1881" s="8" t="n"/>
      <c r="R1881" s="11">
        <f>IF(B1881="","",IFERROR(K1881,0)+IFERROR(P1881,0)-IFERROR(Q1881,0))</f>
        <v/>
      </c>
      <c r="S1881" s="5" t="n"/>
      <c r="T1881" s="5" t="n"/>
      <c r="U1881" s="11">
        <f>IF(B1881="","",TRIM(LOWER(C1881)&amp;"|"&amp;LOWER(D1881)))</f>
        <v/>
      </c>
    </row>
    <row r="1882">
      <c r="A1882" s="11">
        <f>IF(B1882="","",TEXT(ROW()-3,"""DC-""0000"))</f>
        <v/>
      </c>
      <c r="B1882" s="5" t="n"/>
      <c r="C1882" s="5" t="n"/>
      <c r="D1882" s="5" t="n"/>
      <c r="E1882" s="5" t="n"/>
      <c r="F1882" s="5" t="n"/>
      <c r="G1882" s="5" t="n"/>
      <c r="H1882" s="8" t="n"/>
      <c r="I1882" s="8" t="n"/>
      <c r="J1882" s="8" t="n"/>
      <c r="K1882" s="11">
        <f>IF(B1882="","",MAX(0,IFERROR(I1882,0)*IFERROR(H1882,0)-IFERROR(J1882,0)))</f>
        <v/>
      </c>
      <c r="L1882" s="8" t="n"/>
      <c r="M1882" s="11">
        <f>IF(B1882="","",MAX(0,K1882-L1882))</f>
        <v/>
      </c>
      <c r="N1882" s="11">
        <f>IF(B1882="","",IF(L1882&gt;=K1882,"Paid",IF(L1882&gt;0,"Partial","Unpaid")))</f>
        <v/>
      </c>
      <c r="O1882" s="5" t="n"/>
      <c r="P1882" s="8" t="n"/>
      <c r="Q1882" s="8" t="n"/>
      <c r="R1882" s="11">
        <f>IF(B1882="","",IFERROR(K1882,0)+IFERROR(P1882,0)-IFERROR(Q1882,0))</f>
        <v/>
      </c>
      <c r="S1882" s="5" t="n"/>
      <c r="T1882" s="5" t="n"/>
      <c r="U1882" s="11">
        <f>IF(B1882="","",TRIM(LOWER(C1882)&amp;"|"&amp;LOWER(D1882)))</f>
        <v/>
      </c>
    </row>
    <row r="1883">
      <c r="A1883" s="11">
        <f>IF(B1883="","",TEXT(ROW()-3,"""DC-""0000"))</f>
        <v/>
      </c>
      <c r="B1883" s="5" t="n"/>
      <c r="C1883" s="5" t="n"/>
      <c r="D1883" s="5" t="n"/>
      <c r="E1883" s="5" t="n"/>
      <c r="F1883" s="5" t="n"/>
      <c r="G1883" s="5" t="n"/>
      <c r="H1883" s="8" t="n"/>
      <c r="I1883" s="8" t="n"/>
      <c r="J1883" s="8" t="n"/>
      <c r="K1883" s="11">
        <f>IF(B1883="","",MAX(0,IFERROR(I1883,0)*IFERROR(H1883,0)-IFERROR(J1883,0)))</f>
        <v/>
      </c>
      <c r="L1883" s="8" t="n"/>
      <c r="M1883" s="11">
        <f>IF(B1883="","",MAX(0,K1883-L1883))</f>
        <v/>
      </c>
      <c r="N1883" s="11">
        <f>IF(B1883="","",IF(L1883&gt;=K1883,"Paid",IF(L1883&gt;0,"Partial","Unpaid")))</f>
        <v/>
      </c>
      <c r="O1883" s="5" t="n"/>
      <c r="P1883" s="8" t="n"/>
      <c r="Q1883" s="8" t="n"/>
      <c r="R1883" s="11">
        <f>IF(B1883="","",IFERROR(K1883,0)+IFERROR(P1883,0)-IFERROR(Q1883,0))</f>
        <v/>
      </c>
      <c r="S1883" s="5" t="n"/>
      <c r="T1883" s="5" t="n"/>
      <c r="U1883" s="11">
        <f>IF(B1883="","",TRIM(LOWER(C1883)&amp;"|"&amp;LOWER(D1883)))</f>
        <v/>
      </c>
    </row>
    <row r="1884">
      <c r="A1884" s="11">
        <f>IF(B1884="","",TEXT(ROW()-3,"""DC-""0000"))</f>
        <v/>
      </c>
      <c r="B1884" s="5" t="n"/>
      <c r="C1884" s="5" t="n"/>
      <c r="D1884" s="5" t="n"/>
      <c r="E1884" s="5" t="n"/>
      <c r="F1884" s="5" t="n"/>
      <c r="G1884" s="5" t="n"/>
      <c r="H1884" s="8" t="n"/>
      <c r="I1884" s="8" t="n"/>
      <c r="J1884" s="8" t="n"/>
      <c r="K1884" s="11">
        <f>IF(B1884="","",MAX(0,IFERROR(I1884,0)*IFERROR(H1884,0)-IFERROR(J1884,0)))</f>
        <v/>
      </c>
      <c r="L1884" s="8" t="n"/>
      <c r="M1884" s="11">
        <f>IF(B1884="","",MAX(0,K1884-L1884))</f>
        <v/>
      </c>
      <c r="N1884" s="11">
        <f>IF(B1884="","",IF(L1884&gt;=K1884,"Paid",IF(L1884&gt;0,"Partial","Unpaid")))</f>
        <v/>
      </c>
      <c r="O1884" s="5" t="n"/>
      <c r="P1884" s="8" t="n"/>
      <c r="Q1884" s="8" t="n"/>
      <c r="R1884" s="11">
        <f>IF(B1884="","",IFERROR(K1884,0)+IFERROR(P1884,0)-IFERROR(Q1884,0))</f>
        <v/>
      </c>
      <c r="S1884" s="5" t="n"/>
      <c r="T1884" s="5" t="n"/>
      <c r="U1884" s="11">
        <f>IF(B1884="","",TRIM(LOWER(C1884)&amp;"|"&amp;LOWER(D1884)))</f>
        <v/>
      </c>
    </row>
    <row r="1885">
      <c r="A1885" s="11">
        <f>IF(B1885="","",TEXT(ROW()-3,"""DC-""0000"))</f>
        <v/>
      </c>
      <c r="B1885" s="5" t="n"/>
      <c r="C1885" s="5" t="n"/>
      <c r="D1885" s="5" t="n"/>
      <c r="E1885" s="5" t="n"/>
      <c r="F1885" s="5" t="n"/>
      <c r="G1885" s="5" t="n"/>
      <c r="H1885" s="8" t="n"/>
      <c r="I1885" s="8" t="n"/>
      <c r="J1885" s="8" t="n"/>
      <c r="K1885" s="11">
        <f>IF(B1885="","",MAX(0,IFERROR(I1885,0)*IFERROR(H1885,0)-IFERROR(J1885,0)))</f>
        <v/>
      </c>
      <c r="L1885" s="8" t="n"/>
      <c r="M1885" s="11">
        <f>IF(B1885="","",MAX(0,K1885-L1885))</f>
        <v/>
      </c>
      <c r="N1885" s="11">
        <f>IF(B1885="","",IF(L1885&gt;=K1885,"Paid",IF(L1885&gt;0,"Partial","Unpaid")))</f>
        <v/>
      </c>
      <c r="O1885" s="5" t="n"/>
      <c r="P1885" s="8" t="n"/>
      <c r="Q1885" s="8" t="n"/>
      <c r="R1885" s="11">
        <f>IF(B1885="","",IFERROR(K1885,0)+IFERROR(P1885,0)-IFERROR(Q1885,0))</f>
        <v/>
      </c>
      <c r="S1885" s="5" t="n"/>
      <c r="T1885" s="5" t="n"/>
      <c r="U1885" s="11">
        <f>IF(B1885="","",TRIM(LOWER(C1885)&amp;"|"&amp;LOWER(D1885)))</f>
        <v/>
      </c>
    </row>
    <row r="1886">
      <c r="A1886" s="11">
        <f>IF(B1886="","",TEXT(ROW()-3,"""DC-""0000"))</f>
        <v/>
      </c>
      <c r="B1886" s="5" t="n"/>
      <c r="C1886" s="5" t="n"/>
      <c r="D1886" s="5" t="n"/>
      <c r="E1886" s="5" t="n"/>
      <c r="F1886" s="5" t="n"/>
      <c r="G1886" s="5" t="n"/>
      <c r="H1886" s="8" t="n"/>
      <c r="I1886" s="8" t="n"/>
      <c r="J1886" s="8" t="n"/>
      <c r="K1886" s="11">
        <f>IF(B1886="","",MAX(0,IFERROR(I1886,0)*IFERROR(H1886,0)-IFERROR(J1886,0)))</f>
        <v/>
      </c>
      <c r="L1886" s="8" t="n"/>
      <c r="M1886" s="11">
        <f>IF(B1886="","",MAX(0,K1886-L1886))</f>
        <v/>
      </c>
      <c r="N1886" s="11">
        <f>IF(B1886="","",IF(L1886&gt;=K1886,"Paid",IF(L1886&gt;0,"Partial","Unpaid")))</f>
        <v/>
      </c>
      <c r="O1886" s="5" t="n"/>
      <c r="P1886" s="8" t="n"/>
      <c r="Q1886" s="8" t="n"/>
      <c r="R1886" s="11">
        <f>IF(B1886="","",IFERROR(K1886,0)+IFERROR(P1886,0)-IFERROR(Q1886,0))</f>
        <v/>
      </c>
      <c r="S1886" s="5" t="n"/>
      <c r="T1886" s="5" t="n"/>
      <c r="U1886" s="11">
        <f>IF(B1886="","",TRIM(LOWER(C1886)&amp;"|"&amp;LOWER(D1886)))</f>
        <v/>
      </c>
    </row>
    <row r="1887">
      <c r="A1887" s="11">
        <f>IF(B1887="","",TEXT(ROW()-3,"""DC-""0000"))</f>
        <v/>
      </c>
      <c r="B1887" s="5" t="n"/>
      <c r="C1887" s="5" t="n"/>
      <c r="D1887" s="5" t="n"/>
      <c r="E1887" s="5" t="n"/>
      <c r="F1887" s="5" t="n"/>
      <c r="G1887" s="5" t="n"/>
      <c r="H1887" s="8" t="n"/>
      <c r="I1887" s="8" t="n"/>
      <c r="J1887" s="8" t="n"/>
      <c r="K1887" s="11">
        <f>IF(B1887="","",MAX(0,IFERROR(I1887,0)*IFERROR(H1887,0)-IFERROR(J1887,0)))</f>
        <v/>
      </c>
      <c r="L1887" s="8" t="n"/>
      <c r="M1887" s="11">
        <f>IF(B1887="","",MAX(0,K1887-L1887))</f>
        <v/>
      </c>
      <c r="N1887" s="11">
        <f>IF(B1887="","",IF(L1887&gt;=K1887,"Paid",IF(L1887&gt;0,"Partial","Unpaid")))</f>
        <v/>
      </c>
      <c r="O1887" s="5" t="n"/>
      <c r="P1887" s="8" t="n"/>
      <c r="Q1887" s="8" t="n"/>
      <c r="R1887" s="11">
        <f>IF(B1887="","",IFERROR(K1887,0)+IFERROR(P1887,0)-IFERROR(Q1887,0))</f>
        <v/>
      </c>
      <c r="S1887" s="5" t="n"/>
      <c r="T1887" s="5" t="n"/>
      <c r="U1887" s="11">
        <f>IF(B1887="","",TRIM(LOWER(C1887)&amp;"|"&amp;LOWER(D1887)))</f>
        <v/>
      </c>
    </row>
    <row r="1888">
      <c r="A1888" s="11">
        <f>IF(B1888="","",TEXT(ROW()-3,"""DC-""0000"))</f>
        <v/>
      </c>
      <c r="B1888" s="5" t="n"/>
      <c r="C1888" s="5" t="n"/>
      <c r="D1888" s="5" t="n"/>
      <c r="E1888" s="5" t="n"/>
      <c r="F1888" s="5" t="n"/>
      <c r="G1888" s="5" t="n"/>
      <c r="H1888" s="8" t="n"/>
      <c r="I1888" s="8" t="n"/>
      <c r="J1888" s="8" t="n"/>
      <c r="K1888" s="11">
        <f>IF(B1888="","",MAX(0,IFERROR(I1888,0)*IFERROR(H1888,0)-IFERROR(J1888,0)))</f>
        <v/>
      </c>
      <c r="L1888" s="8" t="n"/>
      <c r="M1888" s="11">
        <f>IF(B1888="","",MAX(0,K1888-L1888))</f>
        <v/>
      </c>
      <c r="N1888" s="11">
        <f>IF(B1888="","",IF(L1888&gt;=K1888,"Paid",IF(L1888&gt;0,"Partial","Unpaid")))</f>
        <v/>
      </c>
      <c r="O1888" s="5" t="n"/>
      <c r="P1888" s="8" t="n"/>
      <c r="Q1888" s="8" t="n"/>
      <c r="R1888" s="11">
        <f>IF(B1888="","",IFERROR(K1888,0)+IFERROR(P1888,0)-IFERROR(Q1888,0))</f>
        <v/>
      </c>
      <c r="S1888" s="5" t="n"/>
      <c r="T1888" s="5" t="n"/>
      <c r="U1888" s="11">
        <f>IF(B1888="","",TRIM(LOWER(C1888)&amp;"|"&amp;LOWER(D1888)))</f>
        <v/>
      </c>
    </row>
    <row r="1889">
      <c r="A1889" s="11">
        <f>IF(B1889="","",TEXT(ROW()-3,"""DC-""0000"))</f>
        <v/>
      </c>
      <c r="B1889" s="5" t="n"/>
      <c r="C1889" s="5" t="n"/>
      <c r="D1889" s="5" t="n"/>
      <c r="E1889" s="5" t="n"/>
      <c r="F1889" s="5" t="n"/>
      <c r="G1889" s="5" t="n"/>
      <c r="H1889" s="8" t="n"/>
      <c r="I1889" s="8" t="n"/>
      <c r="J1889" s="8" t="n"/>
      <c r="K1889" s="11">
        <f>IF(B1889="","",MAX(0,IFERROR(I1889,0)*IFERROR(H1889,0)-IFERROR(J1889,0)))</f>
        <v/>
      </c>
      <c r="L1889" s="8" t="n"/>
      <c r="M1889" s="11">
        <f>IF(B1889="","",MAX(0,K1889-L1889))</f>
        <v/>
      </c>
      <c r="N1889" s="11">
        <f>IF(B1889="","",IF(L1889&gt;=K1889,"Paid",IF(L1889&gt;0,"Partial","Unpaid")))</f>
        <v/>
      </c>
      <c r="O1889" s="5" t="n"/>
      <c r="P1889" s="8" t="n"/>
      <c r="Q1889" s="8" t="n"/>
      <c r="R1889" s="11">
        <f>IF(B1889="","",IFERROR(K1889,0)+IFERROR(P1889,0)-IFERROR(Q1889,0))</f>
        <v/>
      </c>
      <c r="S1889" s="5" t="n"/>
      <c r="T1889" s="5" t="n"/>
      <c r="U1889" s="11">
        <f>IF(B1889="","",TRIM(LOWER(C1889)&amp;"|"&amp;LOWER(D1889)))</f>
        <v/>
      </c>
    </row>
    <row r="1890">
      <c r="A1890" s="11">
        <f>IF(B1890="","",TEXT(ROW()-3,"""DC-""0000"))</f>
        <v/>
      </c>
      <c r="B1890" s="5" t="n"/>
      <c r="C1890" s="5" t="n"/>
      <c r="D1890" s="5" t="n"/>
      <c r="E1890" s="5" t="n"/>
      <c r="F1890" s="5" t="n"/>
      <c r="G1890" s="5" t="n"/>
      <c r="H1890" s="8" t="n"/>
      <c r="I1890" s="8" t="n"/>
      <c r="J1890" s="8" t="n"/>
      <c r="K1890" s="11">
        <f>IF(B1890="","",MAX(0,IFERROR(I1890,0)*IFERROR(H1890,0)-IFERROR(J1890,0)))</f>
        <v/>
      </c>
      <c r="L1890" s="8" t="n"/>
      <c r="M1890" s="11">
        <f>IF(B1890="","",MAX(0,K1890-L1890))</f>
        <v/>
      </c>
      <c r="N1890" s="11">
        <f>IF(B1890="","",IF(L1890&gt;=K1890,"Paid",IF(L1890&gt;0,"Partial","Unpaid")))</f>
        <v/>
      </c>
      <c r="O1890" s="5" t="n"/>
      <c r="P1890" s="8" t="n"/>
      <c r="Q1890" s="8" t="n"/>
      <c r="R1890" s="11">
        <f>IF(B1890="","",IFERROR(K1890,0)+IFERROR(P1890,0)-IFERROR(Q1890,0))</f>
        <v/>
      </c>
      <c r="S1890" s="5" t="n"/>
      <c r="T1890" s="5" t="n"/>
      <c r="U1890" s="11">
        <f>IF(B1890="","",TRIM(LOWER(C1890)&amp;"|"&amp;LOWER(D1890)))</f>
        <v/>
      </c>
    </row>
    <row r="1891">
      <c r="A1891" s="11">
        <f>IF(B1891="","",TEXT(ROW()-3,"""DC-""0000"))</f>
        <v/>
      </c>
      <c r="B1891" s="5" t="n"/>
      <c r="C1891" s="5" t="n"/>
      <c r="D1891" s="5" t="n"/>
      <c r="E1891" s="5" t="n"/>
      <c r="F1891" s="5" t="n"/>
      <c r="G1891" s="5" t="n"/>
      <c r="H1891" s="8" t="n"/>
      <c r="I1891" s="8" t="n"/>
      <c r="J1891" s="8" t="n"/>
      <c r="K1891" s="11">
        <f>IF(B1891="","",MAX(0,IFERROR(I1891,0)*IFERROR(H1891,0)-IFERROR(J1891,0)))</f>
        <v/>
      </c>
      <c r="L1891" s="8" t="n"/>
      <c r="M1891" s="11">
        <f>IF(B1891="","",MAX(0,K1891-L1891))</f>
        <v/>
      </c>
      <c r="N1891" s="11">
        <f>IF(B1891="","",IF(L1891&gt;=K1891,"Paid",IF(L1891&gt;0,"Partial","Unpaid")))</f>
        <v/>
      </c>
      <c r="O1891" s="5" t="n"/>
      <c r="P1891" s="8" t="n"/>
      <c r="Q1891" s="8" t="n"/>
      <c r="R1891" s="11">
        <f>IF(B1891="","",IFERROR(K1891,0)+IFERROR(P1891,0)-IFERROR(Q1891,0))</f>
        <v/>
      </c>
      <c r="S1891" s="5" t="n"/>
      <c r="T1891" s="5" t="n"/>
      <c r="U1891" s="11">
        <f>IF(B1891="","",TRIM(LOWER(C1891)&amp;"|"&amp;LOWER(D1891)))</f>
        <v/>
      </c>
    </row>
    <row r="1892">
      <c r="A1892" s="11">
        <f>IF(B1892="","",TEXT(ROW()-3,"""DC-""0000"))</f>
        <v/>
      </c>
      <c r="B1892" s="5" t="n"/>
      <c r="C1892" s="5" t="n"/>
      <c r="D1892" s="5" t="n"/>
      <c r="E1892" s="5" t="n"/>
      <c r="F1892" s="5" t="n"/>
      <c r="G1892" s="5" t="n"/>
      <c r="H1892" s="8" t="n"/>
      <c r="I1892" s="8" t="n"/>
      <c r="J1892" s="8" t="n"/>
      <c r="K1892" s="11">
        <f>IF(B1892="","",MAX(0,IFERROR(I1892,0)*IFERROR(H1892,0)-IFERROR(J1892,0)))</f>
        <v/>
      </c>
      <c r="L1892" s="8" t="n"/>
      <c r="M1892" s="11">
        <f>IF(B1892="","",MAX(0,K1892-L1892))</f>
        <v/>
      </c>
      <c r="N1892" s="11">
        <f>IF(B1892="","",IF(L1892&gt;=K1892,"Paid",IF(L1892&gt;0,"Partial","Unpaid")))</f>
        <v/>
      </c>
      <c r="O1892" s="5" t="n"/>
      <c r="P1892" s="8" t="n"/>
      <c r="Q1892" s="8" t="n"/>
      <c r="R1892" s="11">
        <f>IF(B1892="","",IFERROR(K1892,0)+IFERROR(P1892,0)-IFERROR(Q1892,0))</f>
        <v/>
      </c>
      <c r="S1892" s="5" t="n"/>
      <c r="T1892" s="5" t="n"/>
      <c r="U1892" s="11">
        <f>IF(B1892="","",TRIM(LOWER(C1892)&amp;"|"&amp;LOWER(D1892)))</f>
        <v/>
      </c>
    </row>
    <row r="1893">
      <c r="A1893" s="11">
        <f>IF(B1893="","",TEXT(ROW()-3,"""DC-""0000"))</f>
        <v/>
      </c>
      <c r="B1893" s="5" t="n"/>
      <c r="C1893" s="5" t="n"/>
      <c r="D1893" s="5" t="n"/>
      <c r="E1893" s="5" t="n"/>
      <c r="F1893" s="5" t="n"/>
      <c r="G1893" s="5" t="n"/>
      <c r="H1893" s="8" t="n"/>
      <c r="I1893" s="8" t="n"/>
      <c r="J1893" s="8" t="n"/>
      <c r="K1893" s="11">
        <f>IF(B1893="","",MAX(0,IFERROR(I1893,0)*IFERROR(H1893,0)-IFERROR(J1893,0)))</f>
        <v/>
      </c>
      <c r="L1893" s="8" t="n"/>
      <c r="M1893" s="11">
        <f>IF(B1893="","",MAX(0,K1893-L1893))</f>
        <v/>
      </c>
      <c r="N1893" s="11">
        <f>IF(B1893="","",IF(L1893&gt;=K1893,"Paid",IF(L1893&gt;0,"Partial","Unpaid")))</f>
        <v/>
      </c>
      <c r="O1893" s="5" t="n"/>
      <c r="P1893" s="8" t="n"/>
      <c r="Q1893" s="8" t="n"/>
      <c r="R1893" s="11">
        <f>IF(B1893="","",IFERROR(K1893,0)+IFERROR(P1893,0)-IFERROR(Q1893,0))</f>
        <v/>
      </c>
      <c r="S1893" s="5" t="n"/>
      <c r="T1893" s="5" t="n"/>
      <c r="U1893" s="11">
        <f>IF(B1893="","",TRIM(LOWER(C1893)&amp;"|"&amp;LOWER(D1893)))</f>
        <v/>
      </c>
    </row>
    <row r="1894">
      <c r="A1894" s="11">
        <f>IF(B1894="","",TEXT(ROW()-3,"""DC-""0000"))</f>
        <v/>
      </c>
      <c r="B1894" s="5" t="n"/>
      <c r="C1894" s="5" t="n"/>
      <c r="D1894" s="5" t="n"/>
      <c r="E1894" s="5" t="n"/>
      <c r="F1894" s="5" t="n"/>
      <c r="G1894" s="5" t="n"/>
      <c r="H1894" s="8" t="n"/>
      <c r="I1894" s="8" t="n"/>
      <c r="J1894" s="8" t="n"/>
      <c r="K1894" s="11">
        <f>IF(B1894="","",MAX(0,IFERROR(I1894,0)*IFERROR(H1894,0)-IFERROR(J1894,0)))</f>
        <v/>
      </c>
      <c r="L1894" s="8" t="n"/>
      <c r="M1894" s="11">
        <f>IF(B1894="","",MAX(0,K1894-L1894))</f>
        <v/>
      </c>
      <c r="N1894" s="11">
        <f>IF(B1894="","",IF(L1894&gt;=K1894,"Paid",IF(L1894&gt;0,"Partial","Unpaid")))</f>
        <v/>
      </c>
      <c r="O1894" s="5" t="n"/>
      <c r="P1894" s="8" t="n"/>
      <c r="Q1894" s="8" t="n"/>
      <c r="R1894" s="11">
        <f>IF(B1894="","",IFERROR(K1894,0)+IFERROR(P1894,0)-IFERROR(Q1894,0))</f>
        <v/>
      </c>
      <c r="S1894" s="5" t="n"/>
      <c r="T1894" s="5" t="n"/>
      <c r="U1894" s="11">
        <f>IF(B1894="","",TRIM(LOWER(C1894)&amp;"|"&amp;LOWER(D1894)))</f>
        <v/>
      </c>
    </row>
    <row r="1895">
      <c r="A1895" s="11">
        <f>IF(B1895="","",TEXT(ROW()-3,"""DC-""0000"))</f>
        <v/>
      </c>
      <c r="B1895" s="5" t="n"/>
      <c r="C1895" s="5" t="n"/>
      <c r="D1895" s="5" t="n"/>
      <c r="E1895" s="5" t="n"/>
      <c r="F1895" s="5" t="n"/>
      <c r="G1895" s="5" t="n"/>
      <c r="H1895" s="8" t="n"/>
      <c r="I1895" s="8" t="n"/>
      <c r="J1895" s="8" t="n"/>
      <c r="K1895" s="11">
        <f>IF(B1895="","",MAX(0,IFERROR(I1895,0)*IFERROR(H1895,0)-IFERROR(J1895,0)))</f>
        <v/>
      </c>
      <c r="L1895" s="8" t="n"/>
      <c r="M1895" s="11">
        <f>IF(B1895="","",MAX(0,K1895-L1895))</f>
        <v/>
      </c>
      <c r="N1895" s="11">
        <f>IF(B1895="","",IF(L1895&gt;=K1895,"Paid",IF(L1895&gt;0,"Partial","Unpaid")))</f>
        <v/>
      </c>
      <c r="O1895" s="5" t="n"/>
      <c r="P1895" s="8" t="n"/>
      <c r="Q1895" s="8" t="n"/>
      <c r="R1895" s="11">
        <f>IF(B1895="","",IFERROR(K1895,0)+IFERROR(P1895,0)-IFERROR(Q1895,0))</f>
        <v/>
      </c>
      <c r="S1895" s="5" t="n"/>
      <c r="T1895" s="5" t="n"/>
      <c r="U1895" s="11">
        <f>IF(B1895="","",TRIM(LOWER(C1895)&amp;"|"&amp;LOWER(D1895)))</f>
        <v/>
      </c>
    </row>
    <row r="1896">
      <c r="A1896" s="11">
        <f>IF(B1896="","",TEXT(ROW()-3,"""DC-""0000"))</f>
        <v/>
      </c>
      <c r="B1896" s="5" t="n"/>
      <c r="C1896" s="5" t="n"/>
      <c r="D1896" s="5" t="n"/>
      <c r="E1896" s="5" t="n"/>
      <c r="F1896" s="5" t="n"/>
      <c r="G1896" s="5" t="n"/>
      <c r="H1896" s="8" t="n"/>
      <c r="I1896" s="8" t="n"/>
      <c r="J1896" s="8" t="n"/>
      <c r="K1896" s="11">
        <f>IF(B1896="","",MAX(0,IFERROR(I1896,0)*IFERROR(H1896,0)-IFERROR(J1896,0)))</f>
        <v/>
      </c>
      <c r="L1896" s="8" t="n"/>
      <c r="M1896" s="11">
        <f>IF(B1896="","",MAX(0,K1896-L1896))</f>
        <v/>
      </c>
      <c r="N1896" s="11">
        <f>IF(B1896="","",IF(L1896&gt;=K1896,"Paid",IF(L1896&gt;0,"Partial","Unpaid")))</f>
        <v/>
      </c>
      <c r="O1896" s="5" t="n"/>
      <c r="P1896" s="8" t="n"/>
      <c r="Q1896" s="8" t="n"/>
      <c r="R1896" s="11">
        <f>IF(B1896="","",IFERROR(K1896,0)+IFERROR(P1896,0)-IFERROR(Q1896,0))</f>
        <v/>
      </c>
      <c r="S1896" s="5" t="n"/>
      <c r="T1896" s="5" t="n"/>
      <c r="U1896" s="11">
        <f>IF(B1896="","",TRIM(LOWER(C1896)&amp;"|"&amp;LOWER(D1896)))</f>
        <v/>
      </c>
    </row>
    <row r="1897">
      <c r="A1897" s="11">
        <f>IF(B1897="","",TEXT(ROW()-3,"""DC-""0000"))</f>
        <v/>
      </c>
      <c r="B1897" s="5" t="n"/>
      <c r="C1897" s="5" t="n"/>
      <c r="D1897" s="5" t="n"/>
      <c r="E1897" s="5" t="n"/>
      <c r="F1897" s="5" t="n"/>
      <c r="G1897" s="5" t="n"/>
      <c r="H1897" s="8" t="n"/>
      <c r="I1897" s="8" t="n"/>
      <c r="J1897" s="8" t="n"/>
      <c r="K1897" s="11">
        <f>IF(B1897="","",MAX(0,IFERROR(I1897,0)*IFERROR(H1897,0)-IFERROR(J1897,0)))</f>
        <v/>
      </c>
      <c r="L1897" s="8" t="n"/>
      <c r="M1897" s="11">
        <f>IF(B1897="","",MAX(0,K1897-L1897))</f>
        <v/>
      </c>
      <c r="N1897" s="11">
        <f>IF(B1897="","",IF(L1897&gt;=K1897,"Paid",IF(L1897&gt;0,"Partial","Unpaid")))</f>
        <v/>
      </c>
      <c r="O1897" s="5" t="n"/>
      <c r="P1897" s="8" t="n"/>
      <c r="Q1897" s="8" t="n"/>
      <c r="R1897" s="11">
        <f>IF(B1897="","",IFERROR(K1897,0)+IFERROR(P1897,0)-IFERROR(Q1897,0))</f>
        <v/>
      </c>
      <c r="S1897" s="5" t="n"/>
      <c r="T1897" s="5" t="n"/>
      <c r="U1897" s="11">
        <f>IF(B1897="","",TRIM(LOWER(C1897)&amp;"|"&amp;LOWER(D1897)))</f>
        <v/>
      </c>
    </row>
    <row r="1898">
      <c r="A1898" s="11">
        <f>IF(B1898="","",TEXT(ROW()-3,"""DC-""0000"))</f>
        <v/>
      </c>
      <c r="B1898" s="5" t="n"/>
      <c r="C1898" s="5" t="n"/>
      <c r="D1898" s="5" t="n"/>
      <c r="E1898" s="5" t="n"/>
      <c r="F1898" s="5" t="n"/>
      <c r="G1898" s="5" t="n"/>
      <c r="H1898" s="8" t="n"/>
      <c r="I1898" s="8" t="n"/>
      <c r="J1898" s="8" t="n"/>
      <c r="K1898" s="11">
        <f>IF(B1898="","",MAX(0,IFERROR(I1898,0)*IFERROR(H1898,0)-IFERROR(J1898,0)))</f>
        <v/>
      </c>
      <c r="L1898" s="8" t="n"/>
      <c r="M1898" s="11">
        <f>IF(B1898="","",MAX(0,K1898-L1898))</f>
        <v/>
      </c>
      <c r="N1898" s="11">
        <f>IF(B1898="","",IF(L1898&gt;=K1898,"Paid",IF(L1898&gt;0,"Partial","Unpaid")))</f>
        <v/>
      </c>
      <c r="O1898" s="5" t="n"/>
      <c r="P1898" s="8" t="n"/>
      <c r="Q1898" s="8" t="n"/>
      <c r="R1898" s="11">
        <f>IF(B1898="","",IFERROR(K1898,0)+IFERROR(P1898,0)-IFERROR(Q1898,0))</f>
        <v/>
      </c>
      <c r="S1898" s="5" t="n"/>
      <c r="T1898" s="5" t="n"/>
      <c r="U1898" s="11">
        <f>IF(B1898="","",TRIM(LOWER(C1898)&amp;"|"&amp;LOWER(D1898)))</f>
        <v/>
      </c>
    </row>
    <row r="1899">
      <c r="A1899" s="11">
        <f>IF(B1899="","",TEXT(ROW()-3,"""DC-""0000"))</f>
        <v/>
      </c>
      <c r="B1899" s="5" t="n"/>
      <c r="C1899" s="5" t="n"/>
      <c r="D1899" s="5" t="n"/>
      <c r="E1899" s="5" t="n"/>
      <c r="F1899" s="5" t="n"/>
      <c r="G1899" s="5" t="n"/>
      <c r="H1899" s="8" t="n"/>
      <c r="I1899" s="8" t="n"/>
      <c r="J1899" s="8" t="n"/>
      <c r="K1899" s="11">
        <f>IF(B1899="","",MAX(0,IFERROR(I1899,0)*IFERROR(H1899,0)-IFERROR(J1899,0)))</f>
        <v/>
      </c>
      <c r="L1899" s="8" t="n"/>
      <c r="M1899" s="11">
        <f>IF(B1899="","",MAX(0,K1899-L1899))</f>
        <v/>
      </c>
      <c r="N1899" s="11">
        <f>IF(B1899="","",IF(L1899&gt;=K1899,"Paid",IF(L1899&gt;0,"Partial","Unpaid")))</f>
        <v/>
      </c>
      <c r="O1899" s="5" t="n"/>
      <c r="P1899" s="8" t="n"/>
      <c r="Q1899" s="8" t="n"/>
      <c r="R1899" s="11">
        <f>IF(B1899="","",IFERROR(K1899,0)+IFERROR(P1899,0)-IFERROR(Q1899,0))</f>
        <v/>
      </c>
      <c r="S1899" s="5" t="n"/>
      <c r="T1899" s="5" t="n"/>
      <c r="U1899" s="11">
        <f>IF(B1899="","",TRIM(LOWER(C1899)&amp;"|"&amp;LOWER(D1899)))</f>
        <v/>
      </c>
    </row>
    <row r="1900">
      <c r="A1900" s="11">
        <f>IF(B1900="","",TEXT(ROW()-3,"""DC-""0000"))</f>
        <v/>
      </c>
      <c r="B1900" s="5" t="n"/>
      <c r="C1900" s="5" t="n"/>
      <c r="D1900" s="5" t="n"/>
      <c r="E1900" s="5" t="n"/>
      <c r="F1900" s="5" t="n"/>
      <c r="G1900" s="5" t="n"/>
      <c r="H1900" s="8" t="n"/>
      <c r="I1900" s="8" t="n"/>
      <c r="J1900" s="8" t="n"/>
      <c r="K1900" s="11">
        <f>IF(B1900="","",MAX(0,IFERROR(I1900,0)*IFERROR(H1900,0)-IFERROR(J1900,0)))</f>
        <v/>
      </c>
      <c r="L1900" s="8" t="n"/>
      <c r="M1900" s="11">
        <f>IF(B1900="","",MAX(0,K1900-L1900))</f>
        <v/>
      </c>
      <c r="N1900" s="11">
        <f>IF(B1900="","",IF(L1900&gt;=K1900,"Paid",IF(L1900&gt;0,"Partial","Unpaid")))</f>
        <v/>
      </c>
      <c r="O1900" s="5" t="n"/>
      <c r="P1900" s="8" t="n"/>
      <c r="Q1900" s="8" t="n"/>
      <c r="R1900" s="11">
        <f>IF(B1900="","",IFERROR(K1900,0)+IFERROR(P1900,0)-IFERROR(Q1900,0))</f>
        <v/>
      </c>
      <c r="S1900" s="5" t="n"/>
      <c r="T1900" s="5" t="n"/>
      <c r="U1900" s="11">
        <f>IF(B1900="","",TRIM(LOWER(C1900)&amp;"|"&amp;LOWER(D1900)))</f>
        <v/>
      </c>
    </row>
    <row r="1901">
      <c r="A1901" s="11">
        <f>IF(B1901="","",TEXT(ROW()-3,"""DC-""0000"))</f>
        <v/>
      </c>
      <c r="B1901" s="5" t="n"/>
      <c r="C1901" s="5" t="n"/>
      <c r="D1901" s="5" t="n"/>
      <c r="E1901" s="5" t="n"/>
      <c r="F1901" s="5" t="n"/>
      <c r="G1901" s="5" t="n"/>
      <c r="H1901" s="8" t="n"/>
      <c r="I1901" s="8" t="n"/>
      <c r="J1901" s="8" t="n"/>
      <c r="K1901" s="11">
        <f>IF(B1901="","",MAX(0,IFERROR(I1901,0)*IFERROR(H1901,0)-IFERROR(J1901,0)))</f>
        <v/>
      </c>
      <c r="L1901" s="8" t="n"/>
      <c r="M1901" s="11">
        <f>IF(B1901="","",MAX(0,K1901-L1901))</f>
        <v/>
      </c>
      <c r="N1901" s="11">
        <f>IF(B1901="","",IF(L1901&gt;=K1901,"Paid",IF(L1901&gt;0,"Partial","Unpaid")))</f>
        <v/>
      </c>
      <c r="O1901" s="5" t="n"/>
      <c r="P1901" s="8" t="n"/>
      <c r="Q1901" s="8" t="n"/>
      <c r="R1901" s="11">
        <f>IF(B1901="","",IFERROR(K1901,0)+IFERROR(P1901,0)-IFERROR(Q1901,0))</f>
        <v/>
      </c>
      <c r="S1901" s="5" t="n"/>
      <c r="T1901" s="5" t="n"/>
      <c r="U1901" s="11">
        <f>IF(B1901="","",TRIM(LOWER(C1901)&amp;"|"&amp;LOWER(D1901)))</f>
        <v/>
      </c>
    </row>
    <row r="1902">
      <c r="A1902" s="11">
        <f>IF(B1902="","",TEXT(ROW()-3,"""DC-""0000"))</f>
        <v/>
      </c>
      <c r="B1902" s="5" t="n"/>
      <c r="C1902" s="5" t="n"/>
      <c r="D1902" s="5" t="n"/>
      <c r="E1902" s="5" t="n"/>
      <c r="F1902" s="5" t="n"/>
      <c r="G1902" s="5" t="n"/>
      <c r="H1902" s="8" t="n"/>
      <c r="I1902" s="8" t="n"/>
      <c r="J1902" s="8" t="n"/>
      <c r="K1902" s="11">
        <f>IF(B1902="","",MAX(0,IFERROR(I1902,0)*IFERROR(H1902,0)-IFERROR(J1902,0)))</f>
        <v/>
      </c>
      <c r="L1902" s="8" t="n"/>
      <c r="M1902" s="11">
        <f>IF(B1902="","",MAX(0,K1902-L1902))</f>
        <v/>
      </c>
      <c r="N1902" s="11">
        <f>IF(B1902="","",IF(L1902&gt;=K1902,"Paid",IF(L1902&gt;0,"Partial","Unpaid")))</f>
        <v/>
      </c>
      <c r="O1902" s="5" t="n"/>
      <c r="P1902" s="8" t="n"/>
      <c r="Q1902" s="8" t="n"/>
      <c r="R1902" s="11">
        <f>IF(B1902="","",IFERROR(K1902,0)+IFERROR(P1902,0)-IFERROR(Q1902,0))</f>
        <v/>
      </c>
      <c r="S1902" s="5" t="n"/>
      <c r="T1902" s="5" t="n"/>
      <c r="U1902" s="11">
        <f>IF(B1902="","",TRIM(LOWER(C1902)&amp;"|"&amp;LOWER(D1902)))</f>
        <v/>
      </c>
    </row>
    <row r="1903">
      <c r="A1903" s="11">
        <f>IF(B1903="","",TEXT(ROW()-3,"""DC-""0000"))</f>
        <v/>
      </c>
      <c r="B1903" s="5" t="n"/>
      <c r="C1903" s="5" t="n"/>
      <c r="D1903" s="5" t="n"/>
      <c r="E1903" s="5" t="n"/>
      <c r="F1903" s="5" t="n"/>
      <c r="G1903" s="5" t="n"/>
      <c r="H1903" s="8" t="n"/>
      <c r="I1903" s="8" t="n"/>
      <c r="J1903" s="8" t="n"/>
      <c r="K1903" s="11">
        <f>IF(B1903="","",MAX(0,IFERROR(I1903,0)*IFERROR(H1903,0)-IFERROR(J1903,0)))</f>
        <v/>
      </c>
      <c r="L1903" s="8" t="n"/>
      <c r="M1903" s="11">
        <f>IF(B1903="","",MAX(0,K1903-L1903))</f>
        <v/>
      </c>
      <c r="N1903" s="11">
        <f>IF(B1903="","",IF(L1903&gt;=K1903,"Paid",IF(L1903&gt;0,"Partial","Unpaid")))</f>
        <v/>
      </c>
      <c r="O1903" s="5" t="n"/>
      <c r="P1903" s="8" t="n"/>
      <c r="Q1903" s="8" t="n"/>
      <c r="R1903" s="11">
        <f>IF(B1903="","",IFERROR(K1903,0)+IFERROR(P1903,0)-IFERROR(Q1903,0))</f>
        <v/>
      </c>
      <c r="S1903" s="5" t="n"/>
      <c r="T1903" s="5" t="n"/>
      <c r="U1903" s="11">
        <f>IF(B1903="","",TRIM(LOWER(C1903)&amp;"|"&amp;LOWER(D1903)))</f>
        <v/>
      </c>
    </row>
    <row r="1904">
      <c r="A1904" s="11">
        <f>IF(B1904="","",TEXT(ROW()-3,"""DC-""0000"))</f>
        <v/>
      </c>
      <c r="B1904" s="5" t="n"/>
      <c r="C1904" s="5" t="n"/>
      <c r="D1904" s="5" t="n"/>
      <c r="E1904" s="5" t="n"/>
      <c r="F1904" s="5" t="n"/>
      <c r="G1904" s="5" t="n"/>
      <c r="H1904" s="8" t="n"/>
      <c r="I1904" s="8" t="n"/>
      <c r="J1904" s="8" t="n"/>
      <c r="K1904" s="11">
        <f>IF(B1904="","",MAX(0,IFERROR(I1904,0)*IFERROR(H1904,0)-IFERROR(J1904,0)))</f>
        <v/>
      </c>
      <c r="L1904" s="8" t="n"/>
      <c r="M1904" s="11">
        <f>IF(B1904="","",MAX(0,K1904-L1904))</f>
        <v/>
      </c>
      <c r="N1904" s="11">
        <f>IF(B1904="","",IF(L1904&gt;=K1904,"Paid",IF(L1904&gt;0,"Partial","Unpaid")))</f>
        <v/>
      </c>
      <c r="O1904" s="5" t="n"/>
      <c r="P1904" s="8" t="n"/>
      <c r="Q1904" s="8" t="n"/>
      <c r="R1904" s="11">
        <f>IF(B1904="","",IFERROR(K1904,0)+IFERROR(P1904,0)-IFERROR(Q1904,0))</f>
        <v/>
      </c>
      <c r="S1904" s="5" t="n"/>
      <c r="T1904" s="5" t="n"/>
      <c r="U1904" s="11">
        <f>IF(B1904="","",TRIM(LOWER(C1904)&amp;"|"&amp;LOWER(D1904)))</f>
        <v/>
      </c>
    </row>
    <row r="1905">
      <c r="A1905" s="11">
        <f>IF(B1905="","",TEXT(ROW()-3,"""DC-""0000"))</f>
        <v/>
      </c>
      <c r="B1905" s="5" t="n"/>
      <c r="C1905" s="5" t="n"/>
      <c r="D1905" s="5" t="n"/>
      <c r="E1905" s="5" t="n"/>
      <c r="F1905" s="5" t="n"/>
      <c r="G1905" s="5" t="n"/>
      <c r="H1905" s="8" t="n"/>
      <c r="I1905" s="8" t="n"/>
      <c r="J1905" s="8" t="n"/>
      <c r="K1905" s="11">
        <f>IF(B1905="","",MAX(0,IFERROR(I1905,0)*IFERROR(H1905,0)-IFERROR(J1905,0)))</f>
        <v/>
      </c>
      <c r="L1905" s="8" t="n"/>
      <c r="M1905" s="11">
        <f>IF(B1905="","",MAX(0,K1905-L1905))</f>
        <v/>
      </c>
      <c r="N1905" s="11">
        <f>IF(B1905="","",IF(L1905&gt;=K1905,"Paid",IF(L1905&gt;0,"Partial","Unpaid")))</f>
        <v/>
      </c>
      <c r="O1905" s="5" t="n"/>
      <c r="P1905" s="8" t="n"/>
      <c r="Q1905" s="8" t="n"/>
      <c r="R1905" s="11">
        <f>IF(B1905="","",IFERROR(K1905,0)+IFERROR(P1905,0)-IFERROR(Q1905,0))</f>
        <v/>
      </c>
      <c r="S1905" s="5" t="n"/>
      <c r="T1905" s="5" t="n"/>
      <c r="U1905" s="11">
        <f>IF(B1905="","",TRIM(LOWER(C1905)&amp;"|"&amp;LOWER(D1905)))</f>
        <v/>
      </c>
    </row>
    <row r="1906">
      <c r="A1906" s="11">
        <f>IF(B1906="","",TEXT(ROW()-3,"""DC-""0000"))</f>
        <v/>
      </c>
      <c r="B1906" s="5" t="n"/>
      <c r="C1906" s="5" t="n"/>
      <c r="D1906" s="5" t="n"/>
      <c r="E1906" s="5" t="n"/>
      <c r="F1906" s="5" t="n"/>
      <c r="G1906" s="5" t="n"/>
      <c r="H1906" s="8" t="n"/>
      <c r="I1906" s="8" t="n"/>
      <c r="J1906" s="8" t="n"/>
      <c r="K1906" s="11">
        <f>IF(B1906="","",MAX(0,IFERROR(I1906,0)*IFERROR(H1906,0)-IFERROR(J1906,0)))</f>
        <v/>
      </c>
      <c r="L1906" s="8" t="n"/>
      <c r="M1906" s="11">
        <f>IF(B1906="","",MAX(0,K1906-L1906))</f>
        <v/>
      </c>
      <c r="N1906" s="11">
        <f>IF(B1906="","",IF(L1906&gt;=K1906,"Paid",IF(L1906&gt;0,"Partial","Unpaid")))</f>
        <v/>
      </c>
      <c r="O1906" s="5" t="n"/>
      <c r="P1906" s="8" t="n"/>
      <c r="Q1906" s="8" t="n"/>
      <c r="R1906" s="11">
        <f>IF(B1906="","",IFERROR(K1906,0)+IFERROR(P1906,0)-IFERROR(Q1906,0))</f>
        <v/>
      </c>
      <c r="S1906" s="5" t="n"/>
      <c r="T1906" s="5" t="n"/>
      <c r="U1906" s="11">
        <f>IF(B1906="","",TRIM(LOWER(C1906)&amp;"|"&amp;LOWER(D1906)))</f>
        <v/>
      </c>
    </row>
    <row r="1907">
      <c r="A1907" s="11">
        <f>IF(B1907="","",TEXT(ROW()-3,"""DC-""0000"))</f>
        <v/>
      </c>
      <c r="B1907" s="5" t="n"/>
      <c r="C1907" s="5" t="n"/>
      <c r="D1907" s="5" t="n"/>
      <c r="E1907" s="5" t="n"/>
      <c r="F1907" s="5" t="n"/>
      <c r="G1907" s="5" t="n"/>
      <c r="H1907" s="8" t="n"/>
      <c r="I1907" s="8" t="n"/>
      <c r="J1907" s="8" t="n"/>
      <c r="K1907" s="11">
        <f>IF(B1907="","",MAX(0,IFERROR(I1907,0)*IFERROR(H1907,0)-IFERROR(J1907,0)))</f>
        <v/>
      </c>
      <c r="L1907" s="8" t="n"/>
      <c r="M1907" s="11">
        <f>IF(B1907="","",MAX(0,K1907-L1907))</f>
        <v/>
      </c>
      <c r="N1907" s="11">
        <f>IF(B1907="","",IF(L1907&gt;=K1907,"Paid",IF(L1907&gt;0,"Partial","Unpaid")))</f>
        <v/>
      </c>
      <c r="O1907" s="5" t="n"/>
      <c r="P1907" s="8" t="n"/>
      <c r="Q1907" s="8" t="n"/>
      <c r="R1907" s="11">
        <f>IF(B1907="","",IFERROR(K1907,0)+IFERROR(P1907,0)-IFERROR(Q1907,0))</f>
        <v/>
      </c>
      <c r="S1907" s="5" t="n"/>
      <c r="T1907" s="5" t="n"/>
      <c r="U1907" s="11">
        <f>IF(B1907="","",TRIM(LOWER(C1907)&amp;"|"&amp;LOWER(D1907)))</f>
        <v/>
      </c>
    </row>
    <row r="1908">
      <c r="A1908" s="11">
        <f>IF(B1908="","",TEXT(ROW()-3,"""DC-""0000"))</f>
        <v/>
      </c>
      <c r="B1908" s="5" t="n"/>
      <c r="C1908" s="5" t="n"/>
      <c r="D1908" s="5" t="n"/>
      <c r="E1908" s="5" t="n"/>
      <c r="F1908" s="5" t="n"/>
      <c r="G1908" s="5" t="n"/>
      <c r="H1908" s="8" t="n"/>
      <c r="I1908" s="8" t="n"/>
      <c r="J1908" s="8" t="n"/>
      <c r="K1908" s="11">
        <f>IF(B1908="","",MAX(0,IFERROR(I1908,0)*IFERROR(H1908,0)-IFERROR(J1908,0)))</f>
        <v/>
      </c>
      <c r="L1908" s="8" t="n"/>
      <c r="M1908" s="11">
        <f>IF(B1908="","",MAX(0,K1908-L1908))</f>
        <v/>
      </c>
      <c r="N1908" s="11">
        <f>IF(B1908="","",IF(L1908&gt;=K1908,"Paid",IF(L1908&gt;0,"Partial","Unpaid")))</f>
        <v/>
      </c>
      <c r="O1908" s="5" t="n"/>
      <c r="P1908" s="8" t="n"/>
      <c r="Q1908" s="8" t="n"/>
      <c r="R1908" s="11">
        <f>IF(B1908="","",IFERROR(K1908,0)+IFERROR(P1908,0)-IFERROR(Q1908,0))</f>
        <v/>
      </c>
      <c r="S1908" s="5" t="n"/>
      <c r="T1908" s="5" t="n"/>
      <c r="U1908" s="11">
        <f>IF(B1908="","",TRIM(LOWER(C1908)&amp;"|"&amp;LOWER(D1908)))</f>
        <v/>
      </c>
    </row>
    <row r="1909">
      <c r="A1909" s="11">
        <f>IF(B1909="","",TEXT(ROW()-3,"""DC-""0000"))</f>
        <v/>
      </c>
      <c r="B1909" s="5" t="n"/>
      <c r="C1909" s="5" t="n"/>
      <c r="D1909" s="5" t="n"/>
      <c r="E1909" s="5" t="n"/>
      <c r="F1909" s="5" t="n"/>
      <c r="G1909" s="5" t="n"/>
      <c r="H1909" s="8" t="n"/>
      <c r="I1909" s="8" t="n"/>
      <c r="J1909" s="8" t="n"/>
      <c r="K1909" s="11">
        <f>IF(B1909="","",MAX(0,IFERROR(I1909,0)*IFERROR(H1909,0)-IFERROR(J1909,0)))</f>
        <v/>
      </c>
      <c r="L1909" s="8" t="n"/>
      <c r="M1909" s="11">
        <f>IF(B1909="","",MAX(0,K1909-L1909))</f>
        <v/>
      </c>
      <c r="N1909" s="11">
        <f>IF(B1909="","",IF(L1909&gt;=K1909,"Paid",IF(L1909&gt;0,"Partial","Unpaid")))</f>
        <v/>
      </c>
      <c r="O1909" s="5" t="n"/>
      <c r="P1909" s="8" t="n"/>
      <c r="Q1909" s="8" t="n"/>
      <c r="R1909" s="11">
        <f>IF(B1909="","",IFERROR(K1909,0)+IFERROR(P1909,0)-IFERROR(Q1909,0))</f>
        <v/>
      </c>
      <c r="S1909" s="5" t="n"/>
      <c r="T1909" s="5" t="n"/>
      <c r="U1909" s="11">
        <f>IF(B1909="","",TRIM(LOWER(C1909)&amp;"|"&amp;LOWER(D1909)))</f>
        <v/>
      </c>
    </row>
    <row r="1910">
      <c r="A1910" s="11">
        <f>IF(B1910="","",TEXT(ROW()-3,"""DC-""0000"))</f>
        <v/>
      </c>
      <c r="B1910" s="5" t="n"/>
      <c r="C1910" s="5" t="n"/>
      <c r="D1910" s="5" t="n"/>
      <c r="E1910" s="5" t="n"/>
      <c r="F1910" s="5" t="n"/>
      <c r="G1910" s="5" t="n"/>
      <c r="H1910" s="8" t="n"/>
      <c r="I1910" s="8" t="n"/>
      <c r="J1910" s="8" t="n"/>
      <c r="K1910" s="11">
        <f>IF(B1910="","",MAX(0,IFERROR(I1910,0)*IFERROR(H1910,0)-IFERROR(J1910,0)))</f>
        <v/>
      </c>
      <c r="L1910" s="8" t="n"/>
      <c r="M1910" s="11">
        <f>IF(B1910="","",MAX(0,K1910-L1910))</f>
        <v/>
      </c>
      <c r="N1910" s="11">
        <f>IF(B1910="","",IF(L1910&gt;=K1910,"Paid",IF(L1910&gt;0,"Partial","Unpaid")))</f>
        <v/>
      </c>
      <c r="O1910" s="5" t="n"/>
      <c r="P1910" s="8" t="n"/>
      <c r="Q1910" s="8" t="n"/>
      <c r="R1910" s="11">
        <f>IF(B1910="","",IFERROR(K1910,0)+IFERROR(P1910,0)-IFERROR(Q1910,0))</f>
        <v/>
      </c>
      <c r="S1910" s="5" t="n"/>
      <c r="T1910" s="5" t="n"/>
      <c r="U1910" s="11">
        <f>IF(B1910="","",TRIM(LOWER(C1910)&amp;"|"&amp;LOWER(D1910)))</f>
        <v/>
      </c>
    </row>
    <row r="1911">
      <c r="A1911" s="11">
        <f>IF(B1911="","",TEXT(ROW()-3,"""DC-""0000"))</f>
        <v/>
      </c>
      <c r="B1911" s="5" t="n"/>
      <c r="C1911" s="5" t="n"/>
      <c r="D1911" s="5" t="n"/>
      <c r="E1911" s="5" t="n"/>
      <c r="F1911" s="5" t="n"/>
      <c r="G1911" s="5" t="n"/>
      <c r="H1911" s="8" t="n"/>
      <c r="I1911" s="8" t="n"/>
      <c r="J1911" s="8" t="n"/>
      <c r="K1911" s="11">
        <f>IF(B1911="","",MAX(0,IFERROR(I1911,0)*IFERROR(H1911,0)-IFERROR(J1911,0)))</f>
        <v/>
      </c>
      <c r="L1911" s="8" t="n"/>
      <c r="M1911" s="11">
        <f>IF(B1911="","",MAX(0,K1911-L1911))</f>
        <v/>
      </c>
      <c r="N1911" s="11">
        <f>IF(B1911="","",IF(L1911&gt;=K1911,"Paid",IF(L1911&gt;0,"Partial","Unpaid")))</f>
        <v/>
      </c>
      <c r="O1911" s="5" t="n"/>
      <c r="P1911" s="8" t="n"/>
      <c r="Q1911" s="8" t="n"/>
      <c r="R1911" s="11">
        <f>IF(B1911="","",IFERROR(K1911,0)+IFERROR(P1911,0)-IFERROR(Q1911,0))</f>
        <v/>
      </c>
      <c r="S1911" s="5" t="n"/>
      <c r="T1911" s="5" t="n"/>
      <c r="U1911" s="11">
        <f>IF(B1911="","",TRIM(LOWER(C1911)&amp;"|"&amp;LOWER(D1911)))</f>
        <v/>
      </c>
    </row>
    <row r="1912">
      <c r="A1912" s="11">
        <f>IF(B1912="","",TEXT(ROW()-3,"""DC-""0000"))</f>
        <v/>
      </c>
      <c r="B1912" s="5" t="n"/>
      <c r="C1912" s="5" t="n"/>
      <c r="D1912" s="5" t="n"/>
      <c r="E1912" s="5" t="n"/>
      <c r="F1912" s="5" t="n"/>
      <c r="G1912" s="5" t="n"/>
      <c r="H1912" s="8" t="n"/>
      <c r="I1912" s="8" t="n"/>
      <c r="J1912" s="8" t="n"/>
      <c r="K1912" s="11">
        <f>IF(B1912="","",MAX(0,IFERROR(I1912,0)*IFERROR(H1912,0)-IFERROR(J1912,0)))</f>
        <v/>
      </c>
      <c r="L1912" s="8" t="n"/>
      <c r="M1912" s="11">
        <f>IF(B1912="","",MAX(0,K1912-L1912))</f>
        <v/>
      </c>
      <c r="N1912" s="11">
        <f>IF(B1912="","",IF(L1912&gt;=K1912,"Paid",IF(L1912&gt;0,"Partial","Unpaid")))</f>
        <v/>
      </c>
      <c r="O1912" s="5" t="n"/>
      <c r="P1912" s="8" t="n"/>
      <c r="Q1912" s="8" t="n"/>
      <c r="R1912" s="11">
        <f>IF(B1912="","",IFERROR(K1912,0)+IFERROR(P1912,0)-IFERROR(Q1912,0))</f>
        <v/>
      </c>
      <c r="S1912" s="5" t="n"/>
      <c r="T1912" s="5" t="n"/>
      <c r="U1912" s="11">
        <f>IF(B1912="","",TRIM(LOWER(C1912)&amp;"|"&amp;LOWER(D1912)))</f>
        <v/>
      </c>
    </row>
    <row r="1913">
      <c r="A1913" s="11">
        <f>IF(B1913="","",TEXT(ROW()-3,"""DC-""0000"))</f>
        <v/>
      </c>
      <c r="B1913" s="5" t="n"/>
      <c r="C1913" s="5" t="n"/>
      <c r="D1913" s="5" t="n"/>
      <c r="E1913" s="5" t="n"/>
      <c r="F1913" s="5" t="n"/>
      <c r="G1913" s="5" t="n"/>
      <c r="H1913" s="8" t="n"/>
      <c r="I1913" s="8" t="n"/>
      <c r="J1913" s="8" t="n"/>
      <c r="K1913" s="11">
        <f>IF(B1913="","",MAX(0,IFERROR(I1913,0)*IFERROR(H1913,0)-IFERROR(J1913,0)))</f>
        <v/>
      </c>
      <c r="L1913" s="8" t="n"/>
      <c r="M1913" s="11">
        <f>IF(B1913="","",MAX(0,K1913-L1913))</f>
        <v/>
      </c>
      <c r="N1913" s="11">
        <f>IF(B1913="","",IF(L1913&gt;=K1913,"Paid",IF(L1913&gt;0,"Partial","Unpaid")))</f>
        <v/>
      </c>
      <c r="O1913" s="5" t="n"/>
      <c r="P1913" s="8" t="n"/>
      <c r="Q1913" s="8" t="n"/>
      <c r="R1913" s="11">
        <f>IF(B1913="","",IFERROR(K1913,0)+IFERROR(P1913,0)-IFERROR(Q1913,0))</f>
        <v/>
      </c>
      <c r="S1913" s="5" t="n"/>
      <c r="T1913" s="5" t="n"/>
      <c r="U1913" s="11">
        <f>IF(B1913="","",TRIM(LOWER(C1913)&amp;"|"&amp;LOWER(D1913)))</f>
        <v/>
      </c>
    </row>
    <row r="1914">
      <c r="A1914" s="11">
        <f>IF(B1914="","",TEXT(ROW()-3,"""DC-""0000"))</f>
        <v/>
      </c>
      <c r="B1914" s="5" t="n"/>
      <c r="C1914" s="5" t="n"/>
      <c r="D1914" s="5" t="n"/>
      <c r="E1914" s="5" t="n"/>
      <c r="F1914" s="5" t="n"/>
      <c r="G1914" s="5" t="n"/>
      <c r="H1914" s="8" t="n"/>
      <c r="I1914" s="8" t="n"/>
      <c r="J1914" s="8" t="n"/>
      <c r="K1914" s="11">
        <f>IF(B1914="","",MAX(0,IFERROR(I1914,0)*IFERROR(H1914,0)-IFERROR(J1914,0)))</f>
        <v/>
      </c>
      <c r="L1914" s="8" t="n"/>
      <c r="M1914" s="11">
        <f>IF(B1914="","",MAX(0,K1914-L1914))</f>
        <v/>
      </c>
      <c r="N1914" s="11">
        <f>IF(B1914="","",IF(L1914&gt;=K1914,"Paid",IF(L1914&gt;0,"Partial","Unpaid")))</f>
        <v/>
      </c>
      <c r="O1914" s="5" t="n"/>
      <c r="P1914" s="8" t="n"/>
      <c r="Q1914" s="8" t="n"/>
      <c r="R1914" s="11">
        <f>IF(B1914="","",IFERROR(K1914,0)+IFERROR(P1914,0)-IFERROR(Q1914,0))</f>
        <v/>
      </c>
      <c r="S1914" s="5" t="n"/>
      <c r="T1914" s="5" t="n"/>
      <c r="U1914" s="11">
        <f>IF(B1914="","",TRIM(LOWER(C1914)&amp;"|"&amp;LOWER(D1914)))</f>
        <v/>
      </c>
    </row>
    <row r="1915">
      <c r="A1915" s="11">
        <f>IF(B1915="","",TEXT(ROW()-3,"""DC-""0000"))</f>
        <v/>
      </c>
      <c r="B1915" s="5" t="n"/>
      <c r="C1915" s="5" t="n"/>
      <c r="D1915" s="5" t="n"/>
      <c r="E1915" s="5" t="n"/>
      <c r="F1915" s="5" t="n"/>
      <c r="G1915" s="5" t="n"/>
      <c r="H1915" s="8" t="n"/>
      <c r="I1915" s="8" t="n"/>
      <c r="J1915" s="8" t="n"/>
      <c r="K1915" s="11">
        <f>IF(B1915="","",MAX(0,IFERROR(I1915,0)*IFERROR(H1915,0)-IFERROR(J1915,0)))</f>
        <v/>
      </c>
      <c r="L1915" s="8" t="n"/>
      <c r="M1915" s="11">
        <f>IF(B1915="","",MAX(0,K1915-L1915))</f>
        <v/>
      </c>
      <c r="N1915" s="11">
        <f>IF(B1915="","",IF(L1915&gt;=K1915,"Paid",IF(L1915&gt;0,"Partial","Unpaid")))</f>
        <v/>
      </c>
      <c r="O1915" s="5" t="n"/>
      <c r="P1915" s="8" t="n"/>
      <c r="Q1915" s="8" t="n"/>
      <c r="R1915" s="11">
        <f>IF(B1915="","",IFERROR(K1915,0)+IFERROR(P1915,0)-IFERROR(Q1915,0))</f>
        <v/>
      </c>
      <c r="S1915" s="5" t="n"/>
      <c r="T1915" s="5" t="n"/>
      <c r="U1915" s="11">
        <f>IF(B1915="","",TRIM(LOWER(C1915)&amp;"|"&amp;LOWER(D1915)))</f>
        <v/>
      </c>
    </row>
    <row r="1916">
      <c r="A1916" s="11">
        <f>IF(B1916="","",TEXT(ROW()-3,"""DC-""0000"))</f>
        <v/>
      </c>
      <c r="B1916" s="5" t="n"/>
      <c r="C1916" s="5" t="n"/>
      <c r="D1916" s="5" t="n"/>
      <c r="E1916" s="5" t="n"/>
      <c r="F1916" s="5" t="n"/>
      <c r="G1916" s="5" t="n"/>
      <c r="H1916" s="8" t="n"/>
      <c r="I1916" s="8" t="n"/>
      <c r="J1916" s="8" t="n"/>
      <c r="K1916" s="11">
        <f>IF(B1916="","",MAX(0,IFERROR(I1916,0)*IFERROR(H1916,0)-IFERROR(J1916,0)))</f>
        <v/>
      </c>
      <c r="L1916" s="8" t="n"/>
      <c r="M1916" s="11">
        <f>IF(B1916="","",MAX(0,K1916-L1916))</f>
        <v/>
      </c>
      <c r="N1916" s="11">
        <f>IF(B1916="","",IF(L1916&gt;=K1916,"Paid",IF(L1916&gt;0,"Partial","Unpaid")))</f>
        <v/>
      </c>
      <c r="O1916" s="5" t="n"/>
      <c r="P1916" s="8" t="n"/>
      <c r="Q1916" s="8" t="n"/>
      <c r="R1916" s="11">
        <f>IF(B1916="","",IFERROR(K1916,0)+IFERROR(P1916,0)-IFERROR(Q1916,0))</f>
        <v/>
      </c>
      <c r="S1916" s="5" t="n"/>
      <c r="T1916" s="5" t="n"/>
      <c r="U1916" s="11">
        <f>IF(B1916="","",TRIM(LOWER(C1916)&amp;"|"&amp;LOWER(D1916)))</f>
        <v/>
      </c>
    </row>
    <row r="1917">
      <c r="A1917" s="11">
        <f>IF(B1917="","",TEXT(ROW()-3,"""DC-""0000"))</f>
        <v/>
      </c>
      <c r="B1917" s="5" t="n"/>
      <c r="C1917" s="5" t="n"/>
      <c r="D1917" s="5" t="n"/>
      <c r="E1917" s="5" t="n"/>
      <c r="F1917" s="5" t="n"/>
      <c r="G1917" s="5" t="n"/>
      <c r="H1917" s="8" t="n"/>
      <c r="I1917" s="8" t="n"/>
      <c r="J1917" s="8" t="n"/>
      <c r="K1917" s="11">
        <f>IF(B1917="","",MAX(0,IFERROR(I1917,0)*IFERROR(H1917,0)-IFERROR(J1917,0)))</f>
        <v/>
      </c>
      <c r="L1917" s="8" t="n"/>
      <c r="M1917" s="11">
        <f>IF(B1917="","",MAX(0,K1917-L1917))</f>
        <v/>
      </c>
      <c r="N1917" s="11">
        <f>IF(B1917="","",IF(L1917&gt;=K1917,"Paid",IF(L1917&gt;0,"Partial","Unpaid")))</f>
        <v/>
      </c>
      <c r="O1917" s="5" t="n"/>
      <c r="P1917" s="8" t="n"/>
      <c r="Q1917" s="8" t="n"/>
      <c r="R1917" s="11">
        <f>IF(B1917="","",IFERROR(K1917,0)+IFERROR(P1917,0)-IFERROR(Q1917,0))</f>
        <v/>
      </c>
      <c r="S1917" s="5" t="n"/>
      <c r="T1917" s="5" t="n"/>
      <c r="U1917" s="11">
        <f>IF(B1917="","",TRIM(LOWER(C1917)&amp;"|"&amp;LOWER(D1917)))</f>
        <v/>
      </c>
    </row>
    <row r="1918">
      <c r="A1918" s="11">
        <f>IF(B1918="","",TEXT(ROW()-3,"""DC-""0000"))</f>
        <v/>
      </c>
      <c r="B1918" s="5" t="n"/>
      <c r="C1918" s="5" t="n"/>
      <c r="D1918" s="5" t="n"/>
      <c r="E1918" s="5" t="n"/>
      <c r="F1918" s="5" t="n"/>
      <c r="G1918" s="5" t="n"/>
      <c r="H1918" s="8" t="n"/>
      <c r="I1918" s="8" t="n"/>
      <c r="J1918" s="8" t="n"/>
      <c r="K1918" s="11">
        <f>IF(B1918="","",MAX(0,IFERROR(I1918,0)*IFERROR(H1918,0)-IFERROR(J1918,0)))</f>
        <v/>
      </c>
      <c r="L1918" s="8" t="n"/>
      <c r="M1918" s="11">
        <f>IF(B1918="","",MAX(0,K1918-L1918))</f>
        <v/>
      </c>
      <c r="N1918" s="11">
        <f>IF(B1918="","",IF(L1918&gt;=K1918,"Paid",IF(L1918&gt;0,"Partial","Unpaid")))</f>
        <v/>
      </c>
      <c r="O1918" s="5" t="n"/>
      <c r="P1918" s="8" t="n"/>
      <c r="Q1918" s="8" t="n"/>
      <c r="R1918" s="11">
        <f>IF(B1918="","",IFERROR(K1918,0)+IFERROR(P1918,0)-IFERROR(Q1918,0))</f>
        <v/>
      </c>
      <c r="S1918" s="5" t="n"/>
      <c r="T1918" s="5" t="n"/>
      <c r="U1918" s="11">
        <f>IF(B1918="","",TRIM(LOWER(C1918)&amp;"|"&amp;LOWER(D1918)))</f>
        <v/>
      </c>
    </row>
    <row r="1919">
      <c r="A1919" s="11">
        <f>IF(B1919="","",TEXT(ROW()-3,"""DC-""0000"))</f>
        <v/>
      </c>
      <c r="B1919" s="5" t="n"/>
      <c r="C1919" s="5" t="n"/>
      <c r="D1919" s="5" t="n"/>
      <c r="E1919" s="5" t="n"/>
      <c r="F1919" s="5" t="n"/>
      <c r="G1919" s="5" t="n"/>
      <c r="H1919" s="8" t="n"/>
      <c r="I1919" s="8" t="n"/>
      <c r="J1919" s="8" t="n"/>
      <c r="K1919" s="11">
        <f>IF(B1919="","",MAX(0,IFERROR(I1919,0)*IFERROR(H1919,0)-IFERROR(J1919,0)))</f>
        <v/>
      </c>
      <c r="L1919" s="8" t="n"/>
      <c r="M1919" s="11">
        <f>IF(B1919="","",MAX(0,K1919-L1919))</f>
        <v/>
      </c>
      <c r="N1919" s="11">
        <f>IF(B1919="","",IF(L1919&gt;=K1919,"Paid",IF(L1919&gt;0,"Partial","Unpaid")))</f>
        <v/>
      </c>
      <c r="O1919" s="5" t="n"/>
      <c r="P1919" s="8" t="n"/>
      <c r="Q1919" s="8" t="n"/>
      <c r="R1919" s="11">
        <f>IF(B1919="","",IFERROR(K1919,0)+IFERROR(P1919,0)-IFERROR(Q1919,0))</f>
        <v/>
      </c>
      <c r="S1919" s="5" t="n"/>
      <c r="T1919" s="5" t="n"/>
      <c r="U1919" s="11">
        <f>IF(B1919="","",TRIM(LOWER(C1919)&amp;"|"&amp;LOWER(D1919)))</f>
        <v/>
      </c>
    </row>
    <row r="1920">
      <c r="A1920" s="11">
        <f>IF(B1920="","",TEXT(ROW()-3,"""DC-""0000"))</f>
        <v/>
      </c>
      <c r="B1920" s="5" t="n"/>
      <c r="C1920" s="5" t="n"/>
      <c r="D1920" s="5" t="n"/>
      <c r="E1920" s="5" t="n"/>
      <c r="F1920" s="5" t="n"/>
      <c r="G1920" s="5" t="n"/>
      <c r="H1920" s="8" t="n"/>
      <c r="I1920" s="8" t="n"/>
      <c r="J1920" s="8" t="n"/>
      <c r="K1920" s="11">
        <f>IF(B1920="","",MAX(0,IFERROR(I1920,0)*IFERROR(H1920,0)-IFERROR(J1920,0)))</f>
        <v/>
      </c>
      <c r="L1920" s="8" t="n"/>
      <c r="M1920" s="11">
        <f>IF(B1920="","",MAX(0,K1920-L1920))</f>
        <v/>
      </c>
      <c r="N1920" s="11">
        <f>IF(B1920="","",IF(L1920&gt;=K1920,"Paid",IF(L1920&gt;0,"Partial","Unpaid")))</f>
        <v/>
      </c>
      <c r="O1920" s="5" t="n"/>
      <c r="P1920" s="8" t="n"/>
      <c r="Q1920" s="8" t="n"/>
      <c r="R1920" s="11">
        <f>IF(B1920="","",IFERROR(K1920,0)+IFERROR(P1920,0)-IFERROR(Q1920,0))</f>
        <v/>
      </c>
      <c r="S1920" s="5" t="n"/>
      <c r="T1920" s="5" t="n"/>
      <c r="U1920" s="11">
        <f>IF(B1920="","",TRIM(LOWER(C1920)&amp;"|"&amp;LOWER(D1920)))</f>
        <v/>
      </c>
    </row>
    <row r="1921">
      <c r="A1921" s="11">
        <f>IF(B1921="","",TEXT(ROW()-3,"""DC-""0000"))</f>
        <v/>
      </c>
      <c r="B1921" s="5" t="n"/>
      <c r="C1921" s="5" t="n"/>
      <c r="D1921" s="5" t="n"/>
      <c r="E1921" s="5" t="n"/>
      <c r="F1921" s="5" t="n"/>
      <c r="G1921" s="5" t="n"/>
      <c r="H1921" s="8" t="n"/>
      <c r="I1921" s="8" t="n"/>
      <c r="J1921" s="8" t="n"/>
      <c r="K1921" s="11">
        <f>IF(B1921="","",MAX(0,IFERROR(I1921,0)*IFERROR(H1921,0)-IFERROR(J1921,0)))</f>
        <v/>
      </c>
      <c r="L1921" s="8" t="n"/>
      <c r="M1921" s="11">
        <f>IF(B1921="","",MAX(0,K1921-L1921))</f>
        <v/>
      </c>
      <c r="N1921" s="11">
        <f>IF(B1921="","",IF(L1921&gt;=K1921,"Paid",IF(L1921&gt;0,"Partial","Unpaid")))</f>
        <v/>
      </c>
      <c r="O1921" s="5" t="n"/>
      <c r="P1921" s="8" t="n"/>
      <c r="Q1921" s="8" t="n"/>
      <c r="R1921" s="11">
        <f>IF(B1921="","",IFERROR(K1921,0)+IFERROR(P1921,0)-IFERROR(Q1921,0))</f>
        <v/>
      </c>
      <c r="S1921" s="5" t="n"/>
      <c r="T1921" s="5" t="n"/>
      <c r="U1921" s="11">
        <f>IF(B1921="","",TRIM(LOWER(C1921)&amp;"|"&amp;LOWER(D1921)))</f>
        <v/>
      </c>
    </row>
    <row r="1922">
      <c r="A1922" s="11">
        <f>IF(B1922="","",TEXT(ROW()-3,"""DC-""0000"))</f>
        <v/>
      </c>
      <c r="B1922" s="5" t="n"/>
      <c r="C1922" s="5" t="n"/>
      <c r="D1922" s="5" t="n"/>
      <c r="E1922" s="5" t="n"/>
      <c r="F1922" s="5" t="n"/>
      <c r="G1922" s="5" t="n"/>
      <c r="H1922" s="8" t="n"/>
      <c r="I1922" s="8" t="n"/>
      <c r="J1922" s="8" t="n"/>
      <c r="K1922" s="11">
        <f>IF(B1922="","",MAX(0,IFERROR(I1922,0)*IFERROR(H1922,0)-IFERROR(J1922,0)))</f>
        <v/>
      </c>
      <c r="L1922" s="8" t="n"/>
      <c r="M1922" s="11">
        <f>IF(B1922="","",MAX(0,K1922-L1922))</f>
        <v/>
      </c>
      <c r="N1922" s="11">
        <f>IF(B1922="","",IF(L1922&gt;=K1922,"Paid",IF(L1922&gt;0,"Partial","Unpaid")))</f>
        <v/>
      </c>
      <c r="O1922" s="5" t="n"/>
      <c r="P1922" s="8" t="n"/>
      <c r="Q1922" s="8" t="n"/>
      <c r="R1922" s="11">
        <f>IF(B1922="","",IFERROR(K1922,0)+IFERROR(P1922,0)-IFERROR(Q1922,0))</f>
        <v/>
      </c>
      <c r="S1922" s="5" t="n"/>
      <c r="T1922" s="5" t="n"/>
      <c r="U1922" s="11">
        <f>IF(B1922="","",TRIM(LOWER(C1922)&amp;"|"&amp;LOWER(D1922)))</f>
        <v/>
      </c>
    </row>
    <row r="1923">
      <c r="A1923" s="11">
        <f>IF(B1923="","",TEXT(ROW()-3,"""DC-""0000"))</f>
        <v/>
      </c>
      <c r="B1923" s="5" t="n"/>
      <c r="C1923" s="5" t="n"/>
      <c r="D1923" s="5" t="n"/>
      <c r="E1923" s="5" t="n"/>
      <c r="F1923" s="5" t="n"/>
      <c r="G1923" s="5" t="n"/>
      <c r="H1923" s="8" t="n"/>
      <c r="I1923" s="8" t="n"/>
      <c r="J1923" s="8" t="n"/>
      <c r="K1923" s="11">
        <f>IF(B1923="","",MAX(0,IFERROR(I1923,0)*IFERROR(H1923,0)-IFERROR(J1923,0)))</f>
        <v/>
      </c>
      <c r="L1923" s="8" t="n"/>
      <c r="M1923" s="11">
        <f>IF(B1923="","",MAX(0,K1923-L1923))</f>
        <v/>
      </c>
      <c r="N1923" s="11">
        <f>IF(B1923="","",IF(L1923&gt;=K1923,"Paid",IF(L1923&gt;0,"Partial","Unpaid")))</f>
        <v/>
      </c>
      <c r="O1923" s="5" t="n"/>
      <c r="P1923" s="8" t="n"/>
      <c r="Q1923" s="8" t="n"/>
      <c r="R1923" s="11">
        <f>IF(B1923="","",IFERROR(K1923,0)+IFERROR(P1923,0)-IFERROR(Q1923,0))</f>
        <v/>
      </c>
      <c r="S1923" s="5" t="n"/>
      <c r="T1923" s="5" t="n"/>
      <c r="U1923" s="11">
        <f>IF(B1923="","",TRIM(LOWER(C1923)&amp;"|"&amp;LOWER(D1923)))</f>
        <v/>
      </c>
    </row>
    <row r="1924">
      <c r="A1924" s="11">
        <f>IF(B1924="","",TEXT(ROW()-3,"""DC-""0000"))</f>
        <v/>
      </c>
      <c r="B1924" s="5" t="n"/>
      <c r="C1924" s="5" t="n"/>
      <c r="D1924" s="5" t="n"/>
      <c r="E1924" s="5" t="n"/>
      <c r="F1924" s="5" t="n"/>
      <c r="G1924" s="5" t="n"/>
      <c r="H1924" s="8" t="n"/>
      <c r="I1924" s="8" t="n"/>
      <c r="J1924" s="8" t="n"/>
      <c r="K1924" s="11">
        <f>IF(B1924="","",MAX(0,IFERROR(I1924,0)*IFERROR(H1924,0)-IFERROR(J1924,0)))</f>
        <v/>
      </c>
      <c r="L1924" s="8" t="n"/>
      <c r="M1924" s="11">
        <f>IF(B1924="","",MAX(0,K1924-L1924))</f>
        <v/>
      </c>
      <c r="N1924" s="11">
        <f>IF(B1924="","",IF(L1924&gt;=K1924,"Paid",IF(L1924&gt;0,"Partial","Unpaid")))</f>
        <v/>
      </c>
      <c r="O1924" s="5" t="n"/>
      <c r="P1924" s="8" t="n"/>
      <c r="Q1924" s="8" t="n"/>
      <c r="R1924" s="11">
        <f>IF(B1924="","",IFERROR(K1924,0)+IFERROR(P1924,0)-IFERROR(Q1924,0))</f>
        <v/>
      </c>
      <c r="S1924" s="5" t="n"/>
      <c r="T1924" s="5" t="n"/>
      <c r="U1924" s="11">
        <f>IF(B1924="","",TRIM(LOWER(C1924)&amp;"|"&amp;LOWER(D1924)))</f>
        <v/>
      </c>
    </row>
    <row r="1925">
      <c r="A1925" s="11">
        <f>IF(B1925="","",TEXT(ROW()-3,"""DC-""0000"))</f>
        <v/>
      </c>
      <c r="B1925" s="5" t="n"/>
      <c r="C1925" s="5" t="n"/>
      <c r="D1925" s="5" t="n"/>
      <c r="E1925" s="5" t="n"/>
      <c r="F1925" s="5" t="n"/>
      <c r="G1925" s="5" t="n"/>
      <c r="H1925" s="8" t="n"/>
      <c r="I1925" s="8" t="n"/>
      <c r="J1925" s="8" t="n"/>
      <c r="K1925" s="11">
        <f>IF(B1925="","",MAX(0,IFERROR(I1925,0)*IFERROR(H1925,0)-IFERROR(J1925,0)))</f>
        <v/>
      </c>
      <c r="L1925" s="8" t="n"/>
      <c r="M1925" s="11">
        <f>IF(B1925="","",MAX(0,K1925-L1925))</f>
        <v/>
      </c>
      <c r="N1925" s="11">
        <f>IF(B1925="","",IF(L1925&gt;=K1925,"Paid",IF(L1925&gt;0,"Partial","Unpaid")))</f>
        <v/>
      </c>
      <c r="O1925" s="5" t="n"/>
      <c r="P1925" s="8" t="n"/>
      <c r="Q1925" s="8" t="n"/>
      <c r="R1925" s="11">
        <f>IF(B1925="","",IFERROR(K1925,0)+IFERROR(P1925,0)-IFERROR(Q1925,0))</f>
        <v/>
      </c>
      <c r="S1925" s="5" t="n"/>
      <c r="T1925" s="5" t="n"/>
      <c r="U1925" s="11">
        <f>IF(B1925="","",TRIM(LOWER(C1925)&amp;"|"&amp;LOWER(D1925)))</f>
        <v/>
      </c>
    </row>
    <row r="1926">
      <c r="A1926" s="11">
        <f>IF(B1926="","",TEXT(ROW()-3,"""DC-""0000"))</f>
        <v/>
      </c>
      <c r="B1926" s="5" t="n"/>
      <c r="C1926" s="5" t="n"/>
      <c r="D1926" s="5" t="n"/>
      <c r="E1926" s="5" t="n"/>
      <c r="F1926" s="5" t="n"/>
      <c r="G1926" s="5" t="n"/>
      <c r="H1926" s="8" t="n"/>
      <c r="I1926" s="8" t="n"/>
      <c r="J1926" s="8" t="n"/>
      <c r="K1926" s="11">
        <f>IF(B1926="","",MAX(0,IFERROR(I1926,0)*IFERROR(H1926,0)-IFERROR(J1926,0)))</f>
        <v/>
      </c>
      <c r="L1926" s="8" t="n"/>
      <c r="M1926" s="11">
        <f>IF(B1926="","",MAX(0,K1926-L1926))</f>
        <v/>
      </c>
      <c r="N1926" s="11">
        <f>IF(B1926="","",IF(L1926&gt;=K1926,"Paid",IF(L1926&gt;0,"Partial","Unpaid")))</f>
        <v/>
      </c>
      <c r="O1926" s="5" t="n"/>
      <c r="P1926" s="8" t="n"/>
      <c r="Q1926" s="8" t="n"/>
      <c r="R1926" s="11">
        <f>IF(B1926="","",IFERROR(K1926,0)+IFERROR(P1926,0)-IFERROR(Q1926,0))</f>
        <v/>
      </c>
      <c r="S1926" s="5" t="n"/>
      <c r="T1926" s="5" t="n"/>
      <c r="U1926" s="11">
        <f>IF(B1926="","",TRIM(LOWER(C1926)&amp;"|"&amp;LOWER(D1926)))</f>
        <v/>
      </c>
    </row>
    <row r="1927">
      <c r="A1927" s="11">
        <f>IF(B1927="","",TEXT(ROW()-3,"""DC-""0000"))</f>
        <v/>
      </c>
      <c r="B1927" s="5" t="n"/>
      <c r="C1927" s="5" t="n"/>
      <c r="D1927" s="5" t="n"/>
      <c r="E1927" s="5" t="n"/>
      <c r="F1927" s="5" t="n"/>
      <c r="G1927" s="5" t="n"/>
      <c r="H1927" s="8" t="n"/>
      <c r="I1927" s="8" t="n"/>
      <c r="J1927" s="8" t="n"/>
      <c r="K1927" s="11">
        <f>IF(B1927="","",MAX(0,IFERROR(I1927,0)*IFERROR(H1927,0)-IFERROR(J1927,0)))</f>
        <v/>
      </c>
      <c r="L1927" s="8" t="n"/>
      <c r="M1927" s="11">
        <f>IF(B1927="","",MAX(0,K1927-L1927))</f>
        <v/>
      </c>
      <c r="N1927" s="11">
        <f>IF(B1927="","",IF(L1927&gt;=K1927,"Paid",IF(L1927&gt;0,"Partial","Unpaid")))</f>
        <v/>
      </c>
      <c r="O1927" s="5" t="n"/>
      <c r="P1927" s="8" t="n"/>
      <c r="Q1927" s="8" t="n"/>
      <c r="R1927" s="11">
        <f>IF(B1927="","",IFERROR(K1927,0)+IFERROR(P1927,0)-IFERROR(Q1927,0))</f>
        <v/>
      </c>
      <c r="S1927" s="5" t="n"/>
      <c r="T1927" s="5" t="n"/>
      <c r="U1927" s="11">
        <f>IF(B1927="","",TRIM(LOWER(C1927)&amp;"|"&amp;LOWER(D1927)))</f>
        <v/>
      </c>
    </row>
    <row r="1928">
      <c r="A1928" s="11">
        <f>IF(B1928="","",TEXT(ROW()-3,"""DC-""0000"))</f>
        <v/>
      </c>
      <c r="B1928" s="5" t="n"/>
      <c r="C1928" s="5" t="n"/>
      <c r="D1928" s="5" t="n"/>
      <c r="E1928" s="5" t="n"/>
      <c r="F1928" s="5" t="n"/>
      <c r="G1928" s="5" t="n"/>
      <c r="H1928" s="8" t="n"/>
      <c r="I1928" s="8" t="n"/>
      <c r="J1928" s="8" t="n"/>
      <c r="K1928" s="11">
        <f>IF(B1928="","",MAX(0,IFERROR(I1928,0)*IFERROR(H1928,0)-IFERROR(J1928,0)))</f>
        <v/>
      </c>
      <c r="L1928" s="8" t="n"/>
      <c r="M1928" s="11">
        <f>IF(B1928="","",MAX(0,K1928-L1928))</f>
        <v/>
      </c>
      <c r="N1928" s="11">
        <f>IF(B1928="","",IF(L1928&gt;=K1928,"Paid",IF(L1928&gt;0,"Partial","Unpaid")))</f>
        <v/>
      </c>
      <c r="O1928" s="5" t="n"/>
      <c r="P1928" s="8" t="n"/>
      <c r="Q1928" s="8" t="n"/>
      <c r="R1928" s="11">
        <f>IF(B1928="","",IFERROR(K1928,0)+IFERROR(P1928,0)-IFERROR(Q1928,0))</f>
        <v/>
      </c>
      <c r="S1928" s="5" t="n"/>
      <c r="T1928" s="5" t="n"/>
      <c r="U1928" s="11">
        <f>IF(B1928="","",TRIM(LOWER(C1928)&amp;"|"&amp;LOWER(D1928)))</f>
        <v/>
      </c>
    </row>
    <row r="1929">
      <c r="A1929" s="11">
        <f>IF(B1929="","",TEXT(ROW()-3,"""DC-""0000"))</f>
        <v/>
      </c>
      <c r="B1929" s="5" t="n"/>
      <c r="C1929" s="5" t="n"/>
      <c r="D1929" s="5" t="n"/>
      <c r="E1929" s="5" t="n"/>
      <c r="F1929" s="5" t="n"/>
      <c r="G1929" s="5" t="n"/>
      <c r="H1929" s="8" t="n"/>
      <c r="I1929" s="8" t="n"/>
      <c r="J1929" s="8" t="n"/>
      <c r="K1929" s="11">
        <f>IF(B1929="","",MAX(0,IFERROR(I1929,0)*IFERROR(H1929,0)-IFERROR(J1929,0)))</f>
        <v/>
      </c>
      <c r="L1929" s="8" t="n"/>
      <c r="M1929" s="11">
        <f>IF(B1929="","",MAX(0,K1929-L1929))</f>
        <v/>
      </c>
      <c r="N1929" s="11">
        <f>IF(B1929="","",IF(L1929&gt;=K1929,"Paid",IF(L1929&gt;0,"Partial","Unpaid")))</f>
        <v/>
      </c>
      <c r="O1929" s="5" t="n"/>
      <c r="P1929" s="8" t="n"/>
      <c r="Q1929" s="8" t="n"/>
      <c r="R1929" s="11">
        <f>IF(B1929="","",IFERROR(K1929,0)+IFERROR(P1929,0)-IFERROR(Q1929,0))</f>
        <v/>
      </c>
      <c r="S1929" s="5" t="n"/>
      <c r="T1929" s="5" t="n"/>
      <c r="U1929" s="11">
        <f>IF(B1929="","",TRIM(LOWER(C1929)&amp;"|"&amp;LOWER(D1929)))</f>
        <v/>
      </c>
    </row>
    <row r="1930">
      <c r="A1930" s="11">
        <f>IF(B1930="","",TEXT(ROW()-3,"""DC-""0000"))</f>
        <v/>
      </c>
      <c r="B1930" s="5" t="n"/>
      <c r="C1930" s="5" t="n"/>
      <c r="D1930" s="5" t="n"/>
      <c r="E1930" s="5" t="n"/>
      <c r="F1930" s="5" t="n"/>
      <c r="G1930" s="5" t="n"/>
      <c r="H1930" s="8" t="n"/>
      <c r="I1930" s="8" t="n"/>
      <c r="J1930" s="8" t="n"/>
      <c r="K1930" s="11">
        <f>IF(B1930="","",MAX(0,IFERROR(I1930,0)*IFERROR(H1930,0)-IFERROR(J1930,0)))</f>
        <v/>
      </c>
      <c r="L1930" s="8" t="n"/>
      <c r="M1930" s="11">
        <f>IF(B1930="","",MAX(0,K1930-L1930))</f>
        <v/>
      </c>
      <c r="N1930" s="11">
        <f>IF(B1930="","",IF(L1930&gt;=K1930,"Paid",IF(L1930&gt;0,"Partial","Unpaid")))</f>
        <v/>
      </c>
      <c r="O1930" s="5" t="n"/>
      <c r="P1930" s="8" t="n"/>
      <c r="Q1930" s="8" t="n"/>
      <c r="R1930" s="11">
        <f>IF(B1930="","",IFERROR(K1930,0)+IFERROR(P1930,0)-IFERROR(Q1930,0))</f>
        <v/>
      </c>
      <c r="S1930" s="5" t="n"/>
      <c r="T1930" s="5" t="n"/>
      <c r="U1930" s="11">
        <f>IF(B1930="","",TRIM(LOWER(C1930)&amp;"|"&amp;LOWER(D1930)))</f>
        <v/>
      </c>
    </row>
    <row r="1931">
      <c r="A1931" s="11">
        <f>IF(B1931="","",TEXT(ROW()-3,"""DC-""0000"))</f>
        <v/>
      </c>
      <c r="B1931" s="5" t="n"/>
      <c r="C1931" s="5" t="n"/>
      <c r="D1931" s="5" t="n"/>
      <c r="E1931" s="5" t="n"/>
      <c r="F1931" s="5" t="n"/>
      <c r="G1931" s="5" t="n"/>
      <c r="H1931" s="8" t="n"/>
      <c r="I1931" s="8" t="n"/>
      <c r="J1931" s="8" t="n"/>
      <c r="K1931" s="11">
        <f>IF(B1931="","",MAX(0,IFERROR(I1931,0)*IFERROR(H1931,0)-IFERROR(J1931,0)))</f>
        <v/>
      </c>
      <c r="L1931" s="8" t="n"/>
      <c r="M1931" s="11">
        <f>IF(B1931="","",MAX(0,K1931-L1931))</f>
        <v/>
      </c>
      <c r="N1931" s="11">
        <f>IF(B1931="","",IF(L1931&gt;=K1931,"Paid",IF(L1931&gt;0,"Partial","Unpaid")))</f>
        <v/>
      </c>
      <c r="O1931" s="5" t="n"/>
      <c r="P1931" s="8" t="n"/>
      <c r="Q1931" s="8" t="n"/>
      <c r="R1931" s="11">
        <f>IF(B1931="","",IFERROR(K1931,0)+IFERROR(P1931,0)-IFERROR(Q1931,0))</f>
        <v/>
      </c>
      <c r="S1931" s="5" t="n"/>
      <c r="T1931" s="5" t="n"/>
      <c r="U1931" s="11">
        <f>IF(B1931="","",TRIM(LOWER(C1931)&amp;"|"&amp;LOWER(D1931)))</f>
        <v/>
      </c>
    </row>
    <row r="1932">
      <c r="A1932" s="11">
        <f>IF(B1932="","",TEXT(ROW()-3,"""DC-""0000"))</f>
        <v/>
      </c>
      <c r="B1932" s="5" t="n"/>
      <c r="C1932" s="5" t="n"/>
      <c r="D1932" s="5" t="n"/>
      <c r="E1932" s="5" t="n"/>
      <c r="F1932" s="5" t="n"/>
      <c r="G1932" s="5" t="n"/>
      <c r="H1932" s="8" t="n"/>
      <c r="I1932" s="8" t="n"/>
      <c r="J1932" s="8" t="n"/>
      <c r="K1932" s="11">
        <f>IF(B1932="","",MAX(0,IFERROR(I1932,0)*IFERROR(H1932,0)-IFERROR(J1932,0)))</f>
        <v/>
      </c>
      <c r="L1932" s="8" t="n"/>
      <c r="M1932" s="11">
        <f>IF(B1932="","",MAX(0,K1932-L1932))</f>
        <v/>
      </c>
      <c r="N1932" s="11">
        <f>IF(B1932="","",IF(L1932&gt;=K1932,"Paid",IF(L1932&gt;0,"Partial","Unpaid")))</f>
        <v/>
      </c>
      <c r="O1932" s="5" t="n"/>
      <c r="P1932" s="8" t="n"/>
      <c r="Q1932" s="8" t="n"/>
      <c r="R1932" s="11">
        <f>IF(B1932="","",IFERROR(K1932,0)+IFERROR(P1932,0)-IFERROR(Q1932,0))</f>
        <v/>
      </c>
      <c r="S1932" s="5" t="n"/>
      <c r="T1932" s="5" t="n"/>
      <c r="U1932" s="11">
        <f>IF(B1932="","",TRIM(LOWER(C1932)&amp;"|"&amp;LOWER(D1932)))</f>
        <v/>
      </c>
    </row>
    <row r="1933">
      <c r="A1933" s="11">
        <f>IF(B1933="","",TEXT(ROW()-3,"""DC-""0000"))</f>
        <v/>
      </c>
      <c r="B1933" s="5" t="n"/>
      <c r="C1933" s="5" t="n"/>
      <c r="D1933" s="5" t="n"/>
      <c r="E1933" s="5" t="n"/>
      <c r="F1933" s="5" t="n"/>
      <c r="G1933" s="5" t="n"/>
      <c r="H1933" s="8" t="n"/>
      <c r="I1933" s="8" t="n"/>
      <c r="J1933" s="8" t="n"/>
      <c r="K1933" s="11">
        <f>IF(B1933="","",MAX(0,IFERROR(I1933,0)*IFERROR(H1933,0)-IFERROR(J1933,0)))</f>
        <v/>
      </c>
      <c r="L1933" s="8" t="n"/>
      <c r="M1933" s="11">
        <f>IF(B1933="","",MAX(0,K1933-L1933))</f>
        <v/>
      </c>
      <c r="N1933" s="11">
        <f>IF(B1933="","",IF(L1933&gt;=K1933,"Paid",IF(L1933&gt;0,"Partial","Unpaid")))</f>
        <v/>
      </c>
      <c r="O1933" s="5" t="n"/>
      <c r="P1933" s="8" t="n"/>
      <c r="Q1933" s="8" t="n"/>
      <c r="R1933" s="11">
        <f>IF(B1933="","",IFERROR(K1933,0)+IFERROR(P1933,0)-IFERROR(Q1933,0))</f>
        <v/>
      </c>
      <c r="S1933" s="5" t="n"/>
      <c r="T1933" s="5" t="n"/>
      <c r="U1933" s="11">
        <f>IF(B1933="","",TRIM(LOWER(C1933)&amp;"|"&amp;LOWER(D1933)))</f>
        <v/>
      </c>
    </row>
    <row r="1934">
      <c r="A1934" s="11">
        <f>IF(B1934="","",TEXT(ROW()-3,"""DC-""0000"))</f>
        <v/>
      </c>
      <c r="B1934" s="5" t="n"/>
      <c r="C1934" s="5" t="n"/>
      <c r="D1934" s="5" t="n"/>
      <c r="E1934" s="5" t="n"/>
      <c r="F1934" s="5" t="n"/>
      <c r="G1934" s="5" t="n"/>
      <c r="H1934" s="8" t="n"/>
      <c r="I1934" s="8" t="n"/>
      <c r="J1934" s="8" t="n"/>
      <c r="K1934" s="11">
        <f>IF(B1934="","",MAX(0,IFERROR(I1934,0)*IFERROR(H1934,0)-IFERROR(J1934,0)))</f>
        <v/>
      </c>
      <c r="L1934" s="8" t="n"/>
      <c r="M1934" s="11">
        <f>IF(B1934="","",MAX(0,K1934-L1934))</f>
        <v/>
      </c>
      <c r="N1934" s="11">
        <f>IF(B1934="","",IF(L1934&gt;=K1934,"Paid",IF(L1934&gt;0,"Partial","Unpaid")))</f>
        <v/>
      </c>
      <c r="O1934" s="5" t="n"/>
      <c r="P1934" s="8" t="n"/>
      <c r="Q1934" s="8" t="n"/>
      <c r="R1934" s="11">
        <f>IF(B1934="","",IFERROR(K1934,0)+IFERROR(P1934,0)-IFERROR(Q1934,0))</f>
        <v/>
      </c>
      <c r="S1934" s="5" t="n"/>
      <c r="T1934" s="5" t="n"/>
      <c r="U1934" s="11">
        <f>IF(B1934="","",TRIM(LOWER(C1934)&amp;"|"&amp;LOWER(D1934)))</f>
        <v/>
      </c>
    </row>
    <row r="1935">
      <c r="A1935" s="11">
        <f>IF(B1935="","",TEXT(ROW()-3,"""DC-""0000"))</f>
        <v/>
      </c>
      <c r="B1935" s="5" t="n"/>
      <c r="C1935" s="5" t="n"/>
      <c r="D1935" s="5" t="n"/>
      <c r="E1935" s="5" t="n"/>
      <c r="F1935" s="5" t="n"/>
      <c r="G1935" s="5" t="n"/>
      <c r="H1935" s="8" t="n"/>
      <c r="I1935" s="8" t="n"/>
      <c r="J1935" s="8" t="n"/>
      <c r="K1935" s="11">
        <f>IF(B1935="","",MAX(0,IFERROR(I1935,0)*IFERROR(H1935,0)-IFERROR(J1935,0)))</f>
        <v/>
      </c>
      <c r="L1935" s="8" t="n"/>
      <c r="M1935" s="11">
        <f>IF(B1935="","",MAX(0,K1935-L1935))</f>
        <v/>
      </c>
      <c r="N1935" s="11">
        <f>IF(B1935="","",IF(L1935&gt;=K1935,"Paid",IF(L1935&gt;0,"Partial","Unpaid")))</f>
        <v/>
      </c>
      <c r="O1935" s="5" t="n"/>
      <c r="P1935" s="8" t="n"/>
      <c r="Q1935" s="8" t="n"/>
      <c r="R1935" s="11">
        <f>IF(B1935="","",IFERROR(K1935,0)+IFERROR(P1935,0)-IFERROR(Q1935,0))</f>
        <v/>
      </c>
      <c r="S1935" s="5" t="n"/>
      <c r="T1935" s="5" t="n"/>
      <c r="U1935" s="11">
        <f>IF(B1935="","",TRIM(LOWER(C1935)&amp;"|"&amp;LOWER(D1935)))</f>
        <v/>
      </c>
    </row>
    <row r="1936">
      <c r="A1936" s="11">
        <f>IF(B1936="","",TEXT(ROW()-3,"""DC-""0000"))</f>
        <v/>
      </c>
      <c r="B1936" s="5" t="n"/>
      <c r="C1936" s="5" t="n"/>
      <c r="D1936" s="5" t="n"/>
      <c r="E1936" s="5" t="n"/>
      <c r="F1936" s="5" t="n"/>
      <c r="G1936" s="5" t="n"/>
      <c r="H1936" s="8" t="n"/>
      <c r="I1936" s="8" t="n"/>
      <c r="J1936" s="8" t="n"/>
      <c r="K1936" s="11">
        <f>IF(B1936="","",MAX(0,IFERROR(I1936,0)*IFERROR(H1936,0)-IFERROR(J1936,0)))</f>
        <v/>
      </c>
      <c r="L1936" s="8" t="n"/>
      <c r="M1936" s="11">
        <f>IF(B1936="","",MAX(0,K1936-L1936))</f>
        <v/>
      </c>
      <c r="N1936" s="11">
        <f>IF(B1936="","",IF(L1936&gt;=K1936,"Paid",IF(L1936&gt;0,"Partial","Unpaid")))</f>
        <v/>
      </c>
      <c r="O1936" s="5" t="n"/>
      <c r="P1936" s="8" t="n"/>
      <c r="Q1936" s="8" t="n"/>
      <c r="R1936" s="11">
        <f>IF(B1936="","",IFERROR(K1936,0)+IFERROR(P1936,0)-IFERROR(Q1936,0))</f>
        <v/>
      </c>
      <c r="S1936" s="5" t="n"/>
      <c r="T1936" s="5" t="n"/>
      <c r="U1936" s="11">
        <f>IF(B1936="","",TRIM(LOWER(C1936)&amp;"|"&amp;LOWER(D1936)))</f>
        <v/>
      </c>
    </row>
    <row r="1937">
      <c r="A1937" s="11">
        <f>IF(B1937="","",TEXT(ROW()-3,"""DC-""0000"))</f>
        <v/>
      </c>
      <c r="B1937" s="5" t="n"/>
      <c r="C1937" s="5" t="n"/>
      <c r="D1937" s="5" t="n"/>
      <c r="E1937" s="5" t="n"/>
      <c r="F1937" s="5" t="n"/>
      <c r="G1937" s="5" t="n"/>
      <c r="H1937" s="8" t="n"/>
      <c r="I1937" s="8" t="n"/>
      <c r="J1937" s="8" t="n"/>
      <c r="K1937" s="11">
        <f>IF(B1937="","",MAX(0,IFERROR(I1937,0)*IFERROR(H1937,0)-IFERROR(J1937,0)))</f>
        <v/>
      </c>
      <c r="L1937" s="8" t="n"/>
      <c r="M1937" s="11">
        <f>IF(B1937="","",MAX(0,K1937-L1937))</f>
        <v/>
      </c>
      <c r="N1937" s="11">
        <f>IF(B1937="","",IF(L1937&gt;=K1937,"Paid",IF(L1937&gt;0,"Partial","Unpaid")))</f>
        <v/>
      </c>
      <c r="O1937" s="5" t="n"/>
      <c r="P1937" s="8" t="n"/>
      <c r="Q1937" s="8" t="n"/>
      <c r="R1937" s="11">
        <f>IF(B1937="","",IFERROR(K1937,0)+IFERROR(P1937,0)-IFERROR(Q1937,0))</f>
        <v/>
      </c>
      <c r="S1937" s="5" t="n"/>
      <c r="T1937" s="5" t="n"/>
      <c r="U1937" s="11">
        <f>IF(B1937="","",TRIM(LOWER(C1937)&amp;"|"&amp;LOWER(D1937)))</f>
        <v/>
      </c>
    </row>
    <row r="1938">
      <c r="A1938" s="11">
        <f>IF(B1938="","",TEXT(ROW()-3,"""DC-""0000"))</f>
        <v/>
      </c>
      <c r="B1938" s="5" t="n"/>
      <c r="C1938" s="5" t="n"/>
      <c r="D1938" s="5" t="n"/>
      <c r="E1938" s="5" t="n"/>
      <c r="F1938" s="5" t="n"/>
      <c r="G1938" s="5" t="n"/>
      <c r="H1938" s="8" t="n"/>
      <c r="I1938" s="8" t="n"/>
      <c r="J1938" s="8" t="n"/>
      <c r="K1938" s="11">
        <f>IF(B1938="","",MAX(0,IFERROR(I1938,0)*IFERROR(H1938,0)-IFERROR(J1938,0)))</f>
        <v/>
      </c>
      <c r="L1938" s="8" t="n"/>
      <c r="M1938" s="11">
        <f>IF(B1938="","",MAX(0,K1938-L1938))</f>
        <v/>
      </c>
      <c r="N1938" s="11">
        <f>IF(B1938="","",IF(L1938&gt;=K1938,"Paid",IF(L1938&gt;0,"Partial","Unpaid")))</f>
        <v/>
      </c>
      <c r="O1938" s="5" t="n"/>
      <c r="P1938" s="8" t="n"/>
      <c r="Q1938" s="8" t="n"/>
      <c r="R1938" s="11">
        <f>IF(B1938="","",IFERROR(K1938,0)+IFERROR(P1938,0)-IFERROR(Q1938,0))</f>
        <v/>
      </c>
      <c r="S1938" s="5" t="n"/>
      <c r="T1938" s="5" t="n"/>
      <c r="U1938" s="11">
        <f>IF(B1938="","",TRIM(LOWER(C1938)&amp;"|"&amp;LOWER(D1938)))</f>
        <v/>
      </c>
    </row>
    <row r="1939">
      <c r="A1939" s="11">
        <f>IF(B1939="","",TEXT(ROW()-3,"""DC-""0000"))</f>
        <v/>
      </c>
      <c r="B1939" s="5" t="n"/>
      <c r="C1939" s="5" t="n"/>
      <c r="D1939" s="5" t="n"/>
      <c r="E1939" s="5" t="n"/>
      <c r="F1939" s="5" t="n"/>
      <c r="G1939" s="5" t="n"/>
      <c r="H1939" s="8" t="n"/>
      <c r="I1939" s="8" t="n"/>
      <c r="J1939" s="8" t="n"/>
      <c r="K1939" s="11">
        <f>IF(B1939="","",MAX(0,IFERROR(I1939,0)*IFERROR(H1939,0)-IFERROR(J1939,0)))</f>
        <v/>
      </c>
      <c r="L1939" s="8" t="n"/>
      <c r="M1939" s="11">
        <f>IF(B1939="","",MAX(0,K1939-L1939))</f>
        <v/>
      </c>
      <c r="N1939" s="11">
        <f>IF(B1939="","",IF(L1939&gt;=K1939,"Paid",IF(L1939&gt;0,"Partial","Unpaid")))</f>
        <v/>
      </c>
      <c r="O1939" s="5" t="n"/>
      <c r="P1939" s="8" t="n"/>
      <c r="Q1939" s="8" t="n"/>
      <c r="R1939" s="11">
        <f>IF(B1939="","",IFERROR(K1939,0)+IFERROR(P1939,0)-IFERROR(Q1939,0))</f>
        <v/>
      </c>
      <c r="S1939" s="5" t="n"/>
      <c r="T1939" s="5" t="n"/>
      <c r="U1939" s="11">
        <f>IF(B1939="","",TRIM(LOWER(C1939)&amp;"|"&amp;LOWER(D1939)))</f>
        <v/>
      </c>
    </row>
    <row r="1940">
      <c r="A1940" s="11">
        <f>IF(B1940="","",TEXT(ROW()-3,"""DC-""0000"))</f>
        <v/>
      </c>
      <c r="B1940" s="5" t="n"/>
      <c r="C1940" s="5" t="n"/>
      <c r="D1940" s="5" t="n"/>
      <c r="E1940" s="5" t="n"/>
      <c r="F1940" s="5" t="n"/>
      <c r="G1940" s="5" t="n"/>
      <c r="H1940" s="8" t="n"/>
      <c r="I1940" s="8" t="n"/>
      <c r="J1940" s="8" t="n"/>
      <c r="K1940" s="11">
        <f>IF(B1940="","",MAX(0,IFERROR(I1940,0)*IFERROR(H1940,0)-IFERROR(J1940,0)))</f>
        <v/>
      </c>
      <c r="L1940" s="8" t="n"/>
      <c r="M1940" s="11">
        <f>IF(B1940="","",MAX(0,K1940-L1940))</f>
        <v/>
      </c>
      <c r="N1940" s="11">
        <f>IF(B1940="","",IF(L1940&gt;=K1940,"Paid",IF(L1940&gt;0,"Partial","Unpaid")))</f>
        <v/>
      </c>
      <c r="O1940" s="5" t="n"/>
      <c r="P1940" s="8" t="n"/>
      <c r="Q1940" s="8" t="n"/>
      <c r="R1940" s="11">
        <f>IF(B1940="","",IFERROR(K1940,0)+IFERROR(P1940,0)-IFERROR(Q1940,0))</f>
        <v/>
      </c>
      <c r="S1940" s="5" t="n"/>
      <c r="T1940" s="5" t="n"/>
      <c r="U1940" s="11">
        <f>IF(B1940="","",TRIM(LOWER(C1940)&amp;"|"&amp;LOWER(D1940)))</f>
        <v/>
      </c>
    </row>
    <row r="1941">
      <c r="A1941" s="11">
        <f>IF(B1941="","",TEXT(ROW()-3,"""DC-""0000"))</f>
        <v/>
      </c>
      <c r="B1941" s="5" t="n"/>
      <c r="C1941" s="5" t="n"/>
      <c r="D1941" s="5" t="n"/>
      <c r="E1941" s="5" t="n"/>
      <c r="F1941" s="5" t="n"/>
      <c r="G1941" s="5" t="n"/>
      <c r="H1941" s="8" t="n"/>
      <c r="I1941" s="8" t="n"/>
      <c r="J1941" s="8" t="n"/>
      <c r="K1941" s="11">
        <f>IF(B1941="","",MAX(0,IFERROR(I1941,0)*IFERROR(H1941,0)-IFERROR(J1941,0)))</f>
        <v/>
      </c>
      <c r="L1941" s="8" t="n"/>
      <c r="M1941" s="11">
        <f>IF(B1941="","",MAX(0,K1941-L1941))</f>
        <v/>
      </c>
      <c r="N1941" s="11">
        <f>IF(B1941="","",IF(L1941&gt;=K1941,"Paid",IF(L1941&gt;0,"Partial","Unpaid")))</f>
        <v/>
      </c>
      <c r="O1941" s="5" t="n"/>
      <c r="P1941" s="8" t="n"/>
      <c r="Q1941" s="8" t="n"/>
      <c r="R1941" s="11">
        <f>IF(B1941="","",IFERROR(K1941,0)+IFERROR(P1941,0)-IFERROR(Q1941,0))</f>
        <v/>
      </c>
      <c r="S1941" s="5" t="n"/>
      <c r="T1941" s="5" t="n"/>
      <c r="U1941" s="11">
        <f>IF(B1941="","",TRIM(LOWER(C1941)&amp;"|"&amp;LOWER(D1941)))</f>
        <v/>
      </c>
    </row>
    <row r="1942">
      <c r="A1942" s="11">
        <f>IF(B1942="","",TEXT(ROW()-3,"""DC-""0000"))</f>
        <v/>
      </c>
      <c r="B1942" s="5" t="n"/>
      <c r="C1942" s="5" t="n"/>
      <c r="D1942" s="5" t="n"/>
      <c r="E1942" s="5" t="n"/>
      <c r="F1942" s="5" t="n"/>
      <c r="G1942" s="5" t="n"/>
      <c r="H1942" s="8" t="n"/>
      <c r="I1942" s="8" t="n"/>
      <c r="J1942" s="8" t="n"/>
      <c r="K1942" s="11">
        <f>IF(B1942="","",MAX(0,IFERROR(I1942,0)*IFERROR(H1942,0)-IFERROR(J1942,0)))</f>
        <v/>
      </c>
      <c r="L1942" s="8" t="n"/>
      <c r="M1942" s="11">
        <f>IF(B1942="","",MAX(0,K1942-L1942))</f>
        <v/>
      </c>
      <c r="N1942" s="11">
        <f>IF(B1942="","",IF(L1942&gt;=K1942,"Paid",IF(L1942&gt;0,"Partial","Unpaid")))</f>
        <v/>
      </c>
      <c r="O1942" s="5" t="n"/>
      <c r="P1942" s="8" t="n"/>
      <c r="Q1942" s="8" t="n"/>
      <c r="R1942" s="11">
        <f>IF(B1942="","",IFERROR(K1942,0)+IFERROR(P1942,0)-IFERROR(Q1942,0))</f>
        <v/>
      </c>
      <c r="S1942" s="5" t="n"/>
      <c r="T1942" s="5" t="n"/>
      <c r="U1942" s="11">
        <f>IF(B1942="","",TRIM(LOWER(C1942)&amp;"|"&amp;LOWER(D1942)))</f>
        <v/>
      </c>
    </row>
    <row r="1943">
      <c r="A1943" s="11">
        <f>IF(B1943="","",TEXT(ROW()-3,"""DC-""0000"))</f>
        <v/>
      </c>
      <c r="B1943" s="5" t="n"/>
      <c r="C1943" s="5" t="n"/>
      <c r="D1943" s="5" t="n"/>
      <c r="E1943" s="5" t="n"/>
      <c r="F1943" s="5" t="n"/>
      <c r="G1943" s="5" t="n"/>
      <c r="H1943" s="8" t="n"/>
      <c r="I1943" s="8" t="n"/>
      <c r="J1943" s="8" t="n"/>
      <c r="K1943" s="11">
        <f>IF(B1943="","",MAX(0,IFERROR(I1943,0)*IFERROR(H1943,0)-IFERROR(J1943,0)))</f>
        <v/>
      </c>
      <c r="L1943" s="8" t="n"/>
      <c r="M1943" s="11">
        <f>IF(B1943="","",MAX(0,K1943-L1943))</f>
        <v/>
      </c>
      <c r="N1943" s="11">
        <f>IF(B1943="","",IF(L1943&gt;=K1943,"Paid",IF(L1943&gt;0,"Partial","Unpaid")))</f>
        <v/>
      </c>
      <c r="O1943" s="5" t="n"/>
      <c r="P1943" s="8" t="n"/>
      <c r="Q1943" s="8" t="n"/>
      <c r="R1943" s="11">
        <f>IF(B1943="","",IFERROR(K1943,0)+IFERROR(P1943,0)-IFERROR(Q1943,0))</f>
        <v/>
      </c>
      <c r="S1943" s="5" t="n"/>
      <c r="T1943" s="5" t="n"/>
      <c r="U1943" s="11">
        <f>IF(B1943="","",TRIM(LOWER(C1943)&amp;"|"&amp;LOWER(D1943)))</f>
        <v/>
      </c>
    </row>
    <row r="1944">
      <c r="A1944" s="11">
        <f>IF(B1944="","",TEXT(ROW()-3,"""DC-""0000"))</f>
        <v/>
      </c>
      <c r="B1944" s="5" t="n"/>
      <c r="C1944" s="5" t="n"/>
      <c r="D1944" s="5" t="n"/>
      <c r="E1944" s="5" t="n"/>
      <c r="F1944" s="5" t="n"/>
      <c r="G1944" s="5" t="n"/>
      <c r="H1944" s="8" t="n"/>
      <c r="I1944" s="8" t="n"/>
      <c r="J1944" s="8" t="n"/>
      <c r="K1944" s="11">
        <f>IF(B1944="","",MAX(0,IFERROR(I1944,0)*IFERROR(H1944,0)-IFERROR(J1944,0)))</f>
        <v/>
      </c>
      <c r="L1944" s="8" t="n"/>
      <c r="M1944" s="11">
        <f>IF(B1944="","",MAX(0,K1944-L1944))</f>
        <v/>
      </c>
      <c r="N1944" s="11">
        <f>IF(B1944="","",IF(L1944&gt;=K1944,"Paid",IF(L1944&gt;0,"Partial","Unpaid")))</f>
        <v/>
      </c>
      <c r="O1944" s="5" t="n"/>
      <c r="P1944" s="8" t="n"/>
      <c r="Q1944" s="8" t="n"/>
      <c r="R1944" s="11">
        <f>IF(B1944="","",IFERROR(K1944,0)+IFERROR(P1944,0)-IFERROR(Q1944,0))</f>
        <v/>
      </c>
      <c r="S1944" s="5" t="n"/>
      <c r="T1944" s="5" t="n"/>
      <c r="U1944" s="11">
        <f>IF(B1944="","",TRIM(LOWER(C1944)&amp;"|"&amp;LOWER(D1944)))</f>
        <v/>
      </c>
    </row>
    <row r="1945">
      <c r="A1945" s="11">
        <f>IF(B1945="","",TEXT(ROW()-3,"""DC-""0000"))</f>
        <v/>
      </c>
      <c r="B1945" s="5" t="n"/>
      <c r="C1945" s="5" t="n"/>
      <c r="D1945" s="5" t="n"/>
      <c r="E1945" s="5" t="n"/>
      <c r="F1945" s="5" t="n"/>
      <c r="G1945" s="5" t="n"/>
      <c r="H1945" s="8" t="n"/>
      <c r="I1945" s="8" t="n"/>
      <c r="J1945" s="8" t="n"/>
      <c r="K1945" s="11">
        <f>IF(B1945="","",MAX(0,IFERROR(I1945,0)*IFERROR(H1945,0)-IFERROR(J1945,0)))</f>
        <v/>
      </c>
      <c r="L1945" s="8" t="n"/>
      <c r="M1945" s="11">
        <f>IF(B1945="","",MAX(0,K1945-L1945))</f>
        <v/>
      </c>
      <c r="N1945" s="11">
        <f>IF(B1945="","",IF(L1945&gt;=K1945,"Paid",IF(L1945&gt;0,"Partial","Unpaid")))</f>
        <v/>
      </c>
      <c r="O1945" s="5" t="n"/>
      <c r="P1945" s="8" t="n"/>
      <c r="Q1945" s="8" t="n"/>
      <c r="R1945" s="11">
        <f>IF(B1945="","",IFERROR(K1945,0)+IFERROR(P1945,0)-IFERROR(Q1945,0))</f>
        <v/>
      </c>
      <c r="S1945" s="5" t="n"/>
      <c r="T1945" s="5" t="n"/>
      <c r="U1945" s="11">
        <f>IF(B1945="","",TRIM(LOWER(C1945)&amp;"|"&amp;LOWER(D1945)))</f>
        <v/>
      </c>
    </row>
    <row r="1946">
      <c r="A1946" s="11">
        <f>IF(B1946="","",TEXT(ROW()-3,"""DC-""0000"))</f>
        <v/>
      </c>
      <c r="B1946" s="5" t="n"/>
      <c r="C1946" s="5" t="n"/>
      <c r="D1946" s="5" t="n"/>
      <c r="E1946" s="5" t="n"/>
      <c r="F1946" s="5" t="n"/>
      <c r="G1946" s="5" t="n"/>
      <c r="H1946" s="8" t="n"/>
      <c r="I1946" s="8" t="n"/>
      <c r="J1946" s="8" t="n"/>
      <c r="K1946" s="11">
        <f>IF(B1946="","",MAX(0,IFERROR(I1946,0)*IFERROR(H1946,0)-IFERROR(J1946,0)))</f>
        <v/>
      </c>
      <c r="L1946" s="8" t="n"/>
      <c r="M1946" s="11">
        <f>IF(B1946="","",MAX(0,K1946-L1946))</f>
        <v/>
      </c>
      <c r="N1946" s="11">
        <f>IF(B1946="","",IF(L1946&gt;=K1946,"Paid",IF(L1946&gt;0,"Partial","Unpaid")))</f>
        <v/>
      </c>
      <c r="O1946" s="5" t="n"/>
      <c r="P1946" s="8" t="n"/>
      <c r="Q1946" s="8" t="n"/>
      <c r="R1946" s="11">
        <f>IF(B1946="","",IFERROR(K1946,0)+IFERROR(P1946,0)-IFERROR(Q1946,0))</f>
        <v/>
      </c>
      <c r="S1946" s="5" t="n"/>
      <c r="T1946" s="5" t="n"/>
      <c r="U1946" s="11">
        <f>IF(B1946="","",TRIM(LOWER(C1946)&amp;"|"&amp;LOWER(D1946)))</f>
        <v/>
      </c>
    </row>
    <row r="1947">
      <c r="A1947" s="11">
        <f>IF(B1947="","",TEXT(ROW()-3,"""DC-""0000"))</f>
        <v/>
      </c>
      <c r="B1947" s="5" t="n"/>
      <c r="C1947" s="5" t="n"/>
      <c r="D1947" s="5" t="n"/>
      <c r="E1947" s="5" t="n"/>
      <c r="F1947" s="5" t="n"/>
      <c r="G1947" s="5" t="n"/>
      <c r="H1947" s="8" t="n"/>
      <c r="I1947" s="8" t="n"/>
      <c r="J1947" s="8" t="n"/>
      <c r="K1947" s="11">
        <f>IF(B1947="","",MAX(0,IFERROR(I1947,0)*IFERROR(H1947,0)-IFERROR(J1947,0)))</f>
        <v/>
      </c>
      <c r="L1947" s="8" t="n"/>
      <c r="M1947" s="11">
        <f>IF(B1947="","",MAX(0,K1947-L1947))</f>
        <v/>
      </c>
      <c r="N1947" s="11">
        <f>IF(B1947="","",IF(L1947&gt;=K1947,"Paid",IF(L1947&gt;0,"Partial","Unpaid")))</f>
        <v/>
      </c>
      <c r="O1947" s="5" t="n"/>
      <c r="P1947" s="8" t="n"/>
      <c r="Q1947" s="8" t="n"/>
      <c r="R1947" s="11">
        <f>IF(B1947="","",IFERROR(K1947,0)+IFERROR(P1947,0)-IFERROR(Q1947,0))</f>
        <v/>
      </c>
      <c r="S1947" s="5" t="n"/>
      <c r="T1947" s="5" t="n"/>
      <c r="U1947" s="11">
        <f>IF(B1947="","",TRIM(LOWER(C1947)&amp;"|"&amp;LOWER(D1947)))</f>
        <v/>
      </c>
    </row>
    <row r="1948">
      <c r="A1948" s="11">
        <f>IF(B1948="","",TEXT(ROW()-3,"""DC-""0000"))</f>
        <v/>
      </c>
      <c r="B1948" s="5" t="n"/>
      <c r="C1948" s="5" t="n"/>
      <c r="D1948" s="5" t="n"/>
      <c r="E1948" s="5" t="n"/>
      <c r="F1948" s="5" t="n"/>
      <c r="G1948" s="5" t="n"/>
      <c r="H1948" s="8" t="n"/>
      <c r="I1948" s="8" t="n"/>
      <c r="J1948" s="8" t="n"/>
      <c r="K1948" s="11">
        <f>IF(B1948="","",MAX(0,IFERROR(I1948,0)*IFERROR(H1948,0)-IFERROR(J1948,0)))</f>
        <v/>
      </c>
      <c r="L1948" s="8" t="n"/>
      <c r="M1948" s="11">
        <f>IF(B1948="","",MAX(0,K1948-L1948))</f>
        <v/>
      </c>
      <c r="N1948" s="11">
        <f>IF(B1948="","",IF(L1948&gt;=K1948,"Paid",IF(L1948&gt;0,"Partial","Unpaid")))</f>
        <v/>
      </c>
      <c r="O1948" s="5" t="n"/>
      <c r="P1948" s="8" t="n"/>
      <c r="Q1948" s="8" t="n"/>
      <c r="R1948" s="11">
        <f>IF(B1948="","",IFERROR(K1948,0)+IFERROR(P1948,0)-IFERROR(Q1948,0))</f>
        <v/>
      </c>
      <c r="S1948" s="5" t="n"/>
      <c r="T1948" s="5" t="n"/>
      <c r="U1948" s="11">
        <f>IF(B1948="","",TRIM(LOWER(C1948)&amp;"|"&amp;LOWER(D1948)))</f>
        <v/>
      </c>
    </row>
    <row r="1949">
      <c r="A1949" s="11">
        <f>IF(B1949="","",TEXT(ROW()-3,"""DC-""0000"))</f>
        <v/>
      </c>
      <c r="B1949" s="5" t="n"/>
      <c r="C1949" s="5" t="n"/>
      <c r="D1949" s="5" t="n"/>
      <c r="E1949" s="5" t="n"/>
      <c r="F1949" s="5" t="n"/>
      <c r="G1949" s="5" t="n"/>
      <c r="H1949" s="8" t="n"/>
      <c r="I1949" s="8" t="n"/>
      <c r="J1949" s="8" t="n"/>
      <c r="K1949" s="11">
        <f>IF(B1949="","",MAX(0,IFERROR(I1949,0)*IFERROR(H1949,0)-IFERROR(J1949,0)))</f>
        <v/>
      </c>
      <c r="L1949" s="8" t="n"/>
      <c r="M1949" s="11">
        <f>IF(B1949="","",MAX(0,K1949-L1949))</f>
        <v/>
      </c>
      <c r="N1949" s="11">
        <f>IF(B1949="","",IF(L1949&gt;=K1949,"Paid",IF(L1949&gt;0,"Partial","Unpaid")))</f>
        <v/>
      </c>
      <c r="O1949" s="5" t="n"/>
      <c r="P1949" s="8" t="n"/>
      <c r="Q1949" s="8" t="n"/>
      <c r="R1949" s="11">
        <f>IF(B1949="","",IFERROR(K1949,0)+IFERROR(P1949,0)-IFERROR(Q1949,0))</f>
        <v/>
      </c>
      <c r="S1949" s="5" t="n"/>
      <c r="T1949" s="5" t="n"/>
      <c r="U1949" s="11">
        <f>IF(B1949="","",TRIM(LOWER(C1949)&amp;"|"&amp;LOWER(D1949)))</f>
        <v/>
      </c>
    </row>
    <row r="1950">
      <c r="A1950" s="11">
        <f>IF(B1950="","",TEXT(ROW()-3,"""DC-""0000"))</f>
        <v/>
      </c>
      <c r="B1950" s="5" t="n"/>
      <c r="C1950" s="5" t="n"/>
      <c r="D1950" s="5" t="n"/>
      <c r="E1950" s="5" t="n"/>
      <c r="F1950" s="5" t="n"/>
      <c r="G1950" s="5" t="n"/>
      <c r="H1950" s="8" t="n"/>
      <c r="I1950" s="8" t="n"/>
      <c r="J1950" s="8" t="n"/>
      <c r="K1950" s="11">
        <f>IF(B1950="","",MAX(0,IFERROR(I1950,0)*IFERROR(H1950,0)-IFERROR(J1950,0)))</f>
        <v/>
      </c>
      <c r="L1950" s="8" t="n"/>
      <c r="M1950" s="11">
        <f>IF(B1950="","",MAX(0,K1950-L1950))</f>
        <v/>
      </c>
      <c r="N1950" s="11">
        <f>IF(B1950="","",IF(L1950&gt;=K1950,"Paid",IF(L1950&gt;0,"Partial","Unpaid")))</f>
        <v/>
      </c>
      <c r="O1950" s="5" t="n"/>
      <c r="P1950" s="8" t="n"/>
      <c r="Q1950" s="8" t="n"/>
      <c r="R1950" s="11">
        <f>IF(B1950="","",IFERROR(K1950,0)+IFERROR(P1950,0)-IFERROR(Q1950,0))</f>
        <v/>
      </c>
      <c r="S1950" s="5" t="n"/>
      <c r="T1950" s="5" t="n"/>
      <c r="U1950" s="11">
        <f>IF(B1950="","",TRIM(LOWER(C1950)&amp;"|"&amp;LOWER(D1950)))</f>
        <v/>
      </c>
    </row>
    <row r="1951">
      <c r="A1951" s="11">
        <f>IF(B1951="","",TEXT(ROW()-3,"""DC-""0000"))</f>
        <v/>
      </c>
      <c r="B1951" s="5" t="n"/>
      <c r="C1951" s="5" t="n"/>
      <c r="D1951" s="5" t="n"/>
      <c r="E1951" s="5" t="n"/>
      <c r="F1951" s="5" t="n"/>
      <c r="G1951" s="5" t="n"/>
      <c r="H1951" s="8" t="n"/>
      <c r="I1951" s="8" t="n"/>
      <c r="J1951" s="8" t="n"/>
      <c r="K1951" s="11">
        <f>IF(B1951="","",MAX(0,IFERROR(I1951,0)*IFERROR(H1951,0)-IFERROR(J1951,0)))</f>
        <v/>
      </c>
      <c r="L1951" s="8" t="n"/>
      <c r="M1951" s="11">
        <f>IF(B1951="","",MAX(0,K1951-L1951))</f>
        <v/>
      </c>
      <c r="N1951" s="11">
        <f>IF(B1951="","",IF(L1951&gt;=K1951,"Paid",IF(L1951&gt;0,"Partial","Unpaid")))</f>
        <v/>
      </c>
      <c r="O1951" s="5" t="n"/>
      <c r="P1951" s="8" t="n"/>
      <c r="Q1951" s="8" t="n"/>
      <c r="R1951" s="11">
        <f>IF(B1951="","",IFERROR(K1951,0)+IFERROR(P1951,0)-IFERROR(Q1951,0))</f>
        <v/>
      </c>
      <c r="S1951" s="5" t="n"/>
      <c r="T1951" s="5" t="n"/>
      <c r="U1951" s="11">
        <f>IF(B1951="","",TRIM(LOWER(C1951)&amp;"|"&amp;LOWER(D1951)))</f>
        <v/>
      </c>
    </row>
    <row r="1952">
      <c r="A1952" s="11">
        <f>IF(B1952="","",TEXT(ROW()-3,"""DC-""0000"))</f>
        <v/>
      </c>
      <c r="B1952" s="5" t="n"/>
      <c r="C1952" s="5" t="n"/>
      <c r="D1952" s="5" t="n"/>
      <c r="E1952" s="5" t="n"/>
      <c r="F1952" s="5" t="n"/>
      <c r="G1952" s="5" t="n"/>
      <c r="H1952" s="8" t="n"/>
      <c r="I1952" s="8" t="n"/>
      <c r="J1952" s="8" t="n"/>
      <c r="K1952" s="11">
        <f>IF(B1952="","",MAX(0,IFERROR(I1952,0)*IFERROR(H1952,0)-IFERROR(J1952,0)))</f>
        <v/>
      </c>
      <c r="L1952" s="8" t="n"/>
      <c r="M1952" s="11">
        <f>IF(B1952="","",MAX(0,K1952-L1952))</f>
        <v/>
      </c>
      <c r="N1952" s="11">
        <f>IF(B1952="","",IF(L1952&gt;=K1952,"Paid",IF(L1952&gt;0,"Partial","Unpaid")))</f>
        <v/>
      </c>
      <c r="O1952" s="5" t="n"/>
      <c r="P1952" s="8" t="n"/>
      <c r="Q1952" s="8" t="n"/>
      <c r="R1952" s="11">
        <f>IF(B1952="","",IFERROR(K1952,0)+IFERROR(P1952,0)-IFERROR(Q1952,0))</f>
        <v/>
      </c>
      <c r="S1952" s="5" t="n"/>
      <c r="T1952" s="5" t="n"/>
      <c r="U1952" s="11">
        <f>IF(B1952="","",TRIM(LOWER(C1952)&amp;"|"&amp;LOWER(D1952)))</f>
        <v/>
      </c>
    </row>
    <row r="1953">
      <c r="A1953" s="11">
        <f>IF(B1953="","",TEXT(ROW()-3,"""DC-""0000"))</f>
        <v/>
      </c>
      <c r="B1953" s="5" t="n"/>
      <c r="C1953" s="5" t="n"/>
      <c r="D1953" s="5" t="n"/>
      <c r="E1953" s="5" t="n"/>
      <c r="F1953" s="5" t="n"/>
      <c r="G1953" s="5" t="n"/>
      <c r="H1953" s="8" t="n"/>
      <c r="I1953" s="8" t="n"/>
      <c r="J1953" s="8" t="n"/>
      <c r="K1953" s="11">
        <f>IF(B1953="","",MAX(0,IFERROR(I1953,0)*IFERROR(H1953,0)-IFERROR(J1953,0)))</f>
        <v/>
      </c>
      <c r="L1953" s="8" t="n"/>
      <c r="M1953" s="11">
        <f>IF(B1953="","",MAX(0,K1953-L1953))</f>
        <v/>
      </c>
      <c r="N1953" s="11">
        <f>IF(B1953="","",IF(L1953&gt;=K1953,"Paid",IF(L1953&gt;0,"Partial","Unpaid")))</f>
        <v/>
      </c>
      <c r="O1953" s="5" t="n"/>
      <c r="P1953" s="8" t="n"/>
      <c r="Q1953" s="8" t="n"/>
      <c r="R1953" s="11">
        <f>IF(B1953="","",IFERROR(K1953,0)+IFERROR(P1953,0)-IFERROR(Q1953,0))</f>
        <v/>
      </c>
      <c r="S1953" s="5" t="n"/>
      <c r="T1953" s="5" t="n"/>
      <c r="U1953" s="11">
        <f>IF(B1953="","",TRIM(LOWER(C1953)&amp;"|"&amp;LOWER(D1953)))</f>
        <v/>
      </c>
    </row>
    <row r="1954">
      <c r="A1954" s="11">
        <f>IF(B1954="","",TEXT(ROW()-3,"""DC-""0000"))</f>
        <v/>
      </c>
      <c r="B1954" s="5" t="n"/>
      <c r="C1954" s="5" t="n"/>
      <c r="D1954" s="5" t="n"/>
      <c r="E1954" s="5" t="n"/>
      <c r="F1954" s="5" t="n"/>
      <c r="G1954" s="5" t="n"/>
      <c r="H1954" s="8" t="n"/>
      <c r="I1954" s="8" t="n"/>
      <c r="J1954" s="8" t="n"/>
      <c r="K1954" s="11">
        <f>IF(B1954="","",MAX(0,IFERROR(I1954,0)*IFERROR(H1954,0)-IFERROR(J1954,0)))</f>
        <v/>
      </c>
      <c r="L1954" s="8" t="n"/>
      <c r="M1954" s="11">
        <f>IF(B1954="","",MAX(0,K1954-L1954))</f>
        <v/>
      </c>
      <c r="N1954" s="11">
        <f>IF(B1954="","",IF(L1954&gt;=K1954,"Paid",IF(L1954&gt;0,"Partial","Unpaid")))</f>
        <v/>
      </c>
      <c r="O1954" s="5" t="n"/>
      <c r="P1954" s="8" t="n"/>
      <c r="Q1954" s="8" t="n"/>
      <c r="R1954" s="11">
        <f>IF(B1954="","",IFERROR(K1954,0)+IFERROR(P1954,0)-IFERROR(Q1954,0))</f>
        <v/>
      </c>
      <c r="S1954" s="5" t="n"/>
      <c r="T1954" s="5" t="n"/>
      <c r="U1954" s="11">
        <f>IF(B1954="","",TRIM(LOWER(C1954)&amp;"|"&amp;LOWER(D1954)))</f>
        <v/>
      </c>
    </row>
    <row r="1955">
      <c r="A1955" s="11">
        <f>IF(B1955="","",TEXT(ROW()-3,"""DC-""0000"))</f>
        <v/>
      </c>
      <c r="B1955" s="5" t="n"/>
      <c r="C1955" s="5" t="n"/>
      <c r="D1955" s="5" t="n"/>
      <c r="E1955" s="5" t="n"/>
      <c r="F1955" s="5" t="n"/>
      <c r="G1955" s="5" t="n"/>
      <c r="H1955" s="8" t="n"/>
      <c r="I1955" s="8" t="n"/>
      <c r="J1955" s="8" t="n"/>
      <c r="K1955" s="11">
        <f>IF(B1955="","",MAX(0,IFERROR(I1955,0)*IFERROR(H1955,0)-IFERROR(J1955,0)))</f>
        <v/>
      </c>
      <c r="L1955" s="8" t="n"/>
      <c r="M1955" s="11">
        <f>IF(B1955="","",MAX(0,K1955-L1955))</f>
        <v/>
      </c>
      <c r="N1955" s="11">
        <f>IF(B1955="","",IF(L1955&gt;=K1955,"Paid",IF(L1955&gt;0,"Partial","Unpaid")))</f>
        <v/>
      </c>
      <c r="O1955" s="5" t="n"/>
      <c r="P1955" s="8" t="n"/>
      <c r="Q1955" s="8" t="n"/>
      <c r="R1955" s="11">
        <f>IF(B1955="","",IFERROR(K1955,0)+IFERROR(P1955,0)-IFERROR(Q1955,0))</f>
        <v/>
      </c>
      <c r="S1955" s="5" t="n"/>
      <c r="T1955" s="5" t="n"/>
      <c r="U1955" s="11">
        <f>IF(B1955="","",TRIM(LOWER(C1955)&amp;"|"&amp;LOWER(D1955)))</f>
        <v/>
      </c>
    </row>
    <row r="1956">
      <c r="A1956" s="11">
        <f>IF(B1956="","",TEXT(ROW()-3,"""DC-""0000"))</f>
        <v/>
      </c>
      <c r="B1956" s="5" t="n"/>
      <c r="C1956" s="5" t="n"/>
      <c r="D1956" s="5" t="n"/>
      <c r="E1956" s="5" t="n"/>
      <c r="F1956" s="5" t="n"/>
      <c r="G1956" s="5" t="n"/>
      <c r="H1956" s="8" t="n"/>
      <c r="I1956" s="8" t="n"/>
      <c r="J1956" s="8" t="n"/>
      <c r="K1956" s="11">
        <f>IF(B1956="","",MAX(0,IFERROR(I1956,0)*IFERROR(H1956,0)-IFERROR(J1956,0)))</f>
        <v/>
      </c>
      <c r="L1956" s="8" t="n"/>
      <c r="M1956" s="11">
        <f>IF(B1956="","",MAX(0,K1956-L1956))</f>
        <v/>
      </c>
      <c r="N1956" s="11">
        <f>IF(B1956="","",IF(L1956&gt;=K1956,"Paid",IF(L1956&gt;0,"Partial","Unpaid")))</f>
        <v/>
      </c>
      <c r="O1956" s="5" t="n"/>
      <c r="P1956" s="8" t="n"/>
      <c r="Q1956" s="8" t="n"/>
      <c r="R1956" s="11">
        <f>IF(B1956="","",IFERROR(K1956,0)+IFERROR(P1956,0)-IFERROR(Q1956,0))</f>
        <v/>
      </c>
      <c r="S1956" s="5" t="n"/>
      <c r="T1956" s="5" t="n"/>
      <c r="U1956" s="11">
        <f>IF(B1956="","",TRIM(LOWER(C1956)&amp;"|"&amp;LOWER(D1956)))</f>
        <v/>
      </c>
    </row>
    <row r="1957">
      <c r="A1957" s="11">
        <f>IF(B1957="","",TEXT(ROW()-3,"""DC-""0000"))</f>
        <v/>
      </c>
      <c r="B1957" s="5" t="n"/>
      <c r="C1957" s="5" t="n"/>
      <c r="D1957" s="5" t="n"/>
      <c r="E1957" s="5" t="n"/>
      <c r="F1957" s="5" t="n"/>
      <c r="G1957" s="5" t="n"/>
      <c r="H1957" s="8" t="n"/>
      <c r="I1957" s="8" t="n"/>
      <c r="J1957" s="8" t="n"/>
      <c r="K1957" s="11">
        <f>IF(B1957="","",MAX(0,IFERROR(I1957,0)*IFERROR(H1957,0)-IFERROR(J1957,0)))</f>
        <v/>
      </c>
      <c r="L1957" s="8" t="n"/>
      <c r="M1957" s="11">
        <f>IF(B1957="","",MAX(0,K1957-L1957))</f>
        <v/>
      </c>
      <c r="N1957" s="11">
        <f>IF(B1957="","",IF(L1957&gt;=K1957,"Paid",IF(L1957&gt;0,"Partial","Unpaid")))</f>
        <v/>
      </c>
      <c r="O1957" s="5" t="n"/>
      <c r="P1957" s="8" t="n"/>
      <c r="Q1957" s="8" t="n"/>
      <c r="R1957" s="11">
        <f>IF(B1957="","",IFERROR(K1957,0)+IFERROR(P1957,0)-IFERROR(Q1957,0))</f>
        <v/>
      </c>
      <c r="S1957" s="5" t="n"/>
      <c r="T1957" s="5" t="n"/>
      <c r="U1957" s="11">
        <f>IF(B1957="","",TRIM(LOWER(C1957)&amp;"|"&amp;LOWER(D1957)))</f>
        <v/>
      </c>
    </row>
    <row r="1958">
      <c r="A1958" s="11">
        <f>IF(B1958="","",TEXT(ROW()-3,"""DC-""0000"))</f>
        <v/>
      </c>
      <c r="B1958" s="5" t="n"/>
      <c r="C1958" s="5" t="n"/>
      <c r="D1958" s="5" t="n"/>
      <c r="E1958" s="5" t="n"/>
      <c r="F1958" s="5" t="n"/>
      <c r="G1958" s="5" t="n"/>
      <c r="H1958" s="8" t="n"/>
      <c r="I1958" s="8" t="n"/>
      <c r="J1958" s="8" t="n"/>
      <c r="K1958" s="11">
        <f>IF(B1958="","",MAX(0,IFERROR(I1958,0)*IFERROR(H1958,0)-IFERROR(J1958,0)))</f>
        <v/>
      </c>
      <c r="L1958" s="8" t="n"/>
      <c r="M1958" s="11">
        <f>IF(B1958="","",MAX(0,K1958-L1958))</f>
        <v/>
      </c>
      <c r="N1958" s="11">
        <f>IF(B1958="","",IF(L1958&gt;=K1958,"Paid",IF(L1958&gt;0,"Partial","Unpaid")))</f>
        <v/>
      </c>
      <c r="O1958" s="5" t="n"/>
      <c r="P1958" s="8" t="n"/>
      <c r="Q1958" s="8" t="n"/>
      <c r="R1958" s="11">
        <f>IF(B1958="","",IFERROR(K1958,0)+IFERROR(P1958,0)-IFERROR(Q1958,0))</f>
        <v/>
      </c>
      <c r="S1958" s="5" t="n"/>
      <c r="T1958" s="5" t="n"/>
      <c r="U1958" s="11">
        <f>IF(B1958="","",TRIM(LOWER(C1958)&amp;"|"&amp;LOWER(D1958)))</f>
        <v/>
      </c>
    </row>
    <row r="1959">
      <c r="A1959" s="11">
        <f>IF(B1959="","",TEXT(ROW()-3,"""DC-""0000"))</f>
        <v/>
      </c>
      <c r="B1959" s="5" t="n"/>
      <c r="C1959" s="5" t="n"/>
      <c r="D1959" s="5" t="n"/>
      <c r="E1959" s="5" t="n"/>
      <c r="F1959" s="5" t="n"/>
      <c r="G1959" s="5" t="n"/>
      <c r="H1959" s="8" t="n"/>
      <c r="I1959" s="8" t="n"/>
      <c r="J1959" s="8" t="n"/>
      <c r="K1959" s="11">
        <f>IF(B1959="","",MAX(0,IFERROR(I1959,0)*IFERROR(H1959,0)-IFERROR(J1959,0)))</f>
        <v/>
      </c>
      <c r="L1959" s="8" t="n"/>
      <c r="M1959" s="11">
        <f>IF(B1959="","",MAX(0,K1959-L1959))</f>
        <v/>
      </c>
      <c r="N1959" s="11">
        <f>IF(B1959="","",IF(L1959&gt;=K1959,"Paid",IF(L1959&gt;0,"Partial","Unpaid")))</f>
        <v/>
      </c>
      <c r="O1959" s="5" t="n"/>
      <c r="P1959" s="8" t="n"/>
      <c r="Q1959" s="8" t="n"/>
      <c r="R1959" s="11">
        <f>IF(B1959="","",IFERROR(K1959,0)+IFERROR(P1959,0)-IFERROR(Q1959,0))</f>
        <v/>
      </c>
      <c r="S1959" s="5" t="n"/>
      <c r="T1959" s="5" t="n"/>
      <c r="U1959" s="11">
        <f>IF(B1959="","",TRIM(LOWER(C1959)&amp;"|"&amp;LOWER(D1959)))</f>
        <v/>
      </c>
    </row>
    <row r="1960">
      <c r="A1960" s="11">
        <f>IF(B1960="","",TEXT(ROW()-3,"""DC-""0000"))</f>
        <v/>
      </c>
      <c r="B1960" s="5" t="n"/>
      <c r="C1960" s="5" t="n"/>
      <c r="D1960" s="5" t="n"/>
      <c r="E1960" s="5" t="n"/>
      <c r="F1960" s="5" t="n"/>
      <c r="G1960" s="5" t="n"/>
      <c r="H1960" s="8" t="n"/>
      <c r="I1960" s="8" t="n"/>
      <c r="J1960" s="8" t="n"/>
      <c r="K1960" s="11">
        <f>IF(B1960="","",MAX(0,IFERROR(I1960,0)*IFERROR(H1960,0)-IFERROR(J1960,0)))</f>
        <v/>
      </c>
      <c r="L1960" s="8" t="n"/>
      <c r="M1960" s="11">
        <f>IF(B1960="","",MAX(0,K1960-L1960))</f>
        <v/>
      </c>
      <c r="N1960" s="11">
        <f>IF(B1960="","",IF(L1960&gt;=K1960,"Paid",IF(L1960&gt;0,"Partial","Unpaid")))</f>
        <v/>
      </c>
      <c r="O1960" s="5" t="n"/>
      <c r="P1960" s="8" t="n"/>
      <c r="Q1960" s="8" t="n"/>
      <c r="R1960" s="11">
        <f>IF(B1960="","",IFERROR(K1960,0)+IFERROR(P1960,0)-IFERROR(Q1960,0))</f>
        <v/>
      </c>
      <c r="S1960" s="5" t="n"/>
      <c r="T1960" s="5" t="n"/>
      <c r="U1960" s="11">
        <f>IF(B1960="","",TRIM(LOWER(C1960)&amp;"|"&amp;LOWER(D1960)))</f>
        <v/>
      </c>
    </row>
    <row r="1961">
      <c r="A1961" s="11">
        <f>IF(B1961="","",TEXT(ROW()-3,"""DC-""0000"))</f>
        <v/>
      </c>
      <c r="B1961" s="5" t="n"/>
      <c r="C1961" s="5" t="n"/>
      <c r="D1961" s="5" t="n"/>
      <c r="E1961" s="5" t="n"/>
      <c r="F1961" s="5" t="n"/>
      <c r="G1961" s="5" t="n"/>
      <c r="H1961" s="8" t="n"/>
      <c r="I1961" s="8" t="n"/>
      <c r="J1961" s="8" t="n"/>
      <c r="K1961" s="11">
        <f>IF(B1961="","",MAX(0,IFERROR(I1961,0)*IFERROR(H1961,0)-IFERROR(J1961,0)))</f>
        <v/>
      </c>
      <c r="L1961" s="8" t="n"/>
      <c r="M1961" s="11">
        <f>IF(B1961="","",MAX(0,K1961-L1961))</f>
        <v/>
      </c>
      <c r="N1961" s="11">
        <f>IF(B1961="","",IF(L1961&gt;=K1961,"Paid",IF(L1961&gt;0,"Partial","Unpaid")))</f>
        <v/>
      </c>
      <c r="O1961" s="5" t="n"/>
      <c r="P1961" s="8" t="n"/>
      <c r="Q1961" s="8" t="n"/>
      <c r="R1961" s="11">
        <f>IF(B1961="","",IFERROR(K1961,0)+IFERROR(P1961,0)-IFERROR(Q1961,0))</f>
        <v/>
      </c>
      <c r="S1961" s="5" t="n"/>
      <c r="T1961" s="5" t="n"/>
      <c r="U1961" s="11">
        <f>IF(B1961="","",TRIM(LOWER(C1961)&amp;"|"&amp;LOWER(D1961)))</f>
        <v/>
      </c>
    </row>
    <row r="1962">
      <c r="A1962" s="11">
        <f>IF(B1962="","",TEXT(ROW()-3,"""DC-""0000"))</f>
        <v/>
      </c>
      <c r="B1962" s="5" t="n"/>
      <c r="C1962" s="5" t="n"/>
      <c r="D1962" s="5" t="n"/>
      <c r="E1962" s="5" t="n"/>
      <c r="F1962" s="5" t="n"/>
      <c r="G1962" s="5" t="n"/>
      <c r="H1962" s="8" t="n"/>
      <c r="I1962" s="8" t="n"/>
      <c r="J1962" s="8" t="n"/>
      <c r="K1962" s="11">
        <f>IF(B1962="","",MAX(0,IFERROR(I1962,0)*IFERROR(H1962,0)-IFERROR(J1962,0)))</f>
        <v/>
      </c>
      <c r="L1962" s="8" t="n"/>
      <c r="M1962" s="11">
        <f>IF(B1962="","",MAX(0,K1962-L1962))</f>
        <v/>
      </c>
      <c r="N1962" s="11">
        <f>IF(B1962="","",IF(L1962&gt;=K1962,"Paid",IF(L1962&gt;0,"Partial","Unpaid")))</f>
        <v/>
      </c>
      <c r="O1962" s="5" t="n"/>
      <c r="P1962" s="8" t="n"/>
      <c r="Q1962" s="8" t="n"/>
      <c r="R1962" s="11">
        <f>IF(B1962="","",IFERROR(K1962,0)+IFERROR(P1962,0)-IFERROR(Q1962,0))</f>
        <v/>
      </c>
      <c r="S1962" s="5" t="n"/>
      <c r="T1962" s="5" t="n"/>
      <c r="U1962" s="11">
        <f>IF(B1962="","",TRIM(LOWER(C1962)&amp;"|"&amp;LOWER(D1962)))</f>
        <v/>
      </c>
    </row>
    <row r="1963">
      <c r="A1963" s="11">
        <f>IF(B1963="","",TEXT(ROW()-3,"""DC-""0000"))</f>
        <v/>
      </c>
      <c r="B1963" s="5" t="n"/>
      <c r="C1963" s="5" t="n"/>
      <c r="D1963" s="5" t="n"/>
      <c r="E1963" s="5" t="n"/>
      <c r="F1963" s="5" t="n"/>
      <c r="G1963" s="5" t="n"/>
      <c r="H1963" s="8" t="n"/>
      <c r="I1963" s="8" t="n"/>
      <c r="J1963" s="8" t="n"/>
      <c r="K1963" s="11">
        <f>IF(B1963="","",MAX(0,IFERROR(I1963,0)*IFERROR(H1963,0)-IFERROR(J1963,0)))</f>
        <v/>
      </c>
      <c r="L1963" s="8" t="n"/>
      <c r="M1963" s="11">
        <f>IF(B1963="","",MAX(0,K1963-L1963))</f>
        <v/>
      </c>
      <c r="N1963" s="11">
        <f>IF(B1963="","",IF(L1963&gt;=K1963,"Paid",IF(L1963&gt;0,"Partial","Unpaid")))</f>
        <v/>
      </c>
      <c r="O1963" s="5" t="n"/>
      <c r="P1963" s="8" t="n"/>
      <c r="Q1963" s="8" t="n"/>
      <c r="R1963" s="11">
        <f>IF(B1963="","",IFERROR(K1963,0)+IFERROR(P1963,0)-IFERROR(Q1963,0))</f>
        <v/>
      </c>
      <c r="S1963" s="5" t="n"/>
      <c r="T1963" s="5" t="n"/>
      <c r="U1963" s="11">
        <f>IF(B1963="","",TRIM(LOWER(C1963)&amp;"|"&amp;LOWER(D1963)))</f>
        <v/>
      </c>
    </row>
    <row r="1964">
      <c r="A1964" s="11">
        <f>IF(B1964="","",TEXT(ROW()-3,"""DC-""0000"))</f>
        <v/>
      </c>
      <c r="B1964" s="5" t="n"/>
      <c r="C1964" s="5" t="n"/>
      <c r="D1964" s="5" t="n"/>
      <c r="E1964" s="5" t="n"/>
      <c r="F1964" s="5" t="n"/>
      <c r="G1964" s="5" t="n"/>
      <c r="H1964" s="8" t="n"/>
      <c r="I1964" s="8" t="n"/>
      <c r="J1964" s="8" t="n"/>
      <c r="K1964" s="11">
        <f>IF(B1964="","",MAX(0,IFERROR(I1964,0)*IFERROR(H1964,0)-IFERROR(J1964,0)))</f>
        <v/>
      </c>
      <c r="L1964" s="8" t="n"/>
      <c r="M1964" s="11">
        <f>IF(B1964="","",MAX(0,K1964-L1964))</f>
        <v/>
      </c>
      <c r="N1964" s="11">
        <f>IF(B1964="","",IF(L1964&gt;=K1964,"Paid",IF(L1964&gt;0,"Partial","Unpaid")))</f>
        <v/>
      </c>
      <c r="O1964" s="5" t="n"/>
      <c r="P1964" s="8" t="n"/>
      <c r="Q1964" s="8" t="n"/>
      <c r="R1964" s="11">
        <f>IF(B1964="","",IFERROR(K1964,0)+IFERROR(P1964,0)-IFERROR(Q1964,0))</f>
        <v/>
      </c>
      <c r="S1964" s="5" t="n"/>
      <c r="T1964" s="5" t="n"/>
      <c r="U1964" s="11">
        <f>IF(B1964="","",TRIM(LOWER(C1964)&amp;"|"&amp;LOWER(D1964)))</f>
        <v/>
      </c>
    </row>
    <row r="1965">
      <c r="A1965" s="11">
        <f>IF(B1965="","",TEXT(ROW()-3,"""DC-""0000"))</f>
        <v/>
      </c>
      <c r="B1965" s="5" t="n"/>
      <c r="C1965" s="5" t="n"/>
      <c r="D1965" s="5" t="n"/>
      <c r="E1965" s="5" t="n"/>
      <c r="F1965" s="5" t="n"/>
      <c r="G1965" s="5" t="n"/>
      <c r="H1965" s="8" t="n"/>
      <c r="I1965" s="8" t="n"/>
      <c r="J1965" s="8" t="n"/>
      <c r="K1965" s="11">
        <f>IF(B1965="","",MAX(0,IFERROR(I1965,0)*IFERROR(H1965,0)-IFERROR(J1965,0)))</f>
        <v/>
      </c>
      <c r="L1965" s="8" t="n"/>
      <c r="M1965" s="11">
        <f>IF(B1965="","",MAX(0,K1965-L1965))</f>
        <v/>
      </c>
      <c r="N1965" s="11">
        <f>IF(B1965="","",IF(L1965&gt;=K1965,"Paid",IF(L1965&gt;0,"Partial","Unpaid")))</f>
        <v/>
      </c>
      <c r="O1965" s="5" t="n"/>
      <c r="P1965" s="8" t="n"/>
      <c r="Q1965" s="8" t="n"/>
      <c r="R1965" s="11">
        <f>IF(B1965="","",IFERROR(K1965,0)+IFERROR(P1965,0)-IFERROR(Q1965,0))</f>
        <v/>
      </c>
      <c r="S1965" s="5" t="n"/>
      <c r="T1965" s="5" t="n"/>
      <c r="U1965" s="11">
        <f>IF(B1965="","",TRIM(LOWER(C1965)&amp;"|"&amp;LOWER(D1965)))</f>
        <v/>
      </c>
    </row>
    <row r="1966">
      <c r="A1966" s="11">
        <f>IF(B1966="","",TEXT(ROW()-3,"""DC-""0000"))</f>
        <v/>
      </c>
      <c r="B1966" s="5" t="n"/>
      <c r="C1966" s="5" t="n"/>
      <c r="D1966" s="5" t="n"/>
      <c r="E1966" s="5" t="n"/>
      <c r="F1966" s="5" t="n"/>
      <c r="G1966" s="5" t="n"/>
      <c r="H1966" s="8" t="n"/>
      <c r="I1966" s="8" t="n"/>
      <c r="J1966" s="8" t="n"/>
      <c r="K1966" s="11">
        <f>IF(B1966="","",MAX(0,IFERROR(I1966,0)*IFERROR(H1966,0)-IFERROR(J1966,0)))</f>
        <v/>
      </c>
      <c r="L1966" s="8" t="n"/>
      <c r="M1966" s="11">
        <f>IF(B1966="","",MAX(0,K1966-L1966))</f>
        <v/>
      </c>
      <c r="N1966" s="11">
        <f>IF(B1966="","",IF(L1966&gt;=K1966,"Paid",IF(L1966&gt;0,"Partial","Unpaid")))</f>
        <v/>
      </c>
      <c r="O1966" s="5" t="n"/>
      <c r="P1966" s="8" t="n"/>
      <c r="Q1966" s="8" t="n"/>
      <c r="R1966" s="11">
        <f>IF(B1966="","",IFERROR(K1966,0)+IFERROR(P1966,0)-IFERROR(Q1966,0))</f>
        <v/>
      </c>
      <c r="S1966" s="5" t="n"/>
      <c r="T1966" s="5" t="n"/>
      <c r="U1966" s="11">
        <f>IF(B1966="","",TRIM(LOWER(C1966)&amp;"|"&amp;LOWER(D1966)))</f>
        <v/>
      </c>
    </row>
    <row r="1967">
      <c r="A1967" s="11">
        <f>IF(B1967="","",TEXT(ROW()-3,"""DC-""0000"))</f>
        <v/>
      </c>
      <c r="B1967" s="5" t="n"/>
      <c r="C1967" s="5" t="n"/>
      <c r="D1967" s="5" t="n"/>
      <c r="E1967" s="5" t="n"/>
      <c r="F1967" s="5" t="n"/>
      <c r="G1967" s="5" t="n"/>
      <c r="H1967" s="8" t="n"/>
      <c r="I1967" s="8" t="n"/>
      <c r="J1967" s="8" t="n"/>
      <c r="K1967" s="11">
        <f>IF(B1967="","",MAX(0,IFERROR(I1967,0)*IFERROR(H1967,0)-IFERROR(J1967,0)))</f>
        <v/>
      </c>
      <c r="L1967" s="8" t="n"/>
      <c r="M1967" s="11">
        <f>IF(B1967="","",MAX(0,K1967-L1967))</f>
        <v/>
      </c>
      <c r="N1967" s="11">
        <f>IF(B1967="","",IF(L1967&gt;=K1967,"Paid",IF(L1967&gt;0,"Partial","Unpaid")))</f>
        <v/>
      </c>
      <c r="O1967" s="5" t="n"/>
      <c r="P1967" s="8" t="n"/>
      <c r="Q1967" s="8" t="n"/>
      <c r="R1967" s="11">
        <f>IF(B1967="","",IFERROR(K1967,0)+IFERROR(P1967,0)-IFERROR(Q1967,0))</f>
        <v/>
      </c>
      <c r="S1967" s="5" t="n"/>
      <c r="T1967" s="5" t="n"/>
      <c r="U1967" s="11">
        <f>IF(B1967="","",TRIM(LOWER(C1967)&amp;"|"&amp;LOWER(D1967)))</f>
        <v/>
      </c>
    </row>
    <row r="1968">
      <c r="A1968" s="11">
        <f>IF(B1968="","",TEXT(ROW()-3,"""DC-""0000"))</f>
        <v/>
      </c>
      <c r="B1968" s="5" t="n"/>
      <c r="C1968" s="5" t="n"/>
      <c r="D1968" s="5" t="n"/>
      <c r="E1968" s="5" t="n"/>
      <c r="F1968" s="5" t="n"/>
      <c r="G1968" s="5" t="n"/>
      <c r="H1968" s="8" t="n"/>
      <c r="I1968" s="8" t="n"/>
      <c r="J1968" s="8" t="n"/>
      <c r="K1968" s="11">
        <f>IF(B1968="","",MAX(0,IFERROR(I1968,0)*IFERROR(H1968,0)-IFERROR(J1968,0)))</f>
        <v/>
      </c>
      <c r="L1968" s="8" t="n"/>
      <c r="M1968" s="11">
        <f>IF(B1968="","",MAX(0,K1968-L1968))</f>
        <v/>
      </c>
      <c r="N1968" s="11">
        <f>IF(B1968="","",IF(L1968&gt;=K1968,"Paid",IF(L1968&gt;0,"Partial","Unpaid")))</f>
        <v/>
      </c>
      <c r="O1968" s="5" t="n"/>
      <c r="P1968" s="8" t="n"/>
      <c r="Q1968" s="8" t="n"/>
      <c r="R1968" s="11">
        <f>IF(B1968="","",IFERROR(K1968,0)+IFERROR(P1968,0)-IFERROR(Q1968,0))</f>
        <v/>
      </c>
      <c r="S1968" s="5" t="n"/>
      <c r="T1968" s="5" t="n"/>
      <c r="U1968" s="11">
        <f>IF(B1968="","",TRIM(LOWER(C1968)&amp;"|"&amp;LOWER(D1968)))</f>
        <v/>
      </c>
    </row>
    <row r="1969">
      <c r="A1969" s="11">
        <f>IF(B1969="","",TEXT(ROW()-3,"""DC-""0000"))</f>
        <v/>
      </c>
      <c r="B1969" s="5" t="n"/>
      <c r="C1969" s="5" t="n"/>
      <c r="D1969" s="5" t="n"/>
      <c r="E1969" s="5" t="n"/>
      <c r="F1969" s="5" t="n"/>
      <c r="G1969" s="5" t="n"/>
      <c r="H1969" s="8" t="n"/>
      <c r="I1969" s="8" t="n"/>
      <c r="J1969" s="8" t="n"/>
      <c r="K1969" s="11">
        <f>IF(B1969="","",MAX(0,IFERROR(I1969,0)*IFERROR(H1969,0)-IFERROR(J1969,0)))</f>
        <v/>
      </c>
      <c r="L1969" s="8" t="n"/>
      <c r="M1969" s="11">
        <f>IF(B1969="","",MAX(0,K1969-L1969))</f>
        <v/>
      </c>
      <c r="N1969" s="11">
        <f>IF(B1969="","",IF(L1969&gt;=K1969,"Paid",IF(L1969&gt;0,"Partial","Unpaid")))</f>
        <v/>
      </c>
      <c r="O1969" s="5" t="n"/>
      <c r="P1969" s="8" t="n"/>
      <c r="Q1969" s="8" t="n"/>
      <c r="R1969" s="11">
        <f>IF(B1969="","",IFERROR(K1969,0)+IFERROR(P1969,0)-IFERROR(Q1969,0))</f>
        <v/>
      </c>
      <c r="S1969" s="5" t="n"/>
      <c r="T1969" s="5" t="n"/>
      <c r="U1969" s="11">
        <f>IF(B1969="","",TRIM(LOWER(C1969)&amp;"|"&amp;LOWER(D1969)))</f>
        <v/>
      </c>
    </row>
    <row r="1970">
      <c r="A1970" s="11">
        <f>IF(B1970="","",TEXT(ROW()-3,"""DC-""0000"))</f>
        <v/>
      </c>
      <c r="B1970" s="5" t="n"/>
      <c r="C1970" s="5" t="n"/>
      <c r="D1970" s="5" t="n"/>
      <c r="E1970" s="5" t="n"/>
      <c r="F1970" s="5" t="n"/>
      <c r="G1970" s="5" t="n"/>
      <c r="H1970" s="8" t="n"/>
      <c r="I1970" s="8" t="n"/>
      <c r="J1970" s="8" t="n"/>
      <c r="K1970" s="11">
        <f>IF(B1970="","",MAX(0,IFERROR(I1970,0)*IFERROR(H1970,0)-IFERROR(J1970,0)))</f>
        <v/>
      </c>
      <c r="L1970" s="8" t="n"/>
      <c r="M1970" s="11">
        <f>IF(B1970="","",MAX(0,K1970-L1970))</f>
        <v/>
      </c>
      <c r="N1970" s="11">
        <f>IF(B1970="","",IF(L1970&gt;=K1970,"Paid",IF(L1970&gt;0,"Partial","Unpaid")))</f>
        <v/>
      </c>
      <c r="O1970" s="5" t="n"/>
      <c r="P1970" s="8" t="n"/>
      <c r="Q1970" s="8" t="n"/>
      <c r="R1970" s="11">
        <f>IF(B1970="","",IFERROR(K1970,0)+IFERROR(P1970,0)-IFERROR(Q1970,0))</f>
        <v/>
      </c>
      <c r="S1970" s="5" t="n"/>
      <c r="T1970" s="5" t="n"/>
      <c r="U1970" s="11">
        <f>IF(B1970="","",TRIM(LOWER(C1970)&amp;"|"&amp;LOWER(D1970)))</f>
        <v/>
      </c>
    </row>
    <row r="1971">
      <c r="A1971" s="11">
        <f>IF(B1971="","",TEXT(ROW()-3,"""DC-""0000"))</f>
        <v/>
      </c>
      <c r="B1971" s="5" t="n"/>
      <c r="C1971" s="5" t="n"/>
      <c r="D1971" s="5" t="n"/>
      <c r="E1971" s="5" t="n"/>
      <c r="F1971" s="5" t="n"/>
      <c r="G1971" s="5" t="n"/>
      <c r="H1971" s="8" t="n"/>
      <c r="I1971" s="8" t="n"/>
      <c r="J1971" s="8" t="n"/>
      <c r="K1971" s="11">
        <f>IF(B1971="","",MAX(0,IFERROR(I1971,0)*IFERROR(H1971,0)-IFERROR(J1971,0)))</f>
        <v/>
      </c>
      <c r="L1971" s="8" t="n"/>
      <c r="M1971" s="11">
        <f>IF(B1971="","",MAX(0,K1971-L1971))</f>
        <v/>
      </c>
      <c r="N1971" s="11">
        <f>IF(B1971="","",IF(L1971&gt;=K1971,"Paid",IF(L1971&gt;0,"Partial","Unpaid")))</f>
        <v/>
      </c>
      <c r="O1971" s="5" t="n"/>
      <c r="P1971" s="8" t="n"/>
      <c r="Q1971" s="8" t="n"/>
      <c r="R1971" s="11">
        <f>IF(B1971="","",IFERROR(K1971,0)+IFERROR(P1971,0)-IFERROR(Q1971,0))</f>
        <v/>
      </c>
      <c r="S1971" s="5" t="n"/>
      <c r="T1971" s="5" t="n"/>
      <c r="U1971" s="11">
        <f>IF(B1971="","",TRIM(LOWER(C1971)&amp;"|"&amp;LOWER(D1971)))</f>
        <v/>
      </c>
    </row>
    <row r="1972">
      <c r="A1972" s="11">
        <f>IF(B1972="","",TEXT(ROW()-3,"""DC-""0000"))</f>
        <v/>
      </c>
      <c r="B1972" s="5" t="n"/>
      <c r="C1972" s="5" t="n"/>
      <c r="D1972" s="5" t="n"/>
      <c r="E1972" s="5" t="n"/>
      <c r="F1972" s="5" t="n"/>
      <c r="G1972" s="5" t="n"/>
      <c r="H1972" s="8" t="n"/>
      <c r="I1972" s="8" t="n"/>
      <c r="J1972" s="8" t="n"/>
      <c r="K1972" s="11">
        <f>IF(B1972="","",MAX(0,IFERROR(I1972,0)*IFERROR(H1972,0)-IFERROR(J1972,0)))</f>
        <v/>
      </c>
      <c r="L1972" s="8" t="n"/>
      <c r="M1972" s="11">
        <f>IF(B1972="","",MAX(0,K1972-L1972))</f>
        <v/>
      </c>
      <c r="N1972" s="11">
        <f>IF(B1972="","",IF(L1972&gt;=K1972,"Paid",IF(L1972&gt;0,"Partial","Unpaid")))</f>
        <v/>
      </c>
      <c r="O1972" s="5" t="n"/>
      <c r="P1972" s="8" t="n"/>
      <c r="Q1972" s="8" t="n"/>
      <c r="R1972" s="11">
        <f>IF(B1972="","",IFERROR(K1972,0)+IFERROR(P1972,0)-IFERROR(Q1972,0))</f>
        <v/>
      </c>
      <c r="S1972" s="5" t="n"/>
      <c r="T1972" s="5" t="n"/>
      <c r="U1972" s="11">
        <f>IF(B1972="","",TRIM(LOWER(C1972)&amp;"|"&amp;LOWER(D1972)))</f>
        <v/>
      </c>
    </row>
    <row r="1973">
      <c r="A1973" s="11">
        <f>IF(B1973="","",TEXT(ROW()-3,"""DC-""0000"))</f>
        <v/>
      </c>
      <c r="B1973" s="5" t="n"/>
      <c r="C1973" s="5" t="n"/>
      <c r="D1973" s="5" t="n"/>
      <c r="E1973" s="5" t="n"/>
      <c r="F1973" s="5" t="n"/>
      <c r="G1973" s="5" t="n"/>
      <c r="H1973" s="8" t="n"/>
      <c r="I1973" s="8" t="n"/>
      <c r="J1973" s="8" t="n"/>
      <c r="K1973" s="11">
        <f>IF(B1973="","",MAX(0,IFERROR(I1973,0)*IFERROR(H1973,0)-IFERROR(J1973,0)))</f>
        <v/>
      </c>
      <c r="L1973" s="8" t="n"/>
      <c r="M1973" s="11">
        <f>IF(B1973="","",MAX(0,K1973-L1973))</f>
        <v/>
      </c>
      <c r="N1973" s="11">
        <f>IF(B1973="","",IF(L1973&gt;=K1973,"Paid",IF(L1973&gt;0,"Partial","Unpaid")))</f>
        <v/>
      </c>
      <c r="O1973" s="5" t="n"/>
      <c r="P1973" s="8" t="n"/>
      <c r="Q1973" s="8" t="n"/>
      <c r="R1973" s="11">
        <f>IF(B1973="","",IFERROR(K1973,0)+IFERROR(P1973,0)-IFERROR(Q1973,0))</f>
        <v/>
      </c>
      <c r="S1973" s="5" t="n"/>
      <c r="T1973" s="5" t="n"/>
      <c r="U1973" s="11">
        <f>IF(B1973="","",TRIM(LOWER(C1973)&amp;"|"&amp;LOWER(D1973)))</f>
        <v/>
      </c>
    </row>
    <row r="1974">
      <c r="A1974" s="11">
        <f>IF(B1974="","",TEXT(ROW()-3,"""DC-""0000"))</f>
        <v/>
      </c>
      <c r="B1974" s="5" t="n"/>
      <c r="C1974" s="5" t="n"/>
      <c r="D1974" s="5" t="n"/>
      <c r="E1974" s="5" t="n"/>
      <c r="F1974" s="5" t="n"/>
      <c r="G1974" s="5" t="n"/>
      <c r="H1974" s="8" t="n"/>
      <c r="I1974" s="8" t="n"/>
      <c r="J1974" s="8" t="n"/>
      <c r="K1974" s="11">
        <f>IF(B1974="","",MAX(0,IFERROR(I1974,0)*IFERROR(H1974,0)-IFERROR(J1974,0)))</f>
        <v/>
      </c>
      <c r="L1974" s="8" t="n"/>
      <c r="M1974" s="11">
        <f>IF(B1974="","",MAX(0,K1974-L1974))</f>
        <v/>
      </c>
      <c r="N1974" s="11">
        <f>IF(B1974="","",IF(L1974&gt;=K1974,"Paid",IF(L1974&gt;0,"Partial","Unpaid")))</f>
        <v/>
      </c>
      <c r="O1974" s="5" t="n"/>
      <c r="P1974" s="8" t="n"/>
      <c r="Q1974" s="8" t="n"/>
      <c r="R1974" s="11">
        <f>IF(B1974="","",IFERROR(K1974,0)+IFERROR(P1974,0)-IFERROR(Q1974,0))</f>
        <v/>
      </c>
      <c r="S1974" s="5" t="n"/>
      <c r="T1974" s="5" t="n"/>
      <c r="U1974" s="11">
        <f>IF(B1974="","",TRIM(LOWER(C1974)&amp;"|"&amp;LOWER(D1974)))</f>
        <v/>
      </c>
    </row>
    <row r="1975">
      <c r="A1975" s="11">
        <f>IF(B1975="","",TEXT(ROW()-3,"""DC-""0000"))</f>
        <v/>
      </c>
      <c r="B1975" s="5" t="n"/>
      <c r="C1975" s="5" t="n"/>
      <c r="D1975" s="5" t="n"/>
      <c r="E1975" s="5" t="n"/>
      <c r="F1975" s="5" t="n"/>
      <c r="G1975" s="5" t="n"/>
      <c r="H1975" s="8" t="n"/>
      <c r="I1975" s="8" t="n"/>
      <c r="J1975" s="8" t="n"/>
      <c r="K1975" s="11">
        <f>IF(B1975="","",MAX(0,IFERROR(I1975,0)*IFERROR(H1975,0)-IFERROR(J1975,0)))</f>
        <v/>
      </c>
      <c r="L1975" s="8" t="n"/>
      <c r="M1975" s="11">
        <f>IF(B1975="","",MAX(0,K1975-L1975))</f>
        <v/>
      </c>
      <c r="N1975" s="11">
        <f>IF(B1975="","",IF(L1975&gt;=K1975,"Paid",IF(L1975&gt;0,"Partial","Unpaid")))</f>
        <v/>
      </c>
      <c r="O1975" s="5" t="n"/>
      <c r="P1975" s="8" t="n"/>
      <c r="Q1975" s="8" t="n"/>
      <c r="R1975" s="11">
        <f>IF(B1975="","",IFERROR(K1975,0)+IFERROR(P1975,0)-IFERROR(Q1975,0))</f>
        <v/>
      </c>
      <c r="S1975" s="5" t="n"/>
      <c r="T1975" s="5" t="n"/>
      <c r="U1975" s="11">
        <f>IF(B1975="","",TRIM(LOWER(C1975)&amp;"|"&amp;LOWER(D1975)))</f>
        <v/>
      </c>
    </row>
    <row r="1976">
      <c r="A1976" s="11">
        <f>IF(B1976="","",TEXT(ROW()-3,"""DC-""0000"))</f>
        <v/>
      </c>
      <c r="B1976" s="5" t="n"/>
      <c r="C1976" s="5" t="n"/>
      <c r="D1976" s="5" t="n"/>
      <c r="E1976" s="5" t="n"/>
      <c r="F1976" s="5" t="n"/>
      <c r="G1976" s="5" t="n"/>
      <c r="H1976" s="8" t="n"/>
      <c r="I1976" s="8" t="n"/>
      <c r="J1976" s="8" t="n"/>
      <c r="K1976" s="11">
        <f>IF(B1976="","",MAX(0,IFERROR(I1976,0)*IFERROR(H1976,0)-IFERROR(J1976,0)))</f>
        <v/>
      </c>
      <c r="L1976" s="8" t="n"/>
      <c r="M1976" s="11">
        <f>IF(B1976="","",MAX(0,K1976-L1976))</f>
        <v/>
      </c>
      <c r="N1976" s="11">
        <f>IF(B1976="","",IF(L1976&gt;=K1976,"Paid",IF(L1976&gt;0,"Partial","Unpaid")))</f>
        <v/>
      </c>
      <c r="O1976" s="5" t="n"/>
      <c r="P1976" s="8" t="n"/>
      <c r="Q1976" s="8" t="n"/>
      <c r="R1976" s="11">
        <f>IF(B1976="","",IFERROR(K1976,0)+IFERROR(P1976,0)-IFERROR(Q1976,0))</f>
        <v/>
      </c>
      <c r="S1976" s="5" t="n"/>
      <c r="T1976" s="5" t="n"/>
      <c r="U1976" s="11">
        <f>IF(B1976="","",TRIM(LOWER(C1976)&amp;"|"&amp;LOWER(D1976)))</f>
        <v/>
      </c>
    </row>
    <row r="1977">
      <c r="A1977" s="11">
        <f>IF(B1977="","",TEXT(ROW()-3,"""DC-""0000"))</f>
        <v/>
      </c>
      <c r="B1977" s="5" t="n"/>
      <c r="C1977" s="5" t="n"/>
      <c r="D1977" s="5" t="n"/>
      <c r="E1977" s="5" t="n"/>
      <c r="F1977" s="5" t="n"/>
      <c r="G1977" s="5" t="n"/>
      <c r="H1977" s="8" t="n"/>
      <c r="I1977" s="8" t="n"/>
      <c r="J1977" s="8" t="n"/>
      <c r="K1977" s="11">
        <f>IF(B1977="","",MAX(0,IFERROR(I1977,0)*IFERROR(H1977,0)-IFERROR(J1977,0)))</f>
        <v/>
      </c>
      <c r="L1977" s="8" t="n"/>
      <c r="M1977" s="11">
        <f>IF(B1977="","",MAX(0,K1977-L1977))</f>
        <v/>
      </c>
      <c r="N1977" s="11">
        <f>IF(B1977="","",IF(L1977&gt;=K1977,"Paid",IF(L1977&gt;0,"Partial","Unpaid")))</f>
        <v/>
      </c>
      <c r="O1977" s="5" t="n"/>
      <c r="P1977" s="8" t="n"/>
      <c r="Q1977" s="8" t="n"/>
      <c r="R1977" s="11">
        <f>IF(B1977="","",IFERROR(K1977,0)+IFERROR(P1977,0)-IFERROR(Q1977,0))</f>
        <v/>
      </c>
      <c r="S1977" s="5" t="n"/>
      <c r="T1977" s="5" t="n"/>
      <c r="U1977" s="11">
        <f>IF(B1977="","",TRIM(LOWER(C1977)&amp;"|"&amp;LOWER(D1977)))</f>
        <v/>
      </c>
    </row>
    <row r="1978">
      <c r="A1978" s="11">
        <f>IF(B1978="","",TEXT(ROW()-3,"""DC-""0000"))</f>
        <v/>
      </c>
      <c r="B1978" s="5" t="n"/>
      <c r="C1978" s="5" t="n"/>
      <c r="D1978" s="5" t="n"/>
      <c r="E1978" s="5" t="n"/>
      <c r="F1978" s="5" t="n"/>
      <c r="G1978" s="5" t="n"/>
      <c r="H1978" s="8" t="n"/>
      <c r="I1978" s="8" t="n"/>
      <c r="J1978" s="8" t="n"/>
      <c r="K1978" s="11">
        <f>IF(B1978="","",MAX(0,IFERROR(I1978,0)*IFERROR(H1978,0)-IFERROR(J1978,0)))</f>
        <v/>
      </c>
      <c r="L1978" s="8" t="n"/>
      <c r="M1978" s="11">
        <f>IF(B1978="","",MAX(0,K1978-L1978))</f>
        <v/>
      </c>
      <c r="N1978" s="11">
        <f>IF(B1978="","",IF(L1978&gt;=K1978,"Paid",IF(L1978&gt;0,"Partial","Unpaid")))</f>
        <v/>
      </c>
      <c r="O1978" s="5" t="n"/>
      <c r="P1978" s="8" t="n"/>
      <c r="Q1978" s="8" t="n"/>
      <c r="R1978" s="11">
        <f>IF(B1978="","",IFERROR(K1978,0)+IFERROR(P1978,0)-IFERROR(Q1978,0))</f>
        <v/>
      </c>
      <c r="S1978" s="5" t="n"/>
      <c r="T1978" s="5" t="n"/>
      <c r="U1978" s="11">
        <f>IF(B1978="","",TRIM(LOWER(C1978)&amp;"|"&amp;LOWER(D1978)))</f>
        <v/>
      </c>
    </row>
    <row r="1979">
      <c r="A1979" s="11">
        <f>IF(B1979="","",TEXT(ROW()-3,"""DC-""0000"))</f>
        <v/>
      </c>
      <c r="B1979" s="5" t="n"/>
      <c r="C1979" s="5" t="n"/>
      <c r="D1979" s="5" t="n"/>
      <c r="E1979" s="5" t="n"/>
      <c r="F1979" s="5" t="n"/>
      <c r="G1979" s="5" t="n"/>
      <c r="H1979" s="8" t="n"/>
      <c r="I1979" s="8" t="n"/>
      <c r="J1979" s="8" t="n"/>
      <c r="K1979" s="11">
        <f>IF(B1979="","",MAX(0,IFERROR(I1979,0)*IFERROR(H1979,0)-IFERROR(J1979,0)))</f>
        <v/>
      </c>
      <c r="L1979" s="8" t="n"/>
      <c r="M1979" s="11">
        <f>IF(B1979="","",MAX(0,K1979-L1979))</f>
        <v/>
      </c>
      <c r="N1979" s="11">
        <f>IF(B1979="","",IF(L1979&gt;=K1979,"Paid",IF(L1979&gt;0,"Partial","Unpaid")))</f>
        <v/>
      </c>
      <c r="O1979" s="5" t="n"/>
      <c r="P1979" s="8" t="n"/>
      <c r="Q1979" s="8" t="n"/>
      <c r="R1979" s="11">
        <f>IF(B1979="","",IFERROR(K1979,0)+IFERROR(P1979,0)-IFERROR(Q1979,0))</f>
        <v/>
      </c>
      <c r="S1979" s="5" t="n"/>
      <c r="T1979" s="5" t="n"/>
      <c r="U1979" s="11">
        <f>IF(B1979="","",TRIM(LOWER(C1979)&amp;"|"&amp;LOWER(D1979)))</f>
        <v/>
      </c>
    </row>
    <row r="1980">
      <c r="A1980" s="11">
        <f>IF(B1980="","",TEXT(ROW()-3,"""DC-""0000"))</f>
        <v/>
      </c>
      <c r="B1980" s="5" t="n"/>
      <c r="C1980" s="5" t="n"/>
      <c r="D1980" s="5" t="n"/>
      <c r="E1980" s="5" t="n"/>
      <c r="F1980" s="5" t="n"/>
      <c r="G1980" s="5" t="n"/>
      <c r="H1980" s="8" t="n"/>
      <c r="I1980" s="8" t="n"/>
      <c r="J1980" s="8" t="n"/>
      <c r="K1980" s="11">
        <f>IF(B1980="","",MAX(0,IFERROR(I1980,0)*IFERROR(H1980,0)-IFERROR(J1980,0)))</f>
        <v/>
      </c>
      <c r="L1980" s="8" t="n"/>
      <c r="M1980" s="11">
        <f>IF(B1980="","",MAX(0,K1980-L1980))</f>
        <v/>
      </c>
      <c r="N1980" s="11">
        <f>IF(B1980="","",IF(L1980&gt;=K1980,"Paid",IF(L1980&gt;0,"Partial","Unpaid")))</f>
        <v/>
      </c>
      <c r="O1980" s="5" t="n"/>
      <c r="P1980" s="8" t="n"/>
      <c r="Q1980" s="8" t="n"/>
      <c r="R1980" s="11">
        <f>IF(B1980="","",IFERROR(K1980,0)+IFERROR(P1980,0)-IFERROR(Q1980,0))</f>
        <v/>
      </c>
      <c r="S1980" s="5" t="n"/>
      <c r="T1980" s="5" t="n"/>
      <c r="U1980" s="11">
        <f>IF(B1980="","",TRIM(LOWER(C1980)&amp;"|"&amp;LOWER(D1980)))</f>
        <v/>
      </c>
    </row>
    <row r="1981">
      <c r="A1981" s="11">
        <f>IF(B1981="","",TEXT(ROW()-3,"""DC-""0000"))</f>
        <v/>
      </c>
      <c r="B1981" s="5" t="n"/>
      <c r="C1981" s="5" t="n"/>
      <c r="D1981" s="5" t="n"/>
      <c r="E1981" s="5" t="n"/>
      <c r="F1981" s="5" t="n"/>
      <c r="G1981" s="5" t="n"/>
      <c r="H1981" s="8" t="n"/>
      <c r="I1981" s="8" t="n"/>
      <c r="J1981" s="8" t="n"/>
      <c r="K1981" s="11">
        <f>IF(B1981="","",MAX(0,IFERROR(I1981,0)*IFERROR(H1981,0)-IFERROR(J1981,0)))</f>
        <v/>
      </c>
      <c r="L1981" s="8" t="n"/>
      <c r="M1981" s="11">
        <f>IF(B1981="","",MAX(0,K1981-L1981))</f>
        <v/>
      </c>
      <c r="N1981" s="11">
        <f>IF(B1981="","",IF(L1981&gt;=K1981,"Paid",IF(L1981&gt;0,"Partial","Unpaid")))</f>
        <v/>
      </c>
      <c r="O1981" s="5" t="n"/>
      <c r="P1981" s="8" t="n"/>
      <c r="Q1981" s="8" t="n"/>
      <c r="R1981" s="11">
        <f>IF(B1981="","",IFERROR(K1981,0)+IFERROR(P1981,0)-IFERROR(Q1981,0))</f>
        <v/>
      </c>
      <c r="S1981" s="5" t="n"/>
      <c r="T1981" s="5" t="n"/>
      <c r="U1981" s="11">
        <f>IF(B1981="","",TRIM(LOWER(C1981)&amp;"|"&amp;LOWER(D1981)))</f>
        <v/>
      </c>
    </row>
    <row r="1982">
      <c r="A1982" s="11">
        <f>IF(B1982="","",TEXT(ROW()-3,"""DC-""0000"))</f>
        <v/>
      </c>
      <c r="B1982" s="5" t="n"/>
      <c r="C1982" s="5" t="n"/>
      <c r="D1982" s="5" t="n"/>
      <c r="E1982" s="5" t="n"/>
      <c r="F1982" s="5" t="n"/>
      <c r="G1982" s="5" t="n"/>
      <c r="H1982" s="8" t="n"/>
      <c r="I1982" s="8" t="n"/>
      <c r="J1982" s="8" t="n"/>
      <c r="K1982" s="11">
        <f>IF(B1982="","",MAX(0,IFERROR(I1982,0)*IFERROR(H1982,0)-IFERROR(J1982,0)))</f>
        <v/>
      </c>
      <c r="L1982" s="8" t="n"/>
      <c r="M1982" s="11">
        <f>IF(B1982="","",MAX(0,K1982-L1982))</f>
        <v/>
      </c>
      <c r="N1982" s="11">
        <f>IF(B1982="","",IF(L1982&gt;=K1982,"Paid",IF(L1982&gt;0,"Partial","Unpaid")))</f>
        <v/>
      </c>
      <c r="O1982" s="5" t="n"/>
      <c r="P1982" s="8" t="n"/>
      <c r="Q1982" s="8" t="n"/>
      <c r="R1982" s="11">
        <f>IF(B1982="","",IFERROR(K1982,0)+IFERROR(P1982,0)-IFERROR(Q1982,0))</f>
        <v/>
      </c>
      <c r="S1982" s="5" t="n"/>
      <c r="T1982" s="5" t="n"/>
      <c r="U1982" s="11">
        <f>IF(B1982="","",TRIM(LOWER(C1982)&amp;"|"&amp;LOWER(D1982)))</f>
        <v/>
      </c>
    </row>
    <row r="1983">
      <c r="A1983" s="11">
        <f>IF(B1983="","",TEXT(ROW()-3,"""DC-""0000"))</f>
        <v/>
      </c>
      <c r="B1983" s="5" t="n"/>
      <c r="C1983" s="5" t="n"/>
      <c r="D1983" s="5" t="n"/>
      <c r="E1983" s="5" t="n"/>
      <c r="F1983" s="5" t="n"/>
      <c r="G1983" s="5" t="n"/>
      <c r="H1983" s="8" t="n"/>
      <c r="I1983" s="8" t="n"/>
      <c r="J1983" s="8" t="n"/>
      <c r="K1983" s="11">
        <f>IF(B1983="","",MAX(0,IFERROR(I1983,0)*IFERROR(H1983,0)-IFERROR(J1983,0)))</f>
        <v/>
      </c>
      <c r="L1983" s="8" t="n"/>
      <c r="M1983" s="11">
        <f>IF(B1983="","",MAX(0,K1983-L1983))</f>
        <v/>
      </c>
      <c r="N1983" s="11">
        <f>IF(B1983="","",IF(L1983&gt;=K1983,"Paid",IF(L1983&gt;0,"Partial","Unpaid")))</f>
        <v/>
      </c>
      <c r="O1983" s="5" t="n"/>
      <c r="P1983" s="8" t="n"/>
      <c r="Q1983" s="8" t="n"/>
      <c r="R1983" s="11">
        <f>IF(B1983="","",IFERROR(K1983,0)+IFERROR(P1983,0)-IFERROR(Q1983,0))</f>
        <v/>
      </c>
      <c r="S1983" s="5" t="n"/>
      <c r="T1983" s="5" t="n"/>
      <c r="U1983" s="11">
        <f>IF(B1983="","",TRIM(LOWER(C1983)&amp;"|"&amp;LOWER(D1983)))</f>
        <v/>
      </c>
    </row>
    <row r="1984">
      <c r="A1984" s="11">
        <f>IF(B1984="","",TEXT(ROW()-3,"""DC-""0000"))</f>
        <v/>
      </c>
      <c r="B1984" s="5" t="n"/>
      <c r="C1984" s="5" t="n"/>
      <c r="D1984" s="5" t="n"/>
      <c r="E1984" s="5" t="n"/>
      <c r="F1984" s="5" t="n"/>
      <c r="G1984" s="5" t="n"/>
      <c r="H1984" s="8" t="n"/>
      <c r="I1984" s="8" t="n"/>
      <c r="J1984" s="8" t="n"/>
      <c r="K1984" s="11">
        <f>IF(B1984="","",MAX(0,IFERROR(I1984,0)*IFERROR(H1984,0)-IFERROR(J1984,0)))</f>
        <v/>
      </c>
      <c r="L1984" s="8" t="n"/>
      <c r="M1984" s="11">
        <f>IF(B1984="","",MAX(0,K1984-L1984))</f>
        <v/>
      </c>
      <c r="N1984" s="11">
        <f>IF(B1984="","",IF(L1984&gt;=K1984,"Paid",IF(L1984&gt;0,"Partial","Unpaid")))</f>
        <v/>
      </c>
      <c r="O1984" s="5" t="n"/>
      <c r="P1984" s="8" t="n"/>
      <c r="Q1984" s="8" t="n"/>
      <c r="R1984" s="11">
        <f>IF(B1984="","",IFERROR(K1984,0)+IFERROR(P1984,0)-IFERROR(Q1984,0))</f>
        <v/>
      </c>
      <c r="S1984" s="5" t="n"/>
      <c r="T1984" s="5" t="n"/>
      <c r="U1984" s="11">
        <f>IF(B1984="","",TRIM(LOWER(C1984)&amp;"|"&amp;LOWER(D1984)))</f>
        <v/>
      </c>
    </row>
    <row r="1985">
      <c r="A1985" s="11">
        <f>IF(B1985="","",TEXT(ROW()-3,"""DC-""0000"))</f>
        <v/>
      </c>
      <c r="B1985" s="5" t="n"/>
      <c r="C1985" s="5" t="n"/>
      <c r="D1985" s="5" t="n"/>
      <c r="E1985" s="5" t="n"/>
      <c r="F1985" s="5" t="n"/>
      <c r="G1985" s="5" t="n"/>
      <c r="H1985" s="8" t="n"/>
      <c r="I1985" s="8" t="n"/>
      <c r="J1985" s="8" t="n"/>
      <c r="K1985" s="11">
        <f>IF(B1985="","",MAX(0,IFERROR(I1985,0)*IFERROR(H1985,0)-IFERROR(J1985,0)))</f>
        <v/>
      </c>
      <c r="L1985" s="8" t="n"/>
      <c r="M1985" s="11">
        <f>IF(B1985="","",MAX(0,K1985-L1985))</f>
        <v/>
      </c>
      <c r="N1985" s="11">
        <f>IF(B1985="","",IF(L1985&gt;=K1985,"Paid",IF(L1985&gt;0,"Partial","Unpaid")))</f>
        <v/>
      </c>
      <c r="O1985" s="5" t="n"/>
      <c r="P1985" s="8" t="n"/>
      <c r="Q1985" s="8" t="n"/>
      <c r="R1985" s="11">
        <f>IF(B1985="","",IFERROR(K1985,0)+IFERROR(P1985,0)-IFERROR(Q1985,0))</f>
        <v/>
      </c>
      <c r="S1985" s="5" t="n"/>
      <c r="T1985" s="5" t="n"/>
      <c r="U1985" s="11">
        <f>IF(B1985="","",TRIM(LOWER(C1985)&amp;"|"&amp;LOWER(D1985)))</f>
        <v/>
      </c>
    </row>
    <row r="1986">
      <c r="A1986" s="11">
        <f>IF(B1986="","",TEXT(ROW()-3,"""DC-""0000"))</f>
        <v/>
      </c>
      <c r="B1986" s="5" t="n"/>
      <c r="C1986" s="5" t="n"/>
      <c r="D1986" s="5" t="n"/>
      <c r="E1986" s="5" t="n"/>
      <c r="F1986" s="5" t="n"/>
      <c r="G1986" s="5" t="n"/>
      <c r="H1986" s="8" t="n"/>
      <c r="I1986" s="8" t="n"/>
      <c r="J1986" s="8" t="n"/>
      <c r="K1986" s="11">
        <f>IF(B1986="","",MAX(0,IFERROR(I1986,0)*IFERROR(H1986,0)-IFERROR(J1986,0)))</f>
        <v/>
      </c>
      <c r="L1986" s="8" t="n"/>
      <c r="M1986" s="11">
        <f>IF(B1986="","",MAX(0,K1986-L1986))</f>
        <v/>
      </c>
      <c r="N1986" s="11">
        <f>IF(B1986="","",IF(L1986&gt;=K1986,"Paid",IF(L1986&gt;0,"Partial","Unpaid")))</f>
        <v/>
      </c>
      <c r="O1986" s="5" t="n"/>
      <c r="P1986" s="8" t="n"/>
      <c r="Q1986" s="8" t="n"/>
      <c r="R1986" s="11">
        <f>IF(B1986="","",IFERROR(K1986,0)+IFERROR(P1986,0)-IFERROR(Q1986,0))</f>
        <v/>
      </c>
      <c r="S1986" s="5" t="n"/>
      <c r="T1986" s="5" t="n"/>
      <c r="U1986" s="11">
        <f>IF(B1986="","",TRIM(LOWER(C1986)&amp;"|"&amp;LOWER(D1986)))</f>
        <v/>
      </c>
    </row>
    <row r="1987">
      <c r="A1987" s="11">
        <f>IF(B1987="","",TEXT(ROW()-3,"""DC-""0000"))</f>
        <v/>
      </c>
      <c r="B1987" s="5" t="n"/>
      <c r="C1987" s="5" t="n"/>
      <c r="D1987" s="5" t="n"/>
      <c r="E1987" s="5" t="n"/>
      <c r="F1987" s="5" t="n"/>
      <c r="G1987" s="5" t="n"/>
      <c r="H1987" s="8" t="n"/>
      <c r="I1987" s="8" t="n"/>
      <c r="J1987" s="8" t="n"/>
      <c r="K1987" s="11">
        <f>IF(B1987="","",MAX(0,IFERROR(I1987,0)*IFERROR(H1987,0)-IFERROR(J1987,0)))</f>
        <v/>
      </c>
      <c r="L1987" s="8" t="n"/>
      <c r="M1987" s="11">
        <f>IF(B1987="","",MAX(0,K1987-L1987))</f>
        <v/>
      </c>
      <c r="N1987" s="11">
        <f>IF(B1987="","",IF(L1987&gt;=K1987,"Paid",IF(L1987&gt;0,"Partial","Unpaid")))</f>
        <v/>
      </c>
      <c r="O1987" s="5" t="n"/>
      <c r="P1987" s="8" t="n"/>
      <c r="Q1987" s="8" t="n"/>
      <c r="R1987" s="11">
        <f>IF(B1987="","",IFERROR(K1987,0)+IFERROR(P1987,0)-IFERROR(Q1987,0))</f>
        <v/>
      </c>
      <c r="S1987" s="5" t="n"/>
      <c r="T1987" s="5" t="n"/>
      <c r="U1987" s="11">
        <f>IF(B1987="","",TRIM(LOWER(C1987)&amp;"|"&amp;LOWER(D1987)))</f>
        <v/>
      </c>
    </row>
    <row r="1988">
      <c r="A1988" s="11">
        <f>IF(B1988="","",TEXT(ROW()-3,"""DC-""0000"))</f>
        <v/>
      </c>
      <c r="B1988" s="5" t="n"/>
      <c r="C1988" s="5" t="n"/>
      <c r="D1988" s="5" t="n"/>
      <c r="E1988" s="5" t="n"/>
      <c r="F1988" s="5" t="n"/>
      <c r="G1988" s="5" t="n"/>
      <c r="H1988" s="8" t="n"/>
      <c r="I1988" s="8" t="n"/>
      <c r="J1988" s="8" t="n"/>
      <c r="K1988" s="11">
        <f>IF(B1988="","",MAX(0,IFERROR(I1988,0)*IFERROR(H1988,0)-IFERROR(J1988,0)))</f>
        <v/>
      </c>
      <c r="L1988" s="8" t="n"/>
      <c r="M1988" s="11">
        <f>IF(B1988="","",MAX(0,K1988-L1988))</f>
        <v/>
      </c>
      <c r="N1988" s="11">
        <f>IF(B1988="","",IF(L1988&gt;=K1988,"Paid",IF(L1988&gt;0,"Partial","Unpaid")))</f>
        <v/>
      </c>
      <c r="O1988" s="5" t="n"/>
      <c r="P1988" s="8" t="n"/>
      <c r="Q1988" s="8" t="n"/>
      <c r="R1988" s="11">
        <f>IF(B1988="","",IFERROR(K1988,0)+IFERROR(P1988,0)-IFERROR(Q1988,0))</f>
        <v/>
      </c>
      <c r="S1988" s="5" t="n"/>
      <c r="T1988" s="5" t="n"/>
      <c r="U1988" s="11">
        <f>IF(B1988="","",TRIM(LOWER(C1988)&amp;"|"&amp;LOWER(D1988)))</f>
        <v/>
      </c>
    </row>
    <row r="1989">
      <c r="A1989" s="11">
        <f>IF(B1989="","",TEXT(ROW()-3,"""DC-""0000"))</f>
        <v/>
      </c>
      <c r="B1989" s="5" t="n"/>
      <c r="C1989" s="5" t="n"/>
      <c r="D1989" s="5" t="n"/>
      <c r="E1989" s="5" t="n"/>
      <c r="F1989" s="5" t="n"/>
      <c r="G1989" s="5" t="n"/>
      <c r="H1989" s="8" t="n"/>
      <c r="I1989" s="8" t="n"/>
      <c r="J1989" s="8" t="n"/>
      <c r="K1989" s="11">
        <f>IF(B1989="","",MAX(0,IFERROR(I1989,0)*IFERROR(H1989,0)-IFERROR(J1989,0)))</f>
        <v/>
      </c>
      <c r="L1989" s="8" t="n"/>
      <c r="M1989" s="11">
        <f>IF(B1989="","",MAX(0,K1989-L1989))</f>
        <v/>
      </c>
      <c r="N1989" s="11">
        <f>IF(B1989="","",IF(L1989&gt;=K1989,"Paid",IF(L1989&gt;0,"Partial","Unpaid")))</f>
        <v/>
      </c>
      <c r="O1989" s="5" t="n"/>
      <c r="P1989" s="8" t="n"/>
      <c r="Q1989" s="8" t="n"/>
      <c r="R1989" s="11">
        <f>IF(B1989="","",IFERROR(K1989,0)+IFERROR(P1989,0)-IFERROR(Q1989,0))</f>
        <v/>
      </c>
      <c r="S1989" s="5" t="n"/>
      <c r="T1989" s="5" t="n"/>
      <c r="U1989" s="11">
        <f>IF(B1989="","",TRIM(LOWER(C1989)&amp;"|"&amp;LOWER(D1989)))</f>
        <v/>
      </c>
    </row>
    <row r="1990">
      <c r="A1990" s="11">
        <f>IF(B1990="","",TEXT(ROW()-3,"""DC-""0000"))</f>
        <v/>
      </c>
      <c r="B1990" s="5" t="n"/>
      <c r="C1990" s="5" t="n"/>
      <c r="D1990" s="5" t="n"/>
      <c r="E1990" s="5" t="n"/>
      <c r="F1990" s="5" t="n"/>
      <c r="G1990" s="5" t="n"/>
      <c r="H1990" s="8" t="n"/>
      <c r="I1990" s="8" t="n"/>
      <c r="J1990" s="8" t="n"/>
      <c r="K1990" s="11">
        <f>IF(B1990="","",MAX(0,IFERROR(I1990,0)*IFERROR(H1990,0)-IFERROR(J1990,0)))</f>
        <v/>
      </c>
      <c r="L1990" s="8" t="n"/>
      <c r="M1990" s="11">
        <f>IF(B1990="","",MAX(0,K1990-L1990))</f>
        <v/>
      </c>
      <c r="N1990" s="11">
        <f>IF(B1990="","",IF(L1990&gt;=K1990,"Paid",IF(L1990&gt;0,"Partial","Unpaid")))</f>
        <v/>
      </c>
      <c r="O1990" s="5" t="n"/>
      <c r="P1990" s="8" t="n"/>
      <c r="Q1990" s="8" t="n"/>
      <c r="R1990" s="11">
        <f>IF(B1990="","",IFERROR(K1990,0)+IFERROR(P1990,0)-IFERROR(Q1990,0))</f>
        <v/>
      </c>
      <c r="S1990" s="5" t="n"/>
      <c r="T1990" s="5" t="n"/>
      <c r="U1990" s="11">
        <f>IF(B1990="","",TRIM(LOWER(C1990)&amp;"|"&amp;LOWER(D1990)))</f>
        <v/>
      </c>
    </row>
    <row r="1991">
      <c r="A1991" s="11">
        <f>IF(B1991="","",TEXT(ROW()-3,"""DC-""0000"))</f>
        <v/>
      </c>
      <c r="B1991" s="5" t="n"/>
      <c r="C1991" s="5" t="n"/>
      <c r="D1991" s="5" t="n"/>
      <c r="E1991" s="5" t="n"/>
      <c r="F1991" s="5" t="n"/>
      <c r="G1991" s="5" t="n"/>
      <c r="H1991" s="8" t="n"/>
      <c r="I1991" s="8" t="n"/>
      <c r="J1991" s="8" t="n"/>
      <c r="K1991" s="11">
        <f>IF(B1991="","",MAX(0,IFERROR(I1991,0)*IFERROR(H1991,0)-IFERROR(J1991,0)))</f>
        <v/>
      </c>
      <c r="L1991" s="8" t="n"/>
      <c r="M1991" s="11">
        <f>IF(B1991="","",MAX(0,K1991-L1991))</f>
        <v/>
      </c>
      <c r="N1991" s="11">
        <f>IF(B1991="","",IF(L1991&gt;=K1991,"Paid",IF(L1991&gt;0,"Partial","Unpaid")))</f>
        <v/>
      </c>
      <c r="O1991" s="5" t="n"/>
      <c r="P1991" s="8" t="n"/>
      <c r="Q1991" s="8" t="n"/>
      <c r="R1991" s="11">
        <f>IF(B1991="","",IFERROR(K1991,0)+IFERROR(P1991,0)-IFERROR(Q1991,0))</f>
        <v/>
      </c>
      <c r="S1991" s="5" t="n"/>
      <c r="T1991" s="5" t="n"/>
      <c r="U1991" s="11">
        <f>IF(B1991="","",TRIM(LOWER(C1991)&amp;"|"&amp;LOWER(D1991)))</f>
        <v/>
      </c>
    </row>
    <row r="1992">
      <c r="A1992" s="11">
        <f>IF(B1992="","",TEXT(ROW()-3,"""DC-""0000"))</f>
        <v/>
      </c>
      <c r="B1992" s="5" t="n"/>
      <c r="C1992" s="5" t="n"/>
      <c r="D1992" s="5" t="n"/>
      <c r="E1992" s="5" t="n"/>
      <c r="F1992" s="5" t="n"/>
      <c r="G1992" s="5" t="n"/>
      <c r="H1992" s="8" t="n"/>
      <c r="I1992" s="8" t="n"/>
      <c r="J1992" s="8" t="n"/>
      <c r="K1992" s="11">
        <f>IF(B1992="","",MAX(0,IFERROR(I1992,0)*IFERROR(H1992,0)-IFERROR(J1992,0)))</f>
        <v/>
      </c>
      <c r="L1992" s="8" t="n"/>
      <c r="M1992" s="11">
        <f>IF(B1992="","",MAX(0,K1992-L1992))</f>
        <v/>
      </c>
      <c r="N1992" s="11">
        <f>IF(B1992="","",IF(L1992&gt;=K1992,"Paid",IF(L1992&gt;0,"Partial","Unpaid")))</f>
        <v/>
      </c>
      <c r="O1992" s="5" t="n"/>
      <c r="P1992" s="8" t="n"/>
      <c r="Q1992" s="8" t="n"/>
      <c r="R1992" s="11">
        <f>IF(B1992="","",IFERROR(K1992,0)+IFERROR(P1992,0)-IFERROR(Q1992,0))</f>
        <v/>
      </c>
      <c r="S1992" s="5" t="n"/>
      <c r="T1992" s="5" t="n"/>
      <c r="U1992" s="11">
        <f>IF(B1992="","",TRIM(LOWER(C1992)&amp;"|"&amp;LOWER(D1992)))</f>
        <v/>
      </c>
    </row>
    <row r="1993">
      <c r="A1993" s="11">
        <f>IF(B1993="","",TEXT(ROW()-3,"""DC-""0000"))</f>
        <v/>
      </c>
      <c r="B1993" s="5" t="n"/>
      <c r="C1993" s="5" t="n"/>
      <c r="D1993" s="5" t="n"/>
      <c r="E1993" s="5" t="n"/>
      <c r="F1993" s="5" t="n"/>
      <c r="G1993" s="5" t="n"/>
      <c r="H1993" s="8" t="n"/>
      <c r="I1993" s="8" t="n"/>
      <c r="J1993" s="8" t="n"/>
      <c r="K1993" s="11">
        <f>IF(B1993="","",MAX(0,IFERROR(I1993,0)*IFERROR(H1993,0)-IFERROR(J1993,0)))</f>
        <v/>
      </c>
      <c r="L1993" s="8" t="n"/>
      <c r="M1993" s="11">
        <f>IF(B1993="","",MAX(0,K1993-L1993))</f>
        <v/>
      </c>
      <c r="N1993" s="11">
        <f>IF(B1993="","",IF(L1993&gt;=K1993,"Paid",IF(L1993&gt;0,"Partial","Unpaid")))</f>
        <v/>
      </c>
      <c r="O1993" s="5" t="n"/>
      <c r="P1993" s="8" t="n"/>
      <c r="Q1993" s="8" t="n"/>
      <c r="R1993" s="11">
        <f>IF(B1993="","",IFERROR(K1993,0)+IFERROR(P1993,0)-IFERROR(Q1993,0))</f>
        <v/>
      </c>
      <c r="S1993" s="5" t="n"/>
      <c r="T1993" s="5" t="n"/>
      <c r="U1993" s="11">
        <f>IF(B1993="","",TRIM(LOWER(C1993)&amp;"|"&amp;LOWER(D1993)))</f>
        <v/>
      </c>
    </row>
    <row r="1994">
      <c r="A1994" s="11">
        <f>IF(B1994="","",TEXT(ROW()-3,"""DC-""0000"))</f>
        <v/>
      </c>
      <c r="B1994" s="5" t="n"/>
      <c r="C1994" s="5" t="n"/>
      <c r="D1994" s="5" t="n"/>
      <c r="E1994" s="5" t="n"/>
      <c r="F1994" s="5" t="n"/>
      <c r="G1994" s="5" t="n"/>
      <c r="H1994" s="8" t="n"/>
      <c r="I1994" s="8" t="n"/>
      <c r="J1994" s="8" t="n"/>
      <c r="K1994" s="11">
        <f>IF(B1994="","",MAX(0,IFERROR(I1994,0)*IFERROR(H1994,0)-IFERROR(J1994,0)))</f>
        <v/>
      </c>
      <c r="L1994" s="8" t="n"/>
      <c r="M1994" s="11">
        <f>IF(B1994="","",MAX(0,K1994-L1994))</f>
        <v/>
      </c>
      <c r="N1994" s="11">
        <f>IF(B1994="","",IF(L1994&gt;=K1994,"Paid",IF(L1994&gt;0,"Partial","Unpaid")))</f>
        <v/>
      </c>
      <c r="O1994" s="5" t="n"/>
      <c r="P1994" s="8" t="n"/>
      <c r="Q1994" s="8" t="n"/>
      <c r="R1994" s="11">
        <f>IF(B1994="","",IFERROR(K1994,0)+IFERROR(P1994,0)-IFERROR(Q1994,0))</f>
        <v/>
      </c>
      <c r="S1994" s="5" t="n"/>
      <c r="T1994" s="5" t="n"/>
      <c r="U1994" s="11">
        <f>IF(B1994="","",TRIM(LOWER(C1994)&amp;"|"&amp;LOWER(D1994)))</f>
        <v/>
      </c>
    </row>
    <row r="1995">
      <c r="A1995" s="11">
        <f>IF(B1995="","",TEXT(ROW()-3,"""DC-""0000"))</f>
        <v/>
      </c>
      <c r="B1995" s="5" t="n"/>
      <c r="C1995" s="5" t="n"/>
      <c r="D1995" s="5" t="n"/>
      <c r="E1995" s="5" t="n"/>
      <c r="F1995" s="5" t="n"/>
      <c r="G1995" s="5" t="n"/>
      <c r="H1995" s="8" t="n"/>
      <c r="I1995" s="8" t="n"/>
      <c r="J1995" s="8" t="n"/>
      <c r="K1995" s="11">
        <f>IF(B1995="","",MAX(0,IFERROR(I1995,0)*IFERROR(H1995,0)-IFERROR(J1995,0)))</f>
        <v/>
      </c>
      <c r="L1995" s="8" t="n"/>
      <c r="M1995" s="11">
        <f>IF(B1995="","",MAX(0,K1995-L1995))</f>
        <v/>
      </c>
      <c r="N1995" s="11">
        <f>IF(B1995="","",IF(L1995&gt;=K1995,"Paid",IF(L1995&gt;0,"Partial","Unpaid")))</f>
        <v/>
      </c>
      <c r="O1995" s="5" t="n"/>
      <c r="P1995" s="8" t="n"/>
      <c r="Q1995" s="8" t="n"/>
      <c r="R1995" s="11">
        <f>IF(B1995="","",IFERROR(K1995,0)+IFERROR(P1995,0)-IFERROR(Q1995,0))</f>
        <v/>
      </c>
      <c r="S1995" s="5" t="n"/>
      <c r="T1995" s="5" t="n"/>
      <c r="U1995" s="11">
        <f>IF(B1995="","",TRIM(LOWER(C1995)&amp;"|"&amp;LOWER(D1995)))</f>
        <v/>
      </c>
    </row>
    <row r="1996">
      <c r="A1996" s="11">
        <f>IF(B1996="","",TEXT(ROW()-3,"""DC-""0000"))</f>
        <v/>
      </c>
      <c r="B1996" s="5" t="n"/>
      <c r="C1996" s="5" t="n"/>
      <c r="D1996" s="5" t="n"/>
      <c r="E1996" s="5" t="n"/>
      <c r="F1996" s="5" t="n"/>
      <c r="G1996" s="5" t="n"/>
      <c r="H1996" s="8" t="n"/>
      <c r="I1996" s="8" t="n"/>
      <c r="J1996" s="8" t="n"/>
      <c r="K1996" s="11">
        <f>IF(B1996="","",MAX(0,IFERROR(I1996,0)*IFERROR(H1996,0)-IFERROR(J1996,0)))</f>
        <v/>
      </c>
      <c r="L1996" s="8" t="n"/>
      <c r="M1996" s="11">
        <f>IF(B1996="","",MAX(0,K1996-L1996))</f>
        <v/>
      </c>
      <c r="N1996" s="11">
        <f>IF(B1996="","",IF(L1996&gt;=K1996,"Paid",IF(L1996&gt;0,"Partial","Unpaid")))</f>
        <v/>
      </c>
      <c r="O1996" s="5" t="n"/>
      <c r="P1996" s="8" t="n"/>
      <c r="Q1996" s="8" t="n"/>
      <c r="R1996" s="11">
        <f>IF(B1996="","",IFERROR(K1996,0)+IFERROR(P1996,0)-IFERROR(Q1996,0))</f>
        <v/>
      </c>
      <c r="S1996" s="5" t="n"/>
      <c r="T1996" s="5" t="n"/>
      <c r="U1996" s="11">
        <f>IF(B1996="","",TRIM(LOWER(C1996)&amp;"|"&amp;LOWER(D1996)))</f>
        <v/>
      </c>
    </row>
    <row r="1997">
      <c r="A1997" s="11">
        <f>IF(B1997="","",TEXT(ROW()-3,"""DC-""0000"))</f>
        <v/>
      </c>
      <c r="B1997" s="5" t="n"/>
      <c r="C1997" s="5" t="n"/>
      <c r="D1997" s="5" t="n"/>
      <c r="E1997" s="5" t="n"/>
      <c r="F1997" s="5" t="n"/>
      <c r="G1997" s="5" t="n"/>
      <c r="H1997" s="8" t="n"/>
      <c r="I1997" s="8" t="n"/>
      <c r="J1997" s="8" t="n"/>
      <c r="K1997" s="11">
        <f>IF(B1997="","",MAX(0,IFERROR(I1997,0)*IFERROR(H1997,0)-IFERROR(J1997,0)))</f>
        <v/>
      </c>
      <c r="L1997" s="8" t="n"/>
      <c r="M1997" s="11">
        <f>IF(B1997="","",MAX(0,K1997-L1997))</f>
        <v/>
      </c>
      <c r="N1997" s="11">
        <f>IF(B1997="","",IF(L1997&gt;=K1997,"Paid",IF(L1997&gt;0,"Partial","Unpaid")))</f>
        <v/>
      </c>
      <c r="O1997" s="5" t="n"/>
      <c r="P1997" s="8" t="n"/>
      <c r="Q1997" s="8" t="n"/>
      <c r="R1997" s="11">
        <f>IF(B1997="","",IFERROR(K1997,0)+IFERROR(P1997,0)-IFERROR(Q1997,0))</f>
        <v/>
      </c>
      <c r="S1997" s="5" t="n"/>
      <c r="T1997" s="5" t="n"/>
      <c r="U1997" s="11">
        <f>IF(B1997="","",TRIM(LOWER(C1997)&amp;"|"&amp;LOWER(D1997)))</f>
        <v/>
      </c>
    </row>
    <row r="1998">
      <c r="A1998" s="11">
        <f>IF(B1998="","",TEXT(ROW()-3,"""DC-""0000"))</f>
        <v/>
      </c>
      <c r="B1998" s="5" t="n"/>
      <c r="C1998" s="5" t="n"/>
      <c r="D1998" s="5" t="n"/>
      <c r="E1998" s="5" t="n"/>
      <c r="F1998" s="5" t="n"/>
      <c r="G1998" s="5" t="n"/>
      <c r="H1998" s="8" t="n"/>
      <c r="I1998" s="8" t="n"/>
      <c r="J1998" s="8" t="n"/>
      <c r="K1998" s="11">
        <f>IF(B1998="","",MAX(0,IFERROR(I1998,0)*IFERROR(H1998,0)-IFERROR(J1998,0)))</f>
        <v/>
      </c>
      <c r="L1998" s="8" t="n"/>
      <c r="M1998" s="11">
        <f>IF(B1998="","",MAX(0,K1998-L1998))</f>
        <v/>
      </c>
      <c r="N1998" s="11">
        <f>IF(B1998="","",IF(L1998&gt;=K1998,"Paid",IF(L1998&gt;0,"Partial","Unpaid")))</f>
        <v/>
      </c>
      <c r="O1998" s="5" t="n"/>
      <c r="P1998" s="8" t="n"/>
      <c r="Q1998" s="8" t="n"/>
      <c r="R1998" s="11">
        <f>IF(B1998="","",IFERROR(K1998,0)+IFERROR(P1998,0)-IFERROR(Q1998,0))</f>
        <v/>
      </c>
      <c r="S1998" s="5" t="n"/>
      <c r="T1998" s="5" t="n"/>
      <c r="U1998" s="11">
        <f>IF(B1998="","",TRIM(LOWER(C1998)&amp;"|"&amp;LOWER(D1998)))</f>
        <v/>
      </c>
    </row>
    <row r="1999">
      <c r="A1999" s="11">
        <f>IF(B1999="","",TEXT(ROW()-3,"""DC-""0000"))</f>
        <v/>
      </c>
      <c r="B1999" s="5" t="n"/>
      <c r="C1999" s="5" t="n"/>
      <c r="D1999" s="5" t="n"/>
      <c r="E1999" s="5" t="n"/>
      <c r="F1999" s="5" t="n"/>
      <c r="G1999" s="5" t="n"/>
      <c r="H1999" s="8" t="n"/>
      <c r="I1999" s="8" t="n"/>
      <c r="J1999" s="8" t="n"/>
      <c r="K1999" s="11">
        <f>IF(B1999="","",MAX(0,IFERROR(I1999,0)*IFERROR(H1999,0)-IFERROR(J1999,0)))</f>
        <v/>
      </c>
      <c r="L1999" s="8" t="n"/>
      <c r="M1999" s="11">
        <f>IF(B1999="","",MAX(0,K1999-L1999))</f>
        <v/>
      </c>
      <c r="N1999" s="11">
        <f>IF(B1999="","",IF(L1999&gt;=K1999,"Paid",IF(L1999&gt;0,"Partial","Unpaid")))</f>
        <v/>
      </c>
      <c r="O1999" s="5" t="n"/>
      <c r="P1999" s="8" t="n"/>
      <c r="Q1999" s="8" t="n"/>
      <c r="R1999" s="11">
        <f>IF(B1999="","",IFERROR(K1999,0)+IFERROR(P1999,0)-IFERROR(Q1999,0))</f>
        <v/>
      </c>
      <c r="S1999" s="5" t="n"/>
      <c r="T1999" s="5" t="n"/>
      <c r="U1999" s="11">
        <f>IF(B1999="","",TRIM(LOWER(C1999)&amp;"|"&amp;LOWER(D1999)))</f>
        <v/>
      </c>
    </row>
    <row r="2000">
      <c r="A2000" s="11">
        <f>IF(B2000="","",TEXT(ROW()-3,"""DC-""0000"))</f>
        <v/>
      </c>
      <c r="B2000" s="5" t="n"/>
      <c r="C2000" s="5" t="n"/>
      <c r="D2000" s="5" t="n"/>
      <c r="E2000" s="5" t="n"/>
      <c r="F2000" s="5" t="n"/>
      <c r="G2000" s="5" t="n"/>
      <c r="H2000" s="8" t="n"/>
      <c r="I2000" s="8" t="n"/>
      <c r="J2000" s="8" t="n"/>
      <c r="K2000" s="11">
        <f>IF(B2000="","",MAX(0,IFERROR(I2000,0)*IFERROR(H2000,0)-IFERROR(J2000,0)))</f>
        <v/>
      </c>
      <c r="L2000" s="8" t="n"/>
      <c r="M2000" s="11">
        <f>IF(B2000="","",MAX(0,K2000-L2000))</f>
        <v/>
      </c>
      <c r="N2000" s="11">
        <f>IF(B2000="","",IF(L2000&gt;=K2000,"Paid",IF(L2000&gt;0,"Partial","Unpaid")))</f>
        <v/>
      </c>
      <c r="O2000" s="5" t="n"/>
      <c r="P2000" s="8" t="n"/>
      <c r="Q2000" s="8" t="n"/>
      <c r="R2000" s="11">
        <f>IF(B2000="","",IFERROR(K2000,0)+IFERROR(P2000,0)-IFERROR(Q2000,0))</f>
        <v/>
      </c>
      <c r="S2000" s="5" t="n"/>
      <c r="T2000" s="5" t="n"/>
      <c r="U2000" s="11">
        <f>IF(B2000="","",TRIM(LOWER(C2000)&amp;"|"&amp;LOWER(D2000)))</f>
        <v/>
      </c>
    </row>
    <row r="2001">
      <c r="A2001" s="11">
        <f>IF(B2001="","",TEXT(ROW()-3,"""DC-""0000"))</f>
        <v/>
      </c>
      <c r="B2001" s="5" t="n"/>
      <c r="C2001" s="5" t="n"/>
      <c r="D2001" s="5" t="n"/>
      <c r="E2001" s="5" t="n"/>
      <c r="F2001" s="5" t="n"/>
      <c r="G2001" s="5" t="n"/>
      <c r="H2001" s="8" t="n"/>
      <c r="I2001" s="8" t="n"/>
      <c r="J2001" s="8" t="n"/>
      <c r="K2001" s="11">
        <f>IF(B2001="","",MAX(0,IFERROR(I2001,0)*IFERROR(H2001,0)-IFERROR(J2001,0)))</f>
        <v/>
      </c>
      <c r="L2001" s="8" t="n"/>
      <c r="M2001" s="11">
        <f>IF(B2001="","",MAX(0,K2001-L2001))</f>
        <v/>
      </c>
      <c r="N2001" s="11">
        <f>IF(B2001="","",IF(L2001&gt;=K2001,"Paid",IF(L2001&gt;0,"Partial","Unpaid")))</f>
        <v/>
      </c>
      <c r="O2001" s="5" t="n"/>
      <c r="P2001" s="8" t="n"/>
      <c r="Q2001" s="8" t="n"/>
      <c r="R2001" s="11">
        <f>IF(B2001="","",IFERROR(K2001,0)+IFERROR(P2001,0)-IFERROR(Q2001,0))</f>
        <v/>
      </c>
      <c r="S2001" s="5" t="n"/>
      <c r="T2001" s="5" t="n"/>
      <c r="U2001" s="11">
        <f>IF(B2001="","",TRIM(LOWER(C2001)&amp;"|"&amp;LOWER(D2001)))</f>
        <v/>
      </c>
    </row>
    <row r="2002">
      <c r="A2002" s="11">
        <f>IF(B2002="","",TEXT(ROW()-3,"""DC-""0000"))</f>
        <v/>
      </c>
      <c r="B2002" s="5" t="n"/>
      <c r="C2002" s="5" t="n"/>
      <c r="D2002" s="5" t="n"/>
      <c r="E2002" s="5" t="n"/>
      <c r="F2002" s="5" t="n"/>
      <c r="G2002" s="5" t="n"/>
      <c r="H2002" s="8" t="n"/>
      <c r="I2002" s="8" t="n"/>
      <c r="J2002" s="8" t="n"/>
      <c r="K2002" s="11">
        <f>IF(B2002="","",MAX(0,IFERROR(I2002,0)*IFERROR(H2002,0)-IFERROR(J2002,0)))</f>
        <v/>
      </c>
      <c r="L2002" s="8" t="n"/>
      <c r="M2002" s="11">
        <f>IF(B2002="","",MAX(0,K2002-L2002))</f>
        <v/>
      </c>
      <c r="N2002" s="11">
        <f>IF(B2002="","",IF(L2002&gt;=K2002,"Paid",IF(L2002&gt;0,"Partial","Unpaid")))</f>
        <v/>
      </c>
      <c r="O2002" s="5" t="n"/>
      <c r="P2002" s="8" t="n"/>
      <c r="Q2002" s="8" t="n"/>
      <c r="R2002" s="11">
        <f>IF(B2002="","",IFERROR(K2002,0)+IFERROR(P2002,0)-IFERROR(Q2002,0))</f>
        <v/>
      </c>
      <c r="S2002" s="5" t="n"/>
      <c r="T2002" s="5" t="n"/>
      <c r="U2002" s="11">
        <f>IF(B2002="","",TRIM(LOWER(C2002)&amp;"|"&amp;LOWER(D2002)))</f>
        <v/>
      </c>
    </row>
    <row r="2003">
      <c r="A2003" s="11">
        <f>IF(B2003="","",TEXT(ROW()-3,"""DC-""0000"))</f>
        <v/>
      </c>
      <c r="B2003" s="5" t="n"/>
      <c r="C2003" s="5" t="n"/>
      <c r="D2003" s="5" t="n"/>
      <c r="E2003" s="5" t="n"/>
      <c r="F2003" s="5" t="n"/>
      <c r="G2003" s="5" t="n"/>
      <c r="H2003" s="8" t="n"/>
      <c r="I2003" s="8" t="n"/>
      <c r="J2003" s="8" t="n"/>
      <c r="K2003" s="11">
        <f>IF(B2003="","",MAX(0,IFERROR(I2003,0)*IFERROR(H2003,0)-IFERROR(J2003,0)))</f>
        <v/>
      </c>
      <c r="L2003" s="8" t="n"/>
      <c r="M2003" s="11">
        <f>IF(B2003="","",MAX(0,K2003-L2003))</f>
        <v/>
      </c>
      <c r="N2003" s="11">
        <f>IF(B2003="","",IF(L2003&gt;=K2003,"Paid",IF(L2003&gt;0,"Partial","Unpaid")))</f>
        <v/>
      </c>
      <c r="O2003" s="5" t="n"/>
      <c r="P2003" s="8" t="n"/>
      <c r="Q2003" s="8" t="n"/>
      <c r="R2003" s="11">
        <f>IF(B2003="","",IFERROR(K2003,0)+IFERROR(P2003,0)-IFERROR(Q2003,0))</f>
        <v/>
      </c>
      <c r="S2003" s="5" t="n"/>
      <c r="T2003" s="5" t="n"/>
      <c r="U2003" s="11">
        <f>IF(B2003="","",TRIM(LOWER(C2003)&amp;"|"&amp;LOWER(D2003)))</f>
        <v/>
      </c>
    </row>
  </sheetData>
  <dataValidations count="1">
    <dataValidation sqref="O4:O2003" showDropDown="0" showInputMessage="0" showErrorMessage="0" allowBlank="1" type="list">
      <formula1>=OrderStatuses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D9ED6"/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</cols>
  <sheetData>
    <row r="1">
      <c r="A1" s="1" t="inlineStr">
        <is>
          <t>DEE CLEANERS — DASHBOARD</t>
        </is>
      </c>
    </row>
    <row r="2">
      <c r="A2" s="2" t="inlineStr">
        <is>
          <t>KPIs are calculated live from the data sheets. Open the web application for the full dashboard with charts.</t>
        </is>
      </c>
    </row>
    <row r="3">
      <c r="A3" s="10" t="inlineStr">
        <is>
          <t>KPI</t>
        </is>
      </c>
      <c r="B3" s="10" t="inlineStr">
        <is>
          <t>Value</t>
        </is>
      </c>
    </row>
    <row r="4">
      <c r="A4" s="4" t="inlineStr">
        <is>
          <t>Today's Sales</t>
        </is>
      </c>
      <c r="B4" s="8">
        <f>SUMIFS(Orders!$L$4:$L$2003,Orders!$B$4:$B$2003,TODAY())</f>
        <v/>
      </c>
    </row>
    <row r="5">
      <c r="A5" s="4" t="inlineStr">
        <is>
          <t>Today's Orders</t>
        </is>
      </c>
      <c r="B5" s="12">
        <f>COUNTIF(Orders!$B$4:$B$2003,TODAY())</f>
        <v/>
      </c>
    </row>
    <row r="6">
      <c r="A6" s="4" t="inlineStr">
        <is>
          <t>Today's Expenses</t>
        </is>
      </c>
      <c r="B6" s="12">
        <f>SUMIFS(Expenses!$E$4:$E$2003,Expenses!$B$4:$B$2003,TODAY())</f>
        <v/>
      </c>
    </row>
    <row r="7">
      <c r="A7" s="4" t="inlineStr">
        <is>
          <t>Today's Profit</t>
        </is>
      </c>
      <c r="B7" s="8">
        <f>B4-B6</f>
        <v/>
      </c>
    </row>
    <row r="8">
      <c r="A8" s="4" t="inlineStr">
        <is>
          <t>Weekly Revenue</t>
        </is>
      </c>
      <c r="B8" s="8">
        <f>SUMIFS(Orders!$L$4:$L$2003,Orders!$B$4:$B$2003,"&gt;="&amp;(TODAY()-6))</f>
        <v/>
      </c>
    </row>
    <row r="9">
      <c r="A9" s="4" t="inlineStr">
        <is>
          <t>Monthly Revenue</t>
        </is>
      </c>
      <c r="B9" s="8">
        <f>SUMIFS(Orders!$L$4:$L$2003,Orders!$B$4:$B$2003,"&gt;="&amp;(EOMONTH(TODAY(),-1)+1))</f>
        <v/>
      </c>
    </row>
    <row r="10">
      <c r="A10" s="4" t="inlineStr">
        <is>
          <t>Outstanding Customer Payments</t>
        </is>
      </c>
      <c r="B10" s="8">
        <f>SUM(Orders!$M$4:$M$2003)</f>
        <v/>
      </c>
    </row>
    <row r="11">
      <c r="A11" s="4" t="inlineStr">
        <is>
          <t>Number of Active Customers</t>
        </is>
      </c>
      <c r="B11" s="12">
        <f>COUNTIF(Customers!$I$4:$I$1000,"Active")</f>
        <v/>
      </c>
    </row>
    <row r="12">
      <c r="A12" s="4" t="inlineStr">
        <is>
          <t>Active Househelps</t>
        </is>
      </c>
      <c r="B12" s="12">
        <f>COUNTIF(Househelps!$L$4:$L$500,"Placed")+COUNTIF(Househelps!$L$4:$L$500,"On Contract")</f>
        <v/>
      </c>
    </row>
    <row r="13">
      <c r="A13" s="4" t="inlineStr">
        <is>
          <t>Active Placements</t>
        </is>
      </c>
      <c r="B13" s="12">
        <f>COUNTIF(Placements!$J$4:$J$500,"Active")</f>
        <v/>
      </c>
    </row>
    <row r="14">
      <c r="A14" s="4" t="inlineStr">
        <is>
          <t>Pending Househelp Payments</t>
        </is>
      </c>
      <c r="B14" s="12">
        <f>COUNTIF('Househelp Payments'!$I$4:$I$500,"Pending")</f>
        <v/>
      </c>
    </row>
    <row r="15">
      <c r="A15" s="4" t="inlineStr">
        <is>
          <t>Active Contracts</t>
        </is>
      </c>
      <c r="B15" s="12">
        <f>COUNTIF(Contracts!$I$4:$I$500,"Active")</f>
        <v/>
      </c>
    </row>
    <row r="16">
      <c r="A16" s="4" t="inlineStr">
        <is>
          <t>Contracts Expiring Soon</t>
        </is>
      </c>
      <c r="B16" s="12">
        <f>COUNTIFS(Contracts!$F$4:$F$500,"&gt;="&amp;TODAY(),Contracts!$F$4:$F$500,"&lt;="&amp;(TODAY()+30),Contracts!$I$4:$I$500,"Active")</f>
        <v/>
      </c>
    </row>
    <row r="17">
      <c r="A17" s="4" t="inlineStr">
        <is>
          <t>Open Complaints</t>
        </is>
      </c>
      <c r="B17" s="12">
        <f>COUNTIF(Complaints!$J$4:$J$500,"Reported")+COUNTIF(Complaints!$J$4:$J$500,"Under Review")+COUNTIF(Complaints!$J$4:$J$500,"Mediation")</f>
        <v/>
      </c>
    </row>
    <row r="18">
      <c r="A18" s="4" t="inlineStr">
        <is>
          <t>Replacement Requests</t>
        </is>
      </c>
      <c r="B18" s="12">
        <f>COUNTIF(Replacements!$I$4:$I$500,"Requested")+COUNTIF(Replacements!$I$4:$I$500,"In Progress")</f>
        <v/>
      </c>
    </row>
    <row r="20">
      <c r="A20" s="2" t="inlineStr">
        <is>
          <t>Charts (revenue, orders, payments, househelp, contracts) are rendered in the Dee Cleaners web application.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69A2"/>
    <outlinePr summaryBelow="1" summaryRight="1"/>
    <pageSetUpPr/>
  </sheetPr>
  <dimension ref="A1:I10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DEE CLEANERS — CUSTOMERS</t>
        </is>
      </c>
    </row>
    <row r="2">
      <c r="A2" s="2" t="inlineStr">
        <is>
          <t>Use the app to add and edit records. IDs are assigned automatically.</t>
        </is>
      </c>
    </row>
    <row r="3">
      <c r="A3" s="10" t="inlineStr">
        <is>
          <t>Customer Name</t>
        </is>
      </c>
      <c r="B3" s="10" t="inlineStr">
        <is>
          <t>Phone</t>
        </is>
      </c>
      <c r="C3" s="10" t="inlineStr">
        <is>
          <t>Email</t>
        </is>
      </c>
      <c r="D3" s="10" t="inlineStr">
        <is>
          <t>Number of Orders</t>
        </is>
      </c>
      <c r="E3" s="10" t="inlineStr">
        <is>
          <t>Total Spending</t>
        </is>
      </c>
      <c r="F3" s="10" t="inlineStr">
        <is>
          <t>Total Paid</t>
        </is>
      </c>
      <c r="G3" s="10" t="inlineStr">
        <is>
          <t>Outstanding Balance</t>
        </is>
      </c>
      <c r="H3" s="10" t="inlineStr">
        <is>
          <t>Last Service Date</t>
        </is>
      </c>
      <c r="I3" s="10" t="inlineStr">
        <is>
          <t>Customer Status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</row>
    <row r="1001">
      <c r="A1001" s="5" t="n"/>
      <c r="B1001" s="5" t="n"/>
      <c r="C1001" s="5" t="n"/>
      <c r="D1001" s="5" t="n"/>
      <c r="E1001" s="5" t="n"/>
      <c r="F1001" s="5" t="n"/>
      <c r="G1001" s="5" t="n"/>
      <c r="H1001" s="5" t="n"/>
      <c r="I1001" s="5" t="n"/>
    </row>
    <row r="1002">
      <c r="A1002" s="5" t="n"/>
      <c r="B1002" s="5" t="n"/>
      <c r="C1002" s="5" t="n"/>
      <c r="D1002" s="5" t="n"/>
      <c r="E1002" s="5" t="n"/>
      <c r="F1002" s="5" t="n"/>
      <c r="G1002" s="5" t="n"/>
      <c r="H1002" s="5" t="n"/>
      <c r="I1002" s="5" t="n"/>
    </row>
    <row r="1003">
      <c r="A1003" s="5" t="n"/>
      <c r="B1003" s="5" t="n"/>
      <c r="C1003" s="5" t="n"/>
      <c r="D1003" s="5" t="n"/>
      <c r="E1003" s="5" t="n"/>
      <c r="F1003" s="5" t="n"/>
      <c r="G1003" s="5" t="n"/>
      <c r="H1003" s="5" t="n"/>
      <c r="I1003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69A2"/>
    <outlinePr summaryBelow="1" summaryRight="1"/>
    <pageSetUpPr/>
  </sheetPr>
  <dimension ref="A1:H20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4" customWidth="1" min="4" max="4"/>
    <col width="14" customWidth="1" min="5" max="5"/>
    <col width="14" customWidth="1" min="6" max="6"/>
    <col width="14" customWidth="1" min="7" max="7"/>
    <col width="34" customWidth="1" min="8" max="8"/>
  </cols>
  <sheetData>
    <row r="1">
      <c r="A1" s="1" t="inlineStr">
        <is>
          <t>DEE CLEANERS — EXPENSES</t>
        </is>
      </c>
    </row>
    <row r="2">
      <c r="A2" s="2" t="inlineStr">
        <is>
          <t>Use the app to add and edit records. IDs are assigned automatically.</t>
        </is>
      </c>
    </row>
    <row r="3">
      <c r="A3" s="10" t="inlineStr">
        <is>
          <t>Expense ID</t>
        </is>
      </c>
      <c r="B3" s="10" t="inlineStr">
        <is>
          <t>Date</t>
        </is>
      </c>
      <c r="C3" s="10" t="inlineStr">
        <is>
          <t>Category</t>
        </is>
      </c>
      <c r="D3" s="10" t="inlineStr">
        <is>
          <t>Description</t>
        </is>
      </c>
      <c r="E3" s="10" t="inlineStr">
        <is>
          <t>Amount</t>
        </is>
      </c>
      <c r="F3" s="10" t="inlineStr">
        <is>
          <t>Payment Method</t>
        </is>
      </c>
      <c r="G3" s="10" t="inlineStr">
        <is>
          <t>Related Service</t>
        </is>
      </c>
      <c r="H3" s="10" t="inlineStr">
        <is>
          <t>Notes</t>
        </is>
      </c>
    </row>
    <row r="4">
      <c r="A4" s="5" t="n"/>
      <c r="B4" s="5" t="n"/>
      <c r="C4" s="5" t="n"/>
      <c r="D4" s="5" t="n"/>
      <c r="E4" s="8" t="n"/>
      <c r="F4" s="5" t="n"/>
      <c r="G4" s="5" t="n"/>
      <c r="H4" s="5" t="n"/>
    </row>
    <row r="5">
      <c r="A5" s="5" t="n"/>
      <c r="B5" s="5" t="n"/>
      <c r="C5" s="5" t="n"/>
      <c r="D5" s="5" t="n"/>
      <c r="E5" s="8" t="n"/>
      <c r="F5" s="5" t="n"/>
      <c r="G5" s="5" t="n"/>
      <c r="H5" s="5" t="n"/>
    </row>
    <row r="6">
      <c r="A6" s="5" t="n"/>
      <c r="B6" s="5" t="n"/>
      <c r="C6" s="5" t="n"/>
      <c r="D6" s="5" t="n"/>
      <c r="E6" s="8" t="n"/>
      <c r="F6" s="5" t="n"/>
      <c r="G6" s="5" t="n"/>
      <c r="H6" s="5" t="n"/>
    </row>
    <row r="7">
      <c r="A7" s="5" t="n"/>
      <c r="B7" s="5" t="n"/>
      <c r="C7" s="5" t="n"/>
      <c r="D7" s="5" t="n"/>
      <c r="E7" s="8" t="n"/>
      <c r="F7" s="5" t="n"/>
      <c r="G7" s="5" t="n"/>
      <c r="H7" s="5" t="n"/>
    </row>
    <row r="8">
      <c r="A8" s="5" t="n"/>
      <c r="B8" s="5" t="n"/>
      <c r="C8" s="5" t="n"/>
      <c r="D8" s="5" t="n"/>
      <c r="E8" s="8" t="n"/>
      <c r="F8" s="5" t="n"/>
      <c r="G8" s="5" t="n"/>
      <c r="H8" s="5" t="n"/>
    </row>
    <row r="9">
      <c r="A9" s="5" t="n"/>
      <c r="B9" s="5" t="n"/>
      <c r="C9" s="5" t="n"/>
      <c r="D9" s="5" t="n"/>
      <c r="E9" s="8" t="n"/>
      <c r="F9" s="5" t="n"/>
      <c r="G9" s="5" t="n"/>
      <c r="H9" s="5" t="n"/>
    </row>
    <row r="10">
      <c r="A10" s="5" t="n"/>
      <c r="B10" s="5" t="n"/>
      <c r="C10" s="5" t="n"/>
      <c r="D10" s="5" t="n"/>
      <c r="E10" s="8" t="n"/>
      <c r="F10" s="5" t="n"/>
      <c r="G10" s="5" t="n"/>
      <c r="H10" s="5" t="n"/>
    </row>
    <row r="11">
      <c r="A11" s="5" t="n"/>
      <c r="B11" s="5" t="n"/>
      <c r="C11" s="5" t="n"/>
      <c r="D11" s="5" t="n"/>
      <c r="E11" s="8" t="n"/>
      <c r="F11" s="5" t="n"/>
      <c r="G11" s="5" t="n"/>
      <c r="H11" s="5" t="n"/>
    </row>
    <row r="12">
      <c r="A12" s="5" t="n"/>
      <c r="B12" s="5" t="n"/>
      <c r="C12" s="5" t="n"/>
      <c r="D12" s="5" t="n"/>
      <c r="E12" s="8" t="n"/>
      <c r="F12" s="5" t="n"/>
      <c r="G12" s="5" t="n"/>
      <c r="H12" s="5" t="n"/>
    </row>
    <row r="13">
      <c r="A13" s="5" t="n"/>
      <c r="B13" s="5" t="n"/>
      <c r="C13" s="5" t="n"/>
      <c r="D13" s="5" t="n"/>
      <c r="E13" s="8" t="n"/>
      <c r="F13" s="5" t="n"/>
      <c r="G13" s="5" t="n"/>
      <c r="H13" s="5" t="n"/>
    </row>
    <row r="14">
      <c r="A14" s="5" t="n"/>
      <c r="B14" s="5" t="n"/>
      <c r="C14" s="5" t="n"/>
      <c r="D14" s="5" t="n"/>
      <c r="E14" s="8" t="n"/>
      <c r="F14" s="5" t="n"/>
      <c r="G14" s="5" t="n"/>
      <c r="H14" s="5" t="n"/>
    </row>
    <row r="15">
      <c r="A15" s="5" t="n"/>
      <c r="B15" s="5" t="n"/>
      <c r="C15" s="5" t="n"/>
      <c r="D15" s="5" t="n"/>
      <c r="E15" s="8" t="n"/>
      <c r="F15" s="5" t="n"/>
      <c r="G15" s="5" t="n"/>
      <c r="H15" s="5" t="n"/>
    </row>
    <row r="16">
      <c r="A16" s="5" t="n"/>
      <c r="B16" s="5" t="n"/>
      <c r="C16" s="5" t="n"/>
      <c r="D16" s="5" t="n"/>
      <c r="E16" s="8" t="n"/>
      <c r="F16" s="5" t="n"/>
      <c r="G16" s="5" t="n"/>
      <c r="H16" s="5" t="n"/>
    </row>
    <row r="17">
      <c r="A17" s="5" t="n"/>
      <c r="B17" s="5" t="n"/>
      <c r="C17" s="5" t="n"/>
      <c r="D17" s="5" t="n"/>
      <c r="E17" s="8" t="n"/>
      <c r="F17" s="5" t="n"/>
      <c r="G17" s="5" t="n"/>
      <c r="H17" s="5" t="n"/>
    </row>
    <row r="18">
      <c r="A18" s="5" t="n"/>
      <c r="B18" s="5" t="n"/>
      <c r="C18" s="5" t="n"/>
      <c r="D18" s="5" t="n"/>
      <c r="E18" s="8" t="n"/>
      <c r="F18" s="5" t="n"/>
      <c r="G18" s="5" t="n"/>
      <c r="H18" s="5" t="n"/>
    </row>
    <row r="19">
      <c r="A19" s="5" t="n"/>
      <c r="B19" s="5" t="n"/>
      <c r="C19" s="5" t="n"/>
      <c r="D19" s="5" t="n"/>
      <c r="E19" s="8" t="n"/>
      <c r="F19" s="5" t="n"/>
      <c r="G19" s="5" t="n"/>
      <c r="H19" s="5" t="n"/>
    </row>
    <row r="20">
      <c r="A20" s="5" t="n"/>
      <c r="B20" s="5" t="n"/>
      <c r="C20" s="5" t="n"/>
      <c r="D20" s="5" t="n"/>
      <c r="E20" s="8" t="n"/>
      <c r="F20" s="5" t="n"/>
      <c r="G20" s="5" t="n"/>
      <c r="H20" s="5" t="n"/>
    </row>
    <row r="21">
      <c r="A21" s="5" t="n"/>
      <c r="B21" s="5" t="n"/>
      <c r="C21" s="5" t="n"/>
      <c r="D21" s="5" t="n"/>
      <c r="E21" s="8" t="n"/>
      <c r="F21" s="5" t="n"/>
      <c r="G21" s="5" t="n"/>
      <c r="H21" s="5" t="n"/>
    </row>
    <row r="22">
      <c r="A22" s="5" t="n"/>
      <c r="B22" s="5" t="n"/>
      <c r="C22" s="5" t="n"/>
      <c r="D22" s="5" t="n"/>
      <c r="E22" s="8" t="n"/>
      <c r="F22" s="5" t="n"/>
      <c r="G22" s="5" t="n"/>
      <c r="H22" s="5" t="n"/>
    </row>
    <row r="23">
      <c r="A23" s="5" t="n"/>
      <c r="B23" s="5" t="n"/>
      <c r="C23" s="5" t="n"/>
      <c r="D23" s="5" t="n"/>
      <c r="E23" s="8" t="n"/>
      <c r="F23" s="5" t="n"/>
      <c r="G23" s="5" t="n"/>
      <c r="H23" s="5" t="n"/>
    </row>
    <row r="24">
      <c r="A24" s="5" t="n"/>
      <c r="B24" s="5" t="n"/>
      <c r="C24" s="5" t="n"/>
      <c r="D24" s="5" t="n"/>
      <c r="E24" s="8" t="n"/>
      <c r="F24" s="5" t="n"/>
      <c r="G24" s="5" t="n"/>
      <c r="H24" s="5" t="n"/>
    </row>
    <row r="25">
      <c r="A25" s="5" t="n"/>
      <c r="B25" s="5" t="n"/>
      <c r="C25" s="5" t="n"/>
      <c r="D25" s="5" t="n"/>
      <c r="E25" s="8" t="n"/>
      <c r="F25" s="5" t="n"/>
      <c r="G25" s="5" t="n"/>
      <c r="H25" s="5" t="n"/>
    </row>
    <row r="26">
      <c r="A26" s="5" t="n"/>
      <c r="B26" s="5" t="n"/>
      <c r="C26" s="5" t="n"/>
      <c r="D26" s="5" t="n"/>
      <c r="E26" s="8" t="n"/>
      <c r="F26" s="5" t="n"/>
      <c r="G26" s="5" t="n"/>
      <c r="H26" s="5" t="n"/>
    </row>
    <row r="27">
      <c r="A27" s="5" t="n"/>
      <c r="B27" s="5" t="n"/>
      <c r="C27" s="5" t="n"/>
      <c r="D27" s="5" t="n"/>
      <c r="E27" s="8" t="n"/>
      <c r="F27" s="5" t="n"/>
      <c r="G27" s="5" t="n"/>
      <c r="H27" s="5" t="n"/>
    </row>
    <row r="28">
      <c r="A28" s="5" t="n"/>
      <c r="B28" s="5" t="n"/>
      <c r="C28" s="5" t="n"/>
      <c r="D28" s="5" t="n"/>
      <c r="E28" s="8" t="n"/>
      <c r="F28" s="5" t="n"/>
      <c r="G28" s="5" t="n"/>
      <c r="H28" s="5" t="n"/>
    </row>
    <row r="29">
      <c r="A29" s="5" t="n"/>
      <c r="B29" s="5" t="n"/>
      <c r="C29" s="5" t="n"/>
      <c r="D29" s="5" t="n"/>
      <c r="E29" s="8" t="n"/>
      <c r="F29" s="5" t="n"/>
      <c r="G29" s="5" t="n"/>
      <c r="H29" s="5" t="n"/>
    </row>
    <row r="30">
      <c r="A30" s="5" t="n"/>
      <c r="B30" s="5" t="n"/>
      <c r="C30" s="5" t="n"/>
      <c r="D30" s="5" t="n"/>
      <c r="E30" s="8" t="n"/>
      <c r="F30" s="5" t="n"/>
      <c r="G30" s="5" t="n"/>
      <c r="H30" s="5" t="n"/>
    </row>
    <row r="31">
      <c r="A31" s="5" t="n"/>
      <c r="B31" s="5" t="n"/>
      <c r="C31" s="5" t="n"/>
      <c r="D31" s="5" t="n"/>
      <c r="E31" s="8" t="n"/>
      <c r="F31" s="5" t="n"/>
      <c r="G31" s="5" t="n"/>
      <c r="H31" s="5" t="n"/>
    </row>
    <row r="32">
      <c r="A32" s="5" t="n"/>
      <c r="B32" s="5" t="n"/>
      <c r="C32" s="5" t="n"/>
      <c r="D32" s="5" t="n"/>
      <c r="E32" s="8" t="n"/>
      <c r="F32" s="5" t="n"/>
      <c r="G32" s="5" t="n"/>
      <c r="H32" s="5" t="n"/>
    </row>
    <row r="33">
      <c r="A33" s="5" t="n"/>
      <c r="B33" s="5" t="n"/>
      <c r="C33" s="5" t="n"/>
      <c r="D33" s="5" t="n"/>
      <c r="E33" s="8" t="n"/>
      <c r="F33" s="5" t="n"/>
      <c r="G33" s="5" t="n"/>
      <c r="H33" s="5" t="n"/>
    </row>
    <row r="34">
      <c r="A34" s="5" t="n"/>
      <c r="B34" s="5" t="n"/>
      <c r="C34" s="5" t="n"/>
      <c r="D34" s="5" t="n"/>
      <c r="E34" s="8" t="n"/>
      <c r="F34" s="5" t="n"/>
      <c r="G34" s="5" t="n"/>
      <c r="H34" s="5" t="n"/>
    </row>
    <row r="35">
      <c r="A35" s="5" t="n"/>
      <c r="B35" s="5" t="n"/>
      <c r="C35" s="5" t="n"/>
      <c r="D35" s="5" t="n"/>
      <c r="E35" s="8" t="n"/>
      <c r="F35" s="5" t="n"/>
      <c r="G35" s="5" t="n"/>
      <c r="H35" s="5" t="n"/>
    </row>
    <row r="36">
      <c r="A36" s="5" t="n"/>
      <c r="B36" s="5" t="n"/>
      <c r="C36" s="5" t="n"/>
      <c r="D36" s="5" t="n"/>
      <c r="E36" s="8" t="n"/>
      <c r="F36" s="5" t="n"/>
      <c r="G36" s="5" t="n"/>
      <c r="H36" s="5" t="n"/>
    </row>
    <row r="37">
      <c r="A37" s="5" t="n"/>
      <c r="B37" s="5" t="n"/>
      <c r="C37" s="5" t="n"/>
      <c r="D37" s="5" t="n"/>
      <c r="E37" s="8" t="n"/>
      <c r="F37" s="5" t="n"/>
      <c r="G37" s="5" t="n"/>
      <c r="H37" s="5" t="n"/>
    </row>
    <row r="38">
      <c r="A38" s="5" t="n"/>
      <c r="B38" s="5" t="n"/>
      <c r="C38" s="5" t="n"/>
      <c r="D38" s="5" t="n"/>
      <c r="E38" s="8" t="n"/>
      <c r="F38" s="5" t="n"/>
      <c r="G38" s="5" t="n"/>
      <c r="H38" s="5" t="n"/>
    </row>
    <row r="39">
      <c r="A39" s="5" t="n"/>
      <c r="B39" s="5" t="n"/>
      <c r="C39" s="5" t="n"/>
      <c r="D39" s="5" t="n"/>
      <c r="E39" s="8" t="n"/>
      <c r="F39" s="5" t="n"/>
      <c r="G39" s="5" t="n"/>
      <c r="H39" s="5" t="n"/>
    </row>
    <row r="40">
      <c r="A40" s="5" t="n"/>
      <c r="B40" s="5" t="n"/>
      <c r="C40" s="5" t="n"/>
      <c r="D40" s="5" t="n"/>
      <c r="E40" s="8" t="n"/>
      <c r="F40" s="5" t="n"/>
      <c r="G40" s="5" t="n"/>
      <c r="H40" s="5" t="n"/>
    </row>
    <row r="41">
      <c r="A41" s="5" t="n"/>
      <c r="B41" s="5" t="n"/>
      <c r="C41" s="5" t="n"/>
      <c r="D41" s="5" t="n"/>
      <c r="E41" s="8" t="n"/>
      <c r="F41" s="5" t="n"/>
      <c r="G41" s="5" t="n"/>
      <c r="H41" s="5" t="n"/>
    </row>
    <row r="42">
      <c r="A42" s="5" t="n"/>
      <c r="B42" s="5" t="n"/>
      <c r="C42" s="5" t="n"/>
      <c r="D42" s="5" t="n"/>
      <c r="E42" s="8" t="n"/>
      <c r="F42" s="5" t="n"/>
      <c r="G42" s="5" t="n"/>
      <c r="H42" s="5" t="n"/>
    </row>
    <row r="43">
      <c r="A43" s="5" t="n"/>
      <c r="B43" s="5" t="n"/>
      <c r="C43" s="5" t="n"/>
      <c r="D43" s="5" t="n"/>
      <c r="E43" s="8" t="n"/>
      <c r="F43" s="5" t="n"/>
      <c r="G43" s="5" t="n"/>
      <c r="H43" s="5" t="n"/>
    </row>
    <row r="44">
      <c r="A44" s="5" t="n"/>
      <c r="B44" s="5" t="n"/>
      <c r="C44" s="5" t="n"/>
      <c r="D44" s="5" t="n"/>
      <c r="E44" s="8" t="n"/>
      <c r="F44" s="5" t="n"/>
      <c r="G44" s="5" t="n"/>
      <c r="H44" s="5" t="n"/>
    </row>
    <row r="45">
      <c r="A45" s="5" t="n"/>
      <c r="B45" s="5" t="n"/>
      <c r="C45" s="5" t="n"/>
      <c r="D45" s="5" t="n"/>
      <c r="E45" s="8" t="n"/>
      <c r="F45" s="5" t="n"/>
      <c r="G45" s="5" t="n"/>
      <c r="H45" s="5" t="n"/>
    </row>
    <row r="46">
      <c r="A46" s="5" t="n"/>
      <c r="B46" s="5" t="n"/>
      <c r="C46" s="5" t="n"/>
      <c r="D46" s="5" t="n"/>
      <c r="E46" s="8" t="n"/>
      <c r="F46" s="5" t="n"/>
      <c r="G46" s="5" t="n"/>
      <c r="H46" s="5" t="n"/>
    </row>
    <row r="47">
      <c r="A47" s="5" t="n"/>
      <c r="B47" s="5" t="n"/>
      <c r="C47" s="5" t="n"/>
      <c r="D47" s="5" t="n"/>
      <c r="E47" s="8" t="n"/>
      <c r="F47" s="5" t="n"/>
      <c r="G47" s="5" t="n"/>
      <c r="H47" s="5" t="n"/>
    </row>
    <row r="48">
      <c r="A48" s="5" t="n"/>
      <c r="B48" s="5" t="n"/>
      <c r="C48" s="5" t="n"/>
      <c r="D48" s="5" t="n"/>
      <c r="E48" s="8" t="n"/>
      <c r="F48" s="5" t="n"/>
      <c r="G48" s="5" t="n"/>
      <c r="H48" s="5" t="n"/>
    </row>
    <row r="49">
      <c r="A49" s="5" t="n"/>
      <c r="B49" s="5" t="n"/>
      <c r="C49" s="5" t="n"/>
      <c r="D49" s="5" t="n"/>
      <c r="E49" s="8" t="n"/>
      <c r="F49" s="5" t="n"/>
      <c r="G49" s="5" t="n"/>
      <c r="H49" s="5" t="n"/>
    </row>
    <row r="50">
      <c r="A50" s="5" t="n"/>
      <c r="B50" s="5" t="n"/>
      <c r="C50" s="5" t="n"/>
      <c r="D50" s="5" t="n"/>
      <c r="E50" s="8" t="n"/>
      <c r="F50" s="5" t="n"/>
      <c r="G50" s="5" t="n"/>
      <c r="H50" s="5" t="n"/>
    </row>
    <row r="51">
      <c r="A51" s="5" t="n"/>
      <c r="B51" s="5" t="n"/>
      <c r="C51" s="5" t="n"/>
      <c r="D51" s="5" t="n"/>
      <c r="E51" s="8" t="n"/>
      <c r="F51" s="5" t="n"/>
      <c r="G51" s="5" t="n"/>
      <c r="H51" s="5" t="n"/>
    </row>
    <row r="52">
      <c r="A52" s="5" t="n"/>
      <c r="B52" s="5" t="n"/>
      <c r="C52" s="5" t="n"/>
      <c r="D52" s="5" t="n"/>
      <c r="E52" s="8" t="n"/>
      <c r="F52" s="5" t="n"/>
      <c r="G52" s="5" t="n"/>
      <c r="H52" s="5" t="n"/>
    </row>
    <row r="53">
      <c r="A53" s="5" t="n"/>
      <c r="B53" s="5" t="n"/>
      <c r="C53" s="5" t="n"/>
      <c r="D53" s="5" t="n"/>
      <c r="E53" s="8" t="n"/>
      <c r="F53" s="5" t="n"/>
      <c r="G53" s="5" t="n"/>
      <c r="H53" s="5" t="n"/>
    </row>
    <row r="54">
      <c r="A54" s="5" t="n"/>
      <c r="B54" s="5" t="n"/>
      <c r="C54" s="5" t="n"/>
      <c r="D54" s="5" t="n"/>
      <c r="E54" s="8" t="n"/>
      <c r="F54" s="5" t="n"/>
      <c r="G54" s="5" t="n"/>
      <c r="H54" s="5" t="n"/>
    </row>
    <row r="55">
      <c r="A55" s="5" t="n"/>
      <c r="B55" s="5" t="n"/>
      <c r="C55" s="5" t="n"/>
      <c r="D55" s="5" t="n"/>
      <c r="E55" s="8" t="n"/>
      <c r="F55" s="5" t="n"/>
      <c r="G55" s="5" t="n"/>
      <c r="H55" s="5" t="n"/>
    </row>
    <row r="56">
      <c r="A56" s="5" t="n"/>
      <c r="B56" s="5" t="n"/>
      <c r="C56" s="5" t="n"/>
      <c r="D56" s="5" t="n"/>
      <c r="E56" s="8" t="n"/>
      <c r="F56" s="5" t="n"/>
      <c r="G56" s="5" t="n"/>
      <c r="H56" s="5" t="n"/>
    </row>
    <row r="57">
      <c r="A57" s="5" t="n"/>
      <c r="B57" s="5" t="n"/>
      <c r="C57" s="5" t="n"/>
      <c r="D57" s="5" t="n"/>
      <c r="E57" s="8" t="n"/>
      <c r="F57" s="5" t="n"/>
      <c r="G57" s="5" t="n"/>
      <c r="H57" s="5" t="n"/>
    </row>
    <row r="58">
      <c r="A58" s="5" t="n"/>
      <c r="B58" s="5" t="n"/>
      <c r="C58" s="5" t="n"/>
      <c r="D58" s="5" t="n"/>
      <c r="E58" s="8" t="n"/>
      <c r="F58" s="5" t="n"/>
      <c r="G58" s="5" t="n"/>
      <c r="H58" s="5" t="n"/>
    </row>
    <row r="59">
      <c r="A59" s="5" t="n"/>
      <c r="B59" s="5" t="n"/>
      <c r="C59" s="5" t="n"/>
      <c r="D59" s="5" t="n"/>
      <c r="E59" s="8" t="n"/>
      <c r="F59" s="5" t="n"/>
      <c r="G59" s="5" t="n"/>
      <c r="H59" s="5" t="n"/>
    </row>
    <row r="60">
      <c r="A60" s="5" t="n"/>
      <c r="B60" s="5" t="n"/>
      <c r="C60" s="5" t="n"/>
      <c r="D60" s="5" t="n"/>
      <c r="E60" s="8" t="n"/>
      <c r="F60" s="5" t="n"/>
      <c r="G60" s="5" t="n"/>
      <c r="H60" s="5" t="n"/>
    </row>
    <row r="61">
      <c r="A61" s="5" t="n"/>
      <c r="B61" s="5" t="n"/>
      <c r="C61" s="5" t="n"/>
      <c r="D61" s="5" t="n"/>
      <c r="E61" s="8" t="n"/>
      <c r="F61" s="5" t="n"/>
      <c r="G61" s="5" t="n"/>
      <c r="H61" s="5" t="n"/>
    </row>
    <row r="62">
      <c r="A62" s="5" t="n"/>
      <c r="B62" s="5" t="n"/>
      <c r="C62" s="5" t="n"/>
      <c r="D62" s="5" t="n"/>
      <c r="E62" s="8" t="n"/>
      <c r="F62" s="5" t="n"/>
      <c r="G62" s="5" t="n"/>
      <c r="H62" s="5" t="n"/>
    </row>
    <row r="63">
      <c r="A63" s="5" t="n"/>
      <c r="B63" s="5" t="n"/>
      <c r="C63" s="5" t="n"/>
      <c r="D63" s="5" t="n"/>
      <c r="E63" s="8" t="n"/>
      <c r="F63" s="5" t="n"/>
      <c r="G63" s="5" t="n"/>
      <c r="H63" s="5" t="n"/>
    </row>
    <row r="64">
      <c r="A64" s="5" t="n"/>
      <c r="B64" s="5" t="n"/>
      <c r="C64" s="5" t="n"/>
      <c r="D64" s="5" t="n"/>
      <c r="E64" s="8" t="n"/>
      <c r="F64" s="5" t="n"/>
      <c r="G64" s="5" t="n"/>
      <c r="H64" s="5" t="n"/>
    </row>
    <row r="65">
      <c r="A65" s="5" t="n"/>
      <c r="B65" s="5" t="n"/>
      <c r="C65" s="5" t="n"/>
      <c r="D65" s="5" t="n"/>
      <c r="E65" s="8" t="n"/>
      <c r="F65" s="5" t="n"/>
      <c r="G65" s="5" t="n"/>
      <c r="H65" s="5" t="n"/>
    </row>
    <row r="66">
      <c r="A66" s="5" t="n"/>
      <c r="B66" s="5" t="n"/>
      <c r="C66" s="5" t="n"/>
      <c r="D66" s="5" t="n"/>
      <c r="E66" s="8" t="n"/>
      <c r="F66" s="5" t="n"/>
      <c r="G66" s="5" t="n"/>
      <c r="H66" s="5" t="n"/>
    </row>
    <row r="67">
      <c r="A67" s="5" t="n"/>
      <c r="B67" s="5" t="n"/>
      <c r="C67" s="5" t="n"/>
      <c r="D67" s="5" t="n"/>
      <c r="E67" s="8" t="n"/>
      <c r="F67" s="5" t="n"/>
      <c r="G67" s="5" t="n"/>
      <c r="H67" s="5" t="n"/>
    </row>
    <row r="68">
      <c r="A68" s="5" t="n"/>
      <c r="B68" s="5" t="n"/>
      <c r="C68" s="5" t="n"/>
      <c r="D68" s="5" t="n"/>
      <c r="E68" s="8" t="n"/>
      <c r="F68" s="5" t="n"/>
      <c r="G68" s="5" t="n"/>
      <c r="H68" s="5" t="n"/>
    </row>
    <row r="69">
      <c r="A69" s="5" t="n"/>
      <c r="B69" s="5" t="n"/>
      <c r="C69" s="5" t="n"/>
      <c r="D69" s="5" t="n"/>
      <c r="E69" s="8" t="n"/>
      <c r="F69" s="5" t="n"/>
      <c r="G69" s="5" t="n"/>
      <c r="H69" s="5" t="n"/>
    </row>
    <row r="70">
      <c r="A70" s="5" t="n"/>
      <c r="B70" s="5" t="n"/>
      <c r="C70" s="5" t="n"/>
      <c r="D70" s="5" t="n"/>
      <c r="E70" s="8" t="n"/>
      <c r="F70" s="5" t="n"/>
      <c r="G70" s="5" t="n"/>
      <c r="H70" s="5" t="n"/>
    </row>
    <row r="71">
      <c r="A71" s="5" t="n"/>
      <c r="B71" s="5" t="n"/>
      <c r="C71" s="5" t="n"/>
      <c r="D71" s="5" t="n"/>
      <c r="E71" s="8" t="n"/>
      <c r="F71" s="5" t="n"/>
      <c r="G71" s="5" t="n"/>
      <c r="H71" s="5" t="n"/>
    </row>
    <row r="72">
      <c r="A72" s="5" t="n"/>
      <c r="B72" s="5" t="n"/>
      <c r="C72" s="5" t="n"/>
      <c r="D72" s="5" t="n"/>
      <c r="E72" s="8" t="n"/>
      <c r="F72" s="5" t="n"/>
      <c r="G72" s="5" t="n"/>
      <c r="H72" s="5" t="n"/>
    </row>
    <row r="73">
      <c r="A73" s="5" t="n"/>
      <c r="B73" s="5" t="n"/>
      <c r="C73" s="5" t="n"/>
      <c r="D73" s="5" t="n"/>
      <c r="E73" s="8" t="n"/>
      <c r="F73" s="5" t="n"/>
      <c r="G73" s="5" t="n"/>
      <c r="H73" s="5" t="n"/>
    </row>
    <row r="74">
      <c r="A74" s="5" t="n"/>
      <c r="B74" s="5" t="n"/>
      <c r="C74" s="5" t="n"/>
      <c r="D74" s="5" t="n"/>
      <c r="E74" s="8" t="n"/>
      <c r="F74" s="5" t="n"/>
      <c r="G74" s="5" t="n"/>
      <c r="H74" s="5" t="n"/>
    </row>
    <row r="75">
      <c r="A75" s="5" t="n"/>
      <c r="B75" s="5" t="n"/>
      <c r="C75" s="5" t="n"/>
      <c r="D75" s="5" t="n"/>
      <c r="E75" s="8" t="n"/>
      <c r="F75" s="5" t="n"/>
      <c r="G75" s="5" t="n"/>
      <c r="H75" s="5" t="n"/>
    </row>
    <row r="76">
      <c r="A76" s="5" t="n"/>
      <c r="B76" s="5" t="n"/>
      <c r="C76" s="5" t="n"/>
      <c r="D76" s="5" t="n"/>
      <c r="E76" s="8" t="n"/>
      <c r="F76" s="5" t="n"/>
      <c r="G76" s="5" t="n"/>
      <c r="H76" s="5" t="n"/>
    </row>
    <row r="77">
      <c r="A77" s="5" t="n"/>
      <c r="B77" s="5" t="n"/>
      <c r="C77" s="5" t="n"/>
      <c r="D77" s="5" t="n"/>
      <c r="E77" s="8" t="n"/>
      <c r="F77" s="5" t="n"/>
      <c r="G77" s="5" t="n"/>
      <c r="H77" s="5" t="n"/>
    </row>
    <row r="78">
      <c r="A78" s="5" t="n"/>
      <c r="B78" s="5" t="n"/>
      <c r="C78" s="5" t="n"/>
      <c r="D78" s="5" t="n"/>
      <c r="E78" s="8" t="n"/>
      <c r="F78" s="5" t="n"/>
      <c r="G78" s="5" t="n"/>
      <c r="H78" s="5" t="n"/>
    </row>
    <row r="79">
      <c r="A79" s="5" t="n"/>
      <c r="B79" s="5" t="n"/>
      <c r="C79" s="5" t="n"/>
      <c r="D79" s="5" t="n"/>
      <c r="E79" s="8" t="n"/>
      <c r="F79" s="5" t="n"/>
      <c r="G79" s="5" t="n"/>
      <c r="H79" s="5" t="n"/>
    </row>
    <row r="80">
      <c r="A80" s="5" t="n"/>
      <c r="B80" s="5" t="n"/>
      <c r="C80" s="5" t="n"/>
      <c r="D80" s="5" t="n"/>
      <c r="E80" s="8" t="n"/>
      <c r="F80" s="5" t="n"/>
      <c r="G80" s="5" t="n"/>
      <c r="H80" s="5" t="n"/>
    </row>
    <row r="81">
      <c r="A81" s="5" t="n"/>
      <c r="B81" s="5" t="n"/>
      <c r="C81" s="5" t="n"/>
      <c r="D81" s="5" t="n"/>
      <c r="E81" s="8" t="n"/>
      <c r="F81" s="5" t="n"/>
      <c r="G81" s="5" t="n"/>
      <c r="H81" s="5" t="n"/>
    </row>
    <row r="82">
      <c r="A82" s="5" t="n"/>
      <c r="B82" s="5" t="n"/>
      <c r="C82" s="5" t="n"/>
      <c r="D82" s="5" t="n"/>
      <c r="E82" s="8" t="n"/>
      <c r="F82" s="5" t="n"/>
      <c r="G82" s="5" t="n"/>
      <c r="H82" s="5" t="n"/>
    </row>
    <row r="83">
      <c r="A83" s="5" t="n"/>
      <c r="B83" s="5" t="n"/>
      <c r="C83" s="5" t="n"/>
      <c r="D83" s="5" t="n"/>
      <c r="E83" s="8" t="n"/>
      <c r="F83" s="5" t="n"/>
      <c r="G83" s="5" t="n"/>
      <c r="H83" s="5" t="n"/>
    </row>
    <row r="84">
      <c r="A84" s="5" t="n"/>
      <c r="B84" s="5" t="n"/>
      <c r="C84" s="5" t="n"/>
      <c r="D84" s="5" t="n"/>
      <c r="E84" s="8" t="n"/>
      <c r="F84" s="5" t="n"/>
      <c r="G84" s="5" t="n"/>
      <c r="H84" s="5" t="n"/>
    </row>
    <row r="85">
      <c r="A85" s="5" t="n"/>
      <c r="B85" s="5" t="n"/>
      <c r="C85" s="5" t="n"/>
      <c r="D85" s="5" t="n"/>
      <c r="E85" s="8" t="n"/>
      <c r="F85" s="5" t="n"/>
      <c r="G85" s="5" t="n"/>
      <c r="H85" s="5" t="n"/>
    </row>
    <row r="86">
      <c r="A86" s="5" t="n"/>
      <c r="B86" s="5" t="n"/>
      <c r="C86" s="5" t="n"/>
      <c r="D86" s="5" t="n"/>
      <c r="E86" s="8" t="n"/>
      <c r="F86" s="5" t="n"/>
      <c r="G86" s="5" t="n"/>
      <c r="H86" s="5" t="n"/>
    </row>
    <row r="87">
      <c r="A87" s="5" t="n"/>
      <c r="B87" s="5" t="n"/>
      <c r="C87" s="5" t="n"/>
      <c r="D87" s="5" t="n"/>
      <c r="E87" s="8" t="n"/>
      <c r="F87" s="5" t="n"/>
      <c r="G87" s="5" t="n"/>
      <c r="H87" s="5" t="n"/>
    </row>
    <row r="88">
      <c r="A88" s="5" t="n"/>
      <c r="B88" s="5" t="n"/>
      <c r="C88" s="5" t="n"/>
      <c r="D88" s="5" t="n"/>
      <c r="E88" s="8" t="n"/>
      <c r="F88" s="5" t="n"/>
      <c r="G88" s="5" t="n"/>
      <c r="H88" s="5" t="n"/>
    </row>
    <row r="89">
      <c r="A89" s="5" t="n"/>
      <c r="B89" s="5" t="n"/>
      <c r="C89" s="5" t="n"/>
      <c r="D89" s="5" t="n"/>
      <c r="E89" s="8" t="n"/>
      <c r="F89" s="5" t="n"/>
      <c r="G89" s="5" t="n"/>
      <c r="H89" s="5" t="n"/>
    </row>
    <row r="90">
      <c r="A90" s="5" t="n"/>
      <c r="B90" s="5" t="n"/>
      <c r="C90" s="5" t="n"/>
      <c r="D90" s="5" t="n"/>
      <c r="E90" s="8" t="n"/>
      <c r="F90" s="5" t="n"/>
      <c r="G90" s="5" t="n"/>
      <c r="H90" s="5" t="n"/>
    </row>
    <row r="91">
      <c r="A91" s="5" t="n"/>
      <c r="B91" s="5" t="n"/>
      <c r="C91" s="5" t="n"/>
      <c r="D91" s="5" t="n"/>
      <c r="E91" s="8" t="n"/>
      <c r="F91" s="5" t="n"/>
      <c r="G91" s="5" t="n"/>
      <c r="H91" s="5" t="n"/>
    </row>
    <row r="92">
      <c r="A92" s="5" t="n"/>
      <c r="B92" s="5" t="n"/>
      <c r="C92" s="5" t="n"/>
      <c r="D92" s="5" t="n"/>
      <c r="E92" s="8" t="n"/>
      <c r="F92" s="5" t="n"/>
      <c r="G92" s="5" t="n"/>
      <c r="H92" s="5" t="n"/>
    </row>
    <row r="93">
      <c r="A93" s="5" t="n"/>
      <c r="B93" s="5" t="n"/>
      <c r="C93" s="5" t="n"/>
      <c r="D93" s="5" t="n"/>
      <c r="E93" s="8" t="n"/>
      <c r="F93" s="5" t="n"/>
      <c r="G93" s="5" t="n"/>
      <c r="H93" s="5" t="n"/>
    </row>
    <row r="94">
      <c r="A94" s="5" t="n"/>
      <c r="B94" s="5" t="n"/>
      <c r="C94" s="5" t="n"/>
      <c r="D94" s="5" t="n"/>
      <c r="E94" s="8" t="n"/>
      <c r="F94" s="5" t="n"/>
      <c r="G94" s="5" t="n"/>
      <c r="H94" s="5" t="n"/>
    </row>
    <row r="95">
      <c r="A95" s="5" t="n"/>
      <c r="B95" s="5" t="n"/>
      <c r="C95" s="5" t="n"/>
      <c r="D95" s="5" t="n"/>
      <c r="E95" s="8" t="n"/>
      <c r="F95" s="5" t="n"/>
      <c r="G95" s="5" t="n"/>
      <c r="H95" s="5" t="n"/>
    </row>
    <row r="96">
      <c r="A96" s="5" t="n"/>
      <c r="B96" s="5" t="n"/>
      <c r="C96" s="5" t="n"/>
      <c r="D96" s="5" t="n"/>
      <c r="E96" s="8" t="n"/>
      <c r="F96" s="5" t="n"/>
      <c r="G96" s="5" t="n"/>
      <c r="H96" s="5" t="n"/>
    </row>
    <row r="97">
      <c r="A97" s="5" t="n"/>
      <c r="B97" s="5" t="n"/>
      <c r="C97" s="5" t="n"/>
      <c r="D97" s="5" t="n"/>
      <c r="E97" s="8" t="n"/>
      <c r="F97" s="5" t="n"/>
      <c r="G97" s="5" t="n"/>
      <c r="H97" s="5" t="n"/>
    </row>
    <row r="98">
      <c r="A98" s="5" t="n"/>
      <c r="B98" s="5" t="n"/>
      <c r="C98" s="5" t="n"/>
      <c r="D98" s="5" t="n"/>
      <c r="E98" s="8" t="n"/>
      <c r="F98" s="5" t="n"/>
      <c r="G98" s="5" t="n"/>
      <c r="H98" s="5" t="n"/>
    </row>
    <row r="99">
      <c r="A99" s="5" t="n"/>
      <c r="B99" s="5" t="n"/>
      <c r="C99" s="5" t="n"/>
      <c r="D99" s="5" t="n"/>
      <c r="E99" s="8" t="n"/>
      <c r="F99" s="5" t="n"/>
      <c r="G99" s="5" t="n"/>
      <c r="H99" s="5" t="n"/>
    </row>
    <row r="100">
      <c r="A100" s="5" t="n"/>
      <c r="B100" s="5" t="n"/>
      <c r="C100" s="5" t="n"/>
      <c r="D100" s="5" t="n"/>
      <c r="E100" s="8" t="n"/>
      <c r="F100" s="5" t="n"/>
      <c r="G100" s="5" t="n"/>
      <c r="H100" s="5" t="n"/>
    </row>
    <row r="101">
      <c r="A101" s="5" t="n"/>
      <c r="B101" s="5" t="n"/>
      <c r="C101" s="5" t="n"/>
      <c r="D101" s="5" t="n"/>
      <c r="E101" s="8" t="n"/>
      <c r="F101" s="5" t="n"/>
      <c r="G101" s="5" t="n"/>
      <c r="H101" s="5" t="n"/>
    </row>
    <row r="102">
      <c r="A102" s="5" t="n"/>
      <c r="B102" s="5" t="n"/>
      <c r="C102" s="5" t="n"/>
      <c r="D102" s="5" t="n"/>
      <c r="E102" s="8" t="n"/>
      <c r="F102" s="5" t="n"/>
      <c r="G102" s="5" t="n"/>
      <c r="H102" s="5" t="n"/>
    </row>
    <row r="103">
      <c r="A103" s="5" t="n"/>
      <c r="B103" s="5" t="n"/>
      <c r="C103" s="5" t="n"/>
      <c r="D103" s="5" t="n"/>
      <c r="E103" s="8" t="n"/>
      <c r="F103" s="5" t="n"/>
      <c r="G103" s="5" t="n"/>
      <c r="H103" s="5" t="n"/>
    </row>
    <row r="104">
      <c r="A104" s="5" t="n"/>
      <c r="B104" s="5" t="n"/>
      <c r="C104" s="5" t="n"/>
      <c r="D104" s="5" t="n"/>
      <c r="E104" s="8" t="n"/>
      <c r="F104" s="5" t="n"/>
      <c r="G104" s="5" t="n"/>
      <c r="H104" s="5" t="n"/>
    </row>
    <row r="105">
      <c r="A105" s="5" t="n"/>
      <c r="B105" s="5" t="n"/>
      <c r="C105" s="5" t="n"/>
      <c r="D105" s="5" t="n"/>
      <c r="E105" s="8" t="n"/>
      <c r="F105" s="5" t="n"/>
      <c r="G105" s="5" t="n"/>
      <c r="H105" s="5" t="n"/>
    </row>
    <row r="106">
      <c r="A106" s="5" t="n"/>
      <c r="B106" s="5" t="n"/>
      <c r="C106" s="5" t="n"/>
      <c r="D106" s="5" t="n"/>
      <c r="E106" s="8" t="n"/>
      <c r="F106" s="5" t="n"/>
      <c r="G106" s="5" t="n"/>
      <c r="H106" s="5" t="n"/>
    </row>
    <row r="107">
      <c r="A107" s="5" t="n"/>
      <c r="B107" s="5" t="n"/>
      <c r="C107" s="5" t="n"/>
      <c r="D107" s="5" t="n"/>
      <c r="E107" s="8" t="n"/>
      <c r="F107" s="5" t="n"/>
      <c r="G107" s="5" t="n"/>
      <c r="H107" s="5" t="n"/>
    </row>
    <row r="108">
      <c r="A108" s="5" t="n"/>
      <c r="B108" s="5" t="n"/>
      <c r="C108" s="5" t="n"/>
      <c r="D108" s="5" t="n"/>
      <c r="E108" s="8" t="n"/>
      <c r="F108" s="5" t="n"/>
      <c r="G108" s="5" t="n"/>
      <c r="H108" s="5" t="n"/>
    </row>
    <row r="109">
      <c r="A109" s="5" t="n"/>
      <c r="B109" s="5" t="n"/>
      <c r="C109" s="5" t="n"/>
      <c r="D109" s="5" t="n"/>
      <c r="E109" s="8" t="n"/>
      <c r="F109" s="5" t="n"/>
      <c r="G109" s="5" t="n"/>
      <c r="H109" s="5" t="n"/>
    </row>
    <row r="110">
      <c r="A110" s="5" t="n"/>
      <c r="B110" s="5" t="n"/>
      <c r="C110" s="5" t="n"/>
      <c r="D110" s="5" t="n"/>
      <c r="E110" s="8" t="n"/>
      <c r="F110" s="5" t="n"/>
      <c r="G110" s="5" t="n"/>
      <c r="H110" s="5" t="n"/>
    </row>
    <row r="111">
      <c r="A111" s="5" t="n"/>
      <c r="B111" s="5" t="n"/>
      <c r="C111" s="5" t="n"/>
      <c r="D111" s="5" t="n"/>
      <c r="E111" s="8" t="n"/>
      <c r="F111" s="5" t="n"/>
      <c r="G111" s="5" t="n"/>
      <c r="H111" s="5" t="n"/>
    </row>
    <row r="112">
      <c r="A112" s="5" t="n"/>
      <c r="B112" s="5" t="n"/>
      <c r="C112" s="5" t="n"/>
      <c r="D112" s="5" t="n"/>
      <c r="E112" s="8" t="n"/>
      <c r="F112" s="5" t="n"/>
      <c r="G112" s="5" t="n"/>
      <c r="H112" s="5" t="n"/>
    </row>
    <row r="113">
      <c r="A113" s="5" t="n"/>
      <c r="B113" s="5" t="n"/>
      <c r="C113" s="5" t="n"/>
      <c r="D113" s="5" t="n"/>
      <c r="E113" s="8" t="n"/>
      <c r="F113" s="5" t="n"/>
      <c r="G113" s="5" t="n"/>
      <c r="H113" s="5" t="n"/>
    </row>
    <row r="114">
      <c r="A114" s="5" t="n"/>
      <c r="B114" s="5" t="n"/>
      <c r="C114" s="5" t="n"/>
      <c r="D114" s="5" t="n"/>
      <c r="E114" s="8" t="n"/>
      <c r="F114" s="5" t="n"/>
      <c r="G114" s="5" t="n"/>
      <c r="H114" s="5" t="n"/>
    </row>
    <row r="115">
      <c r="A115" s="5" t="n"/>
      <c r="B115" s="5" t="n"/>
      <c r="C115" s="5" t="n"/>
      <c r="D115" s="5" t="n"/>
      <c r="E115" s="8" t="n"/>
      <c r="F115" s="5" t="n"/>
      <c r="G115" s="5" t="n"/>
      <c r="H115" s="5" t="n"/>
    </row>
    <row r="116">
      <c r="A116" s="5" t="n"/>
      <c r="B116" s="5" t="n"/>
      <c r="C116" s="5" t="n"/>
      <c r="D116" s="5" t="n"/>
      <c r="E116" s="8" t="n"/>
      <c r="F116" s="5" t="n"/>
      <c r="G116" s="5" t="n"/>
      <c r="H116" s="5" t="n"/>
    </row>
    <row r="117">
      <c r="A117" s="5" t="n"/>
      <c r="B117" s="5" t="n"/>
      <c r="C117" s="5" t="n"/>
      <c r="D117" s="5" t="n"/>
      <c r="E117" s="8" t="n"/>
      <c r="F117" s="5" t="n"/>
      <c r="G117" s="5" t="n"/>
      <c r="H117" s="5" t="n"/>
    </row>
    <row r="118">
      <c r="A118" s="5" t="n"/>
      <c r="B118" s="5" t="n"/>
      <c r="C118" s="5" t="n"/>
      <c r="D118" s="5" t="n"/>
      <c r="E118" s="8" t="n"/>
      <c r="F118" s="5" t="n"/>
      <c r="G118" s="5" t="n"/>
      <c r="H118" s="5" t="n"/>
    </row>
    <row r="119">
      <c r="A119" s="5" t="n"/>
      <c r="B119" s="5" t="n"/>
      <c r="C119" s="5" t="n"/>
      <c r="D119" s="5" t="n"/>
      <c r="E119" s="8" t="n"/>
      <c r="F119" s="5" t="n"/>
      <c r="G119" s="5" t="n"/>
      <c r="H119" s="5" t="n"/>
    </row>
    <row r="120">
      <c r="A120" s="5" t="n"/>
      <c r="B120" s="5" t="n"/>
      <c r="C120" s="5" t="n"/>
      <c r="D120" s="5" t="n"/>
      <c r="E120" s="8" t="n"/>
      <c r="F120" s="5" t="n"/>
      <c r="G120" s="5" t="n"/>
      <c r="H120" s="5" t="n"/>
    </row>
    <row r="121">
      <c r="A121" s="5" t="n"/>
      <c r="B121" s="5" t="n"/>
      <c r="C121" s="5" t="n"/>
      <c r="D121" s="5" t="n"/>
      <c r="E121" s="8" t="n"/>
      <c r="F121" s="5" t="n"/>
      <c r="G121" s="5" t="n"/>
      <c r="H121" s="5" t="n"/>
    </row>
    <row r="122">
      <c r="A122" s="5" t="n"/>
      <c r="B122" s="5" t="n"/>
      <c r="C122" s="5" t="n"/>
      <c r="D122" s="5" t="n"/>
      <c r="E122" s="8" t="n"/>
      <c r="F122" s="5" t="n"/>
      <c r="G122" s="5" t="n"/>
      <c r="H122" s="5" t="n"/>
    </row>
    <row r="123">
      <c r="A123" s="5" t="n"/>
      <c r="B123" s="5" t="n"/>
      <c r="C123" s="5" t="n"/>
      <c r="D123" s="5" t="n"/>
      <c r="E123" s="8" t="n"/>
      <c r="F123" s="5" t="n"/>
      <c r="G123" s="5" t="n"/>
      <c r="H123" s="5" t="n"/>
    </row>
    <row r="124">
      <c r="A124" s="5" t="n"/>
      <c r="B124" s="5" t="n"/>
      <c r="C124" s="5" t="n"/>
      <c r="D124" s="5" t="n"/>
      <c r="E124" s="8" t="n"/>
      <c r="F124" s="5" t="n"/>
      <c r="G124" s="5" t="n"/>
      <c r="H124" s="5" t="n"/>
    </row>
    <row r="125">
      <c r="A125" s="5" t="n"/>
      <c r="B125" s="5" t="n"/>
      <c r="C125" s="5" t="n"/>
      <c r="D125" s="5" t="n"/>
      <c r="E125" s="8" t="n"/>
      <c r="F125" s="5" t="n"/>
      <c r="G125" s="5" t="n"/>
      <c r="H125" s="5" t="n"/>
    </row>
    <row r="126">
      <c r="A126" s="5" t="n"/>
      <c r="B126" s="5" t="n"/>
      <c r="C126" s="5" t="n"/>
      <c r="D126" s="5" t="n"/>
      <c r="E126" s="8" t="n"/>
      <c r="F126" s="5" t="n"/>
      <c r="G126" s="5" t="n"/>
      <c r="H126" s="5" t="n"/>
    </row>
    <row r="127">
      <c r="A127" s="5" t="n"/>
      <c r="B127" s="5" t="n"/>
      <c r="C127" s="5" t="n"/>
      <c r="D127" s="5" t="n"/>
      <c r="E127" s="8" t="n"/>
      <c r="F127" s="5" t="n"/>
      <c r="G127" s="5" t="n"/>
      <c r="H127" s="5" t="n"/>
    </row>
    <row r="128">
      <c r="A128" s="5" t="n"/>
      <c r="B128" s="5" t="n"/>
      <c r="C128" s="5" t="n"/>
      <c r="D128" s="5" t="n"/>
      <c r="E128" s="8" t="n"/>
      <c r="F128" s="5" t="n"/>
      <c r="G128" s="5" t="n"/>
      <c r="H128" s="5" t="n"/>
    </row>
    <row r="129">
      <c r="A129" s="5" t="n"/>
      <c r="B129" s="5" t="n"/>
      <c r="C129" s="5" t="n"/>
      <c r="D129" s="5" t="n"/>
      <c r="E129" s="8" t="n"/>
      <c r="F129" s="5" t="n"/>
      <c r="G129" s="5" t="n"/>
      <c r="H129" s="5" t="n"/>
    </row>
    <row r="130">
      <c r="A130" s="5" t="n"/>
      <c r="B130" s="5" t="n"/>
      <c r="C130" s="5" t="n"/>
      <c r="D130" s="5" t="n"/>
      <c r="E130" s="8" t="n"/>
      <c r="F130" s="5" t="n"/>
      <c r="G130" s="5" t="n"/>
      <c r="H130" s="5" t="n"/>
    </row>
    <row r="131">
      <c r="A131" s="5" t="n"/>
      <c r="B131" s="5" t="n"/>
      <c r="C131" s="5" t="n"/>
      <c r="D131" s="5" t="n"/>
      <c r="E131" s="8" t="n"/>
      <c r="F131" s="5" t="n"/>
      <c r="G131" s="5" t="n"/>
      <c r="H131" s="5" t="n"/>
    </row>
    <row r="132">
      <c r="A132" s="5" t="n"/>
      <c r="B132" s="5" t="n"/>
      <c r="C132" s="5" t="n"/>
      <c r="D132" s="5" t="n"/>
      <c r="E132" s="8" t="n"/>
      <c r="F132" s="5" t="n"/>
      <c r="G132" s="5" t="n"/>
      <c r="H132" s="5" t="n"/>
    </row>
    <row r="133">
      <c r="A133" s="5" t="n"/>
      <c r="B133" s="5" t="n"/>
      <c r="C133" s="5" t="n"/>
      <c r="D133" s="5" t="n"/>
      <c r="E133" s="8" t="n"/>
      <c r="F133" s="5" t="n"/>
      <c r="G133" s="5" t="n"/>
      <c r="H133" s="5" t="n"/>
    </row>
    <row r="134">
      <c r="A134" s="5" t="n"/>
      <c r="B134" s="5" t="n"/>
      <c r="C134" s="5" t="n"/>
      <c r="D134" s="5" t="n"/>
      <c r="E134" s="8" t="n"/>
      <c r="F134" s="5" t="n"/>
      <c r="G134" s="5" t="n"/>
      <c r="H134" s="5" t="n"/>
    </row>
    <row r="135">
      <c r="A135" s="5" t="n"/>
      <c r="B135" s="5" t="n"/>
      <c r="C135" s="5" t="n"/>
      <c r="D135" s="5" t="n"/>
      <c r="E135" s="8" t="n"/>
      <c r="F135" s="5" t="n"/>
      <c r="G135" s="5" t="n"/>
      <c r="H135" s="5" t="n"/>
    </row>
    <row r="136">
      <c r="A136" s="5" t="n"/>
      <c r="B136" s="5" t="n"/>
      <c r="C136" s="5" t="n"/>
      <c r="D136" s="5" t="n"/>
      <c r="E136" s="8" t="n"/>
      <c r="F136" s="5" t="n"/>
      <c r="G136" s="5" t="n"/>
      <c r="H136" s="5" t="n"/>
    </row>
    <row r="137">
      <c r="A137" s="5" t="n"/>
      <c r="B137" s="5" t="n"/>
      <c r="C137" s="5" t="n"/>
      <c r="D137" s="5" t="n"/>
      <c r="E137" s="8" t="n"/>
      <c r="F137" s="5" t="n"/>
      <c r="G137" s="5" t="n"/>
      <c r="H137" s="5" t="n"/>
    </row>
    <row r="138">
      <c r="A138" s="5" t="n"/>
      <c r="B138" s="5" t="n"/>
      <c r="C138" s="5" t="n"/>
      <c r="D138" s="5" t="n"/>
      <c r="E138" s="8" t="n"/>
      <c r="F138" s="5" t="n"/>
      <c r="G138" s="5" t="n"/>
      <c r="H138" s="5" t="n"/>
    </row>
    <row r="139">
      <c r="A139" s="5" t="n"/>
      <c r="B139" s="5" t="n"/>
      <c r="C139" s="5" t="n"/>
      <c r="D139" s="5" t="n"/>
      <c r="E139" s="8" t="n"/>
      <c r="F139" s="5" t="n"/>
      <c r="G139" s="5" t="n"/>
      <c r="H139" s="5" t="n"/>
    </row>
    <row r="140">
      <c r="A140" s="5" t="n"/>
      <c r="B140" s="5" t="n"/>
      <c r="C140" s="5" t="n"/>
      <c r="D140" s="5" t="n"/>
      <c r="E140" s="8" t="n"/>
      <c r="F140" s="5" t="n"/>
      <c r="G140" s="5" t="n"/>
      <c r="H140" s="5" t="n"/>
    </row>
    <row r="141">
      <c r="A141" s="5" t="n"/>
      <c r="B141" s="5" t="n"/>
      <c r="C141" s="5" t="n"/>
      <c r="D141" s="5" t="n"/>
      <c r="E141" s="8" t="n"/>
      <c r="F141" s="5" t="n"/>
      <c r="G141" s="5" t="n"/>
      <c r="H141" s="5" t="n"/>
    </row>
    <row r="142">
      <c r="A142" s="5" t="n"/>
      <c r="B142" s="5" t="n"/>
      <c r="C142" s="5" t="n"/>
      <c r="D142" s="5" t="n"/>
      <c r="E142" s="8" t="n"/>
      <c r="F142" s="5" t="n"/>
      <c r="G142" s="5" t="n"/>
      <c r="H142" s="5" t="n"/>
    </row>
    <row r="143">
      <c r="A143" s="5" t="n"/>
      <c r="B143" s="5" t="n"/>
      <c r="C143" s="5" t="n"/>
      <c r="D143" s="5" t="n"/>
      <c r="E143" s="8" t="n"/>
      <c r="F143" s="5" t="n"/>
      <c r="G143" s="5" t="n"/>
      <c r="H143" s="5" t="n"/>
    </row>
    <row r="144">
      <c r="A144" s="5" t="n"/>
      <c r="B144" s="5" t="n"/>
      <c r="C144" s="5" t="n"/>
      <c r="D144" s="5" t="n"/>
      <c r="E144" s="8" t="n"/>
      <c r="F144" s="5" t="n"/>
      <c r="G144" s="5" t="n"/>
      <c r="H144" s="5" t="n"/>
    </row>
    <row r="145">
      <c r="A145" s="5" t="n"/>
      <c r="B145" s="5" t="n"/>
      <c r="C145" s="5" t="n"/>
      <c r="D145" s="5" t="n"/>
      <c r="E145" s="8" t="n"/>
      <c r="F145" s="5" t="n"/>
      <c r="G145" s="5" t="n"/>
      <c r="H145" s="5" t="n"/>
    </row>
    <row r="146">
      <c r="A146" s="5" t="n"/>
      <c r="B146" s="5" t="n"/>
      <c r="C146" s="5" t="n"/>
      <c r="D146" s="5" t="n"/>
      <c r="E146" s="8" t="n"/>
      <c r="F146" s="5" t="n"/>
      <c r="G146" s="5" t="n"/>
      <c r="H146" s="5" t="n"/>
    </row>
    <row r="147">
      <c r="A147" s="5" t="n"/>
      <c r="B147" s="5" t="n"/>
      <c r="C147" s="5" t="n"/>
      <c r="D147" s="5" t="n"/>
      <c r="E147" s="8" t="n"/>
      <c r="F147" s="5" t="n"/>
      <c r="G147" s="5" t="n"/>
      <c r="H147" s="5" t="n"/>
    </row>
    <row r="148">
      <c r="A148" s="5" t="n"/>
      <c r="B148" s="5" t="n"/>
      <c r="C148" s="5" t="n"/>
      <c r="D148" s="5" t="n"/>
      <c r="E148" s="8" t="n"/>
      <c r="F148" s="5" t="n"/>
      <c r="G148" s="5" t="n"/>
      <c r="H148" s="5" t="n"/>
    </row>
    <row r="149">
      <c r="A149" s="5" t="n"/>
      <c r="B149" s="5" t="n"/>
      <c r="C149" s="5" t="n"/>
      <c r="D149" s="5" t="n"/>
      <c r="E149" s="8" t="n"/>
      <c r="F149" s="5" t="n"/>
      <c r="G149" s="5" t="n"/>
      <c r="H149" s="5" t="n"/>
    </row>
    <row r="150">
      <c r="A150" s="5" t="n"/>
      <c r="B150" s="5" t="n"/>
      <c r="C150" s="5" t="n"/>
      <c r="D150" s="5" t="n"/>
      <c r="E150" s="8" t="n"/>
      <c r="F150" s="5" t="n"/>
      <c r="G150" s="5" t="n"/>
      <c r="H150" s="5" t="n"/>
    </row>
    <row r="151">
      <c r="A151" s="5" t="n"/>
      <c r="B151" s="5" t="n"/>
      <c r="C151" s="5" t="n"/>
      <c r="D151" s="5" t="n"/>
      <c r="E151" s="8" t="n"/>
      <c r="F151" s="5" t="n"/>
      <c r="G151" s="5" t="n"/>
      <c r="H151" s="5" t="n"/>
    </row>
    <row r="152">
      <c r="A152" s="5" t="n"/>
      <c r="B152" s="5" t="n"/>
      <c r="C152" s="5" t="n"/>
      <c r="D152" s="5" t="n"/>
      <c r="E152" s="8" t="n"/>
      <c r="F152" s="5" t="n"/>
      <c r="G152" s="5" t="n"/>
      <c r="H152" s="5" t="n"/>
    </row>
    <row r="153">
      <c r="A153" s="5" t="n"/>
      <c r="B153" s="5" t="n"/>
      <c r="C153" s="5" t="n"/>
      <c r="D153" s="5" t="n"/>
      <c r="E153" s="8" t="n"/>
      <c r="F153" s="5" t="n"/>
      <c r="G153" s="5" t="n"/>
      <c r="H153" s="5" t="n"/>
    </row>
    <row r="154">
      <c r="A154" s="5" t="n"/>
      <c r="B154" s="5" t="n"/>
      <c r="C154" s="5" t="n"/>
      <c r="D154" s="5" t="n"/>
      <c r="E154" s="8" t="n"/>
      <c r="F154" s="5" t="n"/>
      <c r="G154" s="5" t="n"/>
      <c r="H154" s="5" t="n"/>
    </row>
    <row r="155">
      <c r="A155" s="5" t="n"/>
      <c r="B155" s="5" t="n"/>
      <c r="C155" s="5" t="n"/>
      <c r="D155" s="5" t="n"/>
      <c r="E155" s="8" t="n"/>
      <c r="F155" s="5" t="n"/>
      <c r="G155" s="5" t="n"/>
      <c r="H155" s="5" t="n"/>
    </row>
    <row r="156">
      <c r="A156" s="5" t="n"/>
      <c r="B156" s="5" t="n"/>
      <c r="C156" s="5" t="n"/>
      <c r="D156" s="5" t="n"/>
      <c r="E156" s="8" t="n"/>
      <c r="F156" s="5" t="n"/>
      <c r="G156" s="5" t="n"/>
      <c r="H156" s="5" t="n"/>
    </row>
    <row r="157">
      <c r="A157" s="5" t="n"/>
      <c r="B157" s="5" t="n"/>
      <c r="C157" s="5" t="n"/>
      <c r="D157" s="5" t="n"/>
      <c r="E157" s="8" t="n"/>
      <c r="F157" s="5" t="n"/>
      <c r="G157" s="5" t="n"/>
      <c r="H157" s="5" t="n"/>
    </row>
    <row r="158">
      <c r="A158" s="5" t="n"/>
      <c r="B158" s="5" t="n"/>
      <c r="C158" s="5" t="n"/>
      <c r="D158" s="5" t="n"/>
      <c r="E158" s="8" t="n"/>
      <c r="F158" s="5" t="n"/>
      <c r="G158" s="5" t="n"/>
      <c r="H158" s="5" t="n"/>
    </row>
    <row r="159">
      <c r="A159" s="5" t="n"/>
      <c r="B159" s="5" t="n"/>
      <c r="C159" s="5" t="n"/>
      <c r="D159" s="5" t="n"/>
      <c r="E159" s="8" t="n"/>
      <c r="F159" s="5" t="n"/>
      <c r="G159" s="5" t="n"/>
      <c r="H159" s="5" t="n"/>
    </row>
    <row r="160">
      <c r="A160" s="5" t="n"/>
      <c r="B160" s="5" t="n"/>
      <c r="C160" s="5" t="n"/>
      <c r="D160" s="5" t="n"/>
      <c r="E160" s="8" t="n"/>
      <c r="F160" s="5" t="n"/>
      <c r="G160" s="5" t="n"/>
      <c r="H160" s="5" t="n"/>
    </row>
    <row r="161">
      <c r="A161" s="5" t="n"/>
      <c r="B161" s="5" t="n"/>
      <c r="C161" s="5" t="n"/>
      <c r="D161" s="5" t="n"/>
      <c r="E161" s="8" t="n"/>
      <c r="F161" s="5" t="n"/>
      <c r="G161" s="5" t="n"/>
      <c r="H161" s="5" t="n"/>
    </row>
    <row r="162">
      <c r="A162" s="5" t="n"/>
      <c r="B162" s="5" t="n"/>
      <c r="C162" s="5" t="n"/>
      <c r="D162" s="5" t="n"/>
      <c r="E162" s="8" t="n"/>
      <c r="F162" s="5" t="n"/>
      <c r="G162" s="5" t="n"/>
      <c r="H162" s="5" t="n"/>
    </row>
    <row r="163">
      <c r="A163" s="5" t="n"/>
      <c r="B163" s="5" t="n"/>
      <c r="C163" s="5" t="n"/>
      <c r="D163" s="5" t="n"/>
      <c r="E163" s="8" t="n"/>
      <c r="F163" s="5" t="n"/>
      <c r="G163" s="5" t="n"/>
      <c r="H163" s="5" t="n"/>
    </row>
    <row r="164">
      <c r="A164" s="5" t="n"/>
      <c r="B164" s="5" t="n"/>
      <c r="C164" s="5" t="n"/>
      <c r="D164" s="5" t="n"/>
      <c r="E164" s="8" t="n"/>
      <c r="F164" s="5" t="n"/>
      <c r="G164" s="5" t="n"/>
      <c r="H164" s="5" t="n"/>
    </row>
    <row r="165">
      <c r="A165" s="5" t="n"/>
      <c r="B165" s="5" t="n"/>
      <c r="C165" s="5" t="n"/>
      <c r="D165" s="5" t="n"/>
      <c r="E165" s="8" t="n"/>
      <c r="F165" s="5" t="n"/>
      <c r="G165" s="5" t="n"/>
      <c r="H165" s="5" t="n"/>
    </row>
    <row r="166">
      <c r="A166" s="5" t="n"/>
      <c r="B166" s="5" t="n"/>
      <c r="C166" s="5" t="n"/>
      <c r="D166" s="5" t="n"/>
      <c r="E166" s="8" t="n"/>
      <c r="F166" s="5" t="n"/>
      <c r="G166" s="5" t="n"/>
      <c r="H166" s="5" t="n"/>
    </row>
    <row r="167">
      <c r="A167" s="5" t="n"/>
      <c r="B167" s="5" t="n"/>
      <c r="C167" s="5" t="n"/>
      <c r="D167" s="5" t="n"/>
      <c r="E167" s="8" t="n"/>
      <c r="F167" s="5" t="n"/>
      <c r="G167" s="5" t="n"/>
      <c r="H167" s="5" t="n"/>
    </row>
    <row r="168">
      <c r="A168" s="5" t="n"/>
      <c r="B168" s="5" t="n"/>
      <c r="C168" s="5" t="n"/>
      <c r="D168" s="5" t="n"/>
      <c r="E168" s="8" t="n"/>
      <c r="F168" s="5" t="n"/>
      <c r="G168" s="5" t="n"/>
      <c r="H168" s="5" t="n"/>
    </row>
    <row r="169">
      <c r="A169" s="5" t="n"/>
      <c r="B169" s="5" t="n"/>
      <c r="C169" s="5" t="n"/>
      <c r="D169" s="5" t="n"/>
      <c r="E169" s="8" t="n"/>
      <c r="F169" s="5" t="n"/>
      <c r="G169" s="5" t="n"/>
      <c r="H169" s="5" t="n"/>
    </row>
    <row r="170">
      <c r="A170" s="5" t="n"/>
      <c r="B170" s="5" t="n"/>
      <c r="C170" s="5" t="n"/>
      <c r="D170" s="5" t="n"/>
      <c r="E170" s="8" t="n"/>
      <c r="F170" s="5" t="n"/>
      <c r="G170" s="5" t="n"/>
      <c r="H170" s="5" t="n"/>
    </row>
    <row r="171">
      <c r="A171" s="5" t="n"/>
      <c r="B171" s="5" t="n"/>
      <c r="C171" s="5" t="n"/>
      <c r="D171" s="5" t="n"/>
      <c r="E171" s="8" t="n"/>
      <c r="F171" s="5" t="n"/>
      <c r="G171" s="5" t="n"/>
      <c r="H171" s="5" t="n"/>
    </row>
    <row r="172">
      <c r="A172" s="5" t="n"/>
      <c r="B172" s="5" t="n"/>
      <c r="C172" s="5" t="n"/>
      <c r="D172" s="5" t="n"/>
      <c r="E172" s="8" t="n"/>
      <c r="F172" s="5" t="n"/>
      <c r="G172" s="5" t="n"/>
      <c r="H172" s="5" t="n"/>
    </row>
    <row r="173">
      <c r="A173" s="5" t="n"/>
      <c r="B173" s="5" t="n"/>
      <c r="C173" s="5" t="n"/>
      <c r="D173" s="5" t="n"/>
      <c r="E173" s="8" t="n"/>
      <c r="F173" s="5" t="n"/>
      <c r="G173" s="5" t="n"/>
      <c r="H173" s="5" t="n"/>
    </row>
    <row r="174">
      <c r="A174" s="5" t="n"/>
      <c r="B174" s="5" t="n"/>
      <c r="C174" s="5" t="n"/>
      <c r="D174" s="5" t="n"/>
      <c r="E174" s="8" t="n"/>
      <c r="F174" s="5" t="n"/>
      <c r="G174" s="5" t="n"/>
      <c r="H174" s="5" t="n"/>
    </row>
    <row r="175">
      <c r="A175" s="5" t="n"/>
      <c r="B175" s="5" t="n"/>
      <c r="C175" s="5" t="n"/>
      <c r="D175" s="5" t="n"/>
      <c r="E175" s="8" t="n"/>
      <c r="F175" s="5" t="n"/>
      <c r="G175" s="5" t="n"/>
      <c r="H175" s="5" t="n"/>
    </row>
    <row r="176">
      <c r="A176" s="5" t="n"/>
      <c r="B176" s="5" t="n"/>
      <c r="C176" s="5" t="n"/>
      <c r="D176" s="5" t="n"/>
      <c r="E176" s="8" t="n"/>
      <c r="F176" s="5" t="n"/>
      <c r="G176" s="5" t="n"/>
      <c r="H176" s="5" t="n"/>
    </row>
    <row r="177">
      <c r="A177" s="5" t="n"/>
      <c r="B177" s="5" t="n"/>
      <c r="C177" s="5" t="n"/>
      <c r="D177" s="5" t="n"/>
      <c r="E177" s="8" t="n"/>
      <c r="F177" s="5" t="n"/>
      <c r="G177" s="5" t="n"/>
      <c r="H177" s="5" t="n"/>
    </row>
    <row r="178">
      <c r="A178" s="5" t="n"/>
      <c r="B178" s="5" t="n"/>
      <c r="C178" s="5" t="n"/>
      <c r="D178" s="5" t="n"/>
      <c r="E178" s="8" t="n"/>
      <c r="F178" s="5" t="n"/>
      <c r="G178" s="5" t="n"/>
      <c r="H178" s="5" t="n"/>
    </row>
    <row r="179">
      <c r="A179" s="5" t="n"/>
      <c r="B179" s="5" t="n"/>
      <c r="C179" s="5" t="n"/>
      <c r="D179" s="5" t="n"/>
      <c r="E179" s="8" t="n"/>
      <c r="F179" s="5" t="n"/>
      <c r="G179" s="5" t="n"/>
      <c r="H179" s="5" t="n"/>
    </row>
    <row r="180">
      <c r="A180" s="5" t="n"/>
      <c r="B180" s="5" t="n"/>
      <c r="C180" s="5" t="n"/>
      <c r="D180" s="5" t="n"/>
      <c r="E180" s="8" t="n"/>
      <c r="F180" s="5" t="n"/>
      <c r="G180" s="5" t="n"/>
      <c r="H180" s="5" t="n"/>
    </row>
    <row r="181">
      <c r="A181" s="5" t="n"/>
      <c r="B181" s="5" t="n"/>
      <c r="C181" s="5" t="n"/>
      <c r="D181" s="5" t="n"/>
      <c r="E181" s="8" t="n"/>
      <c r="F181" s="5" t="n"/>
      <c r="G181" s="5" t="n"/>
      <c r="H181" s="5" t="n"/>
    </row>
    <row r="182">
      <c r="A182" s="5" t="n"/>
      <c r="B182" s="5" t="n"/>
      <c r="C182" s="5" t="n"/>
      <c r="D182" s="5" t="n"/>
      <c r="E182" s="8" t="n"/>
      <c r="F182" s="5" t="n"/>
      <c r="G182" s="5" t="n"/>
      <c r="H182" s="5" t="n"/>
    </row>
    <row r="183">
      <c r="A183" s="5" t="n"/>
      <c r="B183" s="5" t="n"/>
      <c r="C183" s="5" t="n"/>
      <c r="D183" s="5" t="n"/>
      <c r="E183" s="8" t="n"/>
      <c r="F183" s="5" t="n"/>
      <c r="G183" s="5" t="n"/>
      <c r="H183" s="5" t="n"/>
    </row>
    <row r="184">
      <c r="A184" s="5" t="n"/>
      <c r="B184" s="5" t="n"/>
      <c r="C184" s="5" t="n"/>
      <c r="D184" s="5" t="n"/>
      <c r="E184" s="8" t="n"/>
      <c r="F184" s="5" t="n"/>
      <c r="G184" s="5" t="n"/>
      <c r="H184" s="5" t="n"/>
    </row>
    <row r="185">
      <c r="A185" s="5" t="n"/>
      <c r="B185" s="5" t="n"/>
      <c r="C185" s="5" t="n"/>
      <c r="D185" s="5" t="n"/>
      <c r="E185" s="8" t="n"/>
      <c r="F185" s="5" t="n"/>
      <c r="G185" s="5" t="n"/>
      <c r="H185" s="5" t="n"/>
    </row>
    <row r="186">
      <c r="A186" s="5" t="n"/>
      <c r="B186" s="5" t="n"/>
      <c r="C186" s="5" t="n"/>
      <c r="D186" s="5" t="n"/>
      <c r="E186" s="8" t="n"/>
      <c r="F186" s="5" t="n"/>
      <c r="G186" s="5" t="n"/>
      <c r="H186" s="5" t="n"/>
    </row>
    <row r="187">
      <c r="A187" s="5" t="n"/>
      <c r="B187" s="5" t="n"/>
      <c r="C187" s="5" t="n"/>
      <c r="D187" s="5" t="n"/>
      <c r="E187" s="8" t="n"/>
      <c r="F187" s="5" t="n"/>
      <c r="G187" s="5" t="n"/>
      <c r="H187" s="5" t="n"/>
    </row>
    <row r="188">
      <c r="A188" s="5" t="n"/>
      <c r="B188" s="5" t="n"/>
      <c r="C188" s="5" t="n"/>
      <c r="D188" s="5" t="n"/>
      <c r="E188" s="8" t="n"/>
      <c r="F188" s="5" t="n"/>
      <c r="G188" s="5" t="n"/>
      <c r="H188" s="5" t="n"/>
    </row>
    <row r="189">
      <c r="A189" s="5" t="n"/>
      <c r="B189" s="5" t="n"/>
      <c r="C189" s="5" t="n"/>
      <c r="D189" s="5" t="n"/>
      <c r="E189" s="8" t="n"/>
      <c r="F189" s="5" t="n"/>
      <c r="G189" s="5" t="n"/>
      <c r="H189" s="5" t="n"/>
    </row>
    <row r="190">
      <c r="A190" s="5" t="n"/>
      <c r="B190" s="5" t="n"/>
      <c r="C190" s="5" t="n"/>
      <c r="D190" s="5" t="n"/>
      <c r="E190" s="8" t="n"/>
      <c r="F190" s="5" t="n"/>
      <c r="G190" s="5" t="n"/>
      <c r="H190" s="5" t="n"/>
    </row>
    <row r="191">
      <c r="A191" s="5" t="n"/>
      <c r="B191" s="5" t="n"/>
      <c r="C191" s="5" t="n"/>
      <c r="D191" s="5" t="n"/>
      <c r="E191" s="8" t="n"/>
      <c r="F191" s="5" t="n"/>
      <c r="G191" s="5" t="n"/>
      <c r="H191" s="5" t="n"/>
    </row>
    <row r="192">
      <c r="A192" s="5" t="n"/>
      <c r="B192" s="5" t="n"/>
      <c r="C192" s="5" t="n"/>
      <c r="D192" s="5" t="n"/>
      <c r="E192" s="8" t="n"/>
      <c r="F192" s="5" t="n"/>
      <c r="G192" s="5" t="n"/>
      <c r="H192" s="5" t="n"/>
    </row>
    <row r="193">
      <c r="A193" s="5" t="n"/>
      <c r="B193" s="5" t="n"/>
      <c r="C193" s="5" t="n"/>
      <c r="D193" s="5" t="n"/>
      <c r="E193" s="8" t="n"/>
      <c r="F193" s="5" t="n"/>
      <c r="G193" s="5" t="n"/>
      <c r="H193" s="5" t="n"/>
    </row>
    <row r="194">
      <c r="A194" s="5" t="n"/>
      <c r="B194" s="5" t="n"/>
      <c r="C194" s="5" t="n"/>
      <c r="D194" s="5" t="n"/>
      <c r="E194" s="8" t="n"/>
      <c r="F194" s="5" t="n"/>
      <c r="G194" s="5" t="n"/>
      <c r="H194" s="5" t="n"/>
    </row>
    <row r="195">
      <c r="A195" s="5" t="n"/>
      <c r="B195" s="5" t="n"/>
      <c r="C195" s="5" t="n"/>
      <c r="D195" s="5" t="n"/>
      <c r="E195" s="8" t="n"/>
      <c r="F195" s="5" t="n"/>
      <c r="G195" s="5" t="n"/>
      <c r="H195" s="5" t="n"/>
    </row>
    <row r="196">
      <c r="A196" s="5" t="n"/>
      <c r="B196" s="5" t="n"/>
      <c r="C196" s="5" t="n"/>
      <c r="D196" s="5" t="n"/>
      <c r="E196" s="8" t="n"/>
      <c r="F196" s="5" t="n"/>
      <c r="G196" s="5" t="n"/>
      <c r="H196" s="5" t="n"/>
    </row>
    <row r="197">
      <c r="A197" s="5" t="n"/>
      <c r="B197" s="5" t="n"/>
      <c r="C197" s="5" t="n"/>
      <c r="D197" s="5" t="n"/>
      <c r="E197" s="8" t="n"/>
      <c r="F197" s="5" t="n"/>
      <c r="G197" s="5" t="n"/>
      <c r="H197" s="5" t="n"/>
    </row>
    <row r="198">
      <c r="A198" s="5" t="n"/>
      <c r="B198" s="5" t="n"/>
      <c r="C198" s="5" t="n"/>
      <c r="D198" s="5" t="n"/>
      <c r="E198" s="8" t="n"/>
      <c r="F198" s="5" t="n"/>
      <c r="G198" s="5" t="n"/>
      <c r="H198" s="5" t="n"/>
    </row>
    <row r="199">
      <c r="A199" s="5" t="n"/>
      <c r="B199" s="5" t="n"/>
      <c r="C199" s="5" t="n"/>
      <c r="D199" s="5" t="n"/>
      <c r="E199" s="8" t="n"/>
      <c r="F199" s="5" t="n"/>
      <c r="G199" s="5" t="n"/>
      <c r="H199" s="5" t="n"/>
    </row>
    <row r="200">
      <c r="A200" s="5" t="n"/>
      <c r="B200" s="5" t="n"/>
      <c r="C200" s="5" t="n"/>
      <c r="D200" s="5" t="n"/>
      <c r="E200" s="8" t="n"/>
      <c r="F200" s="5" t="n"/>
      <c r="G200" s="5" t="n"/>
      <c r="H200" s="5" t="n"/>
    </row>
    <row r="201">
      <c r="A201" s="5" t="n"/>
      <c r="B201" s="5" t="n"/>
      <c r="C201" s="5" t="n"/>
      <c r="D201" s="5" t="n"/>
      <c r="E201" s="8" t="n"/>
      <c r="F201" s="5" t="n"/>
      <c r="G201" s="5" t="n"/>
      <c r="H201" s="5" t="n"/>
    </row>
    <row r="202">
      <c r="A202" s="5" t="n"/>
      <c r="B202" s="5" t="n"/>
      <c r="C202" s="5" t="n"/>
      <c r="D202" s="5" t="n"/>
      <c r="E202" s="8" t="n"/>
      <c r="F202" s="5" t="n"/>
      <c r="G202" s="5" t="n"/>
      <c r="H202" s="5" t="n"/>
    </row>
    <row r="203">
      <c r="A203" s="5" t="n"/>
      <c r="B203" s="5" t="n"/>
      <c r="C203" s="5" t="n"/>
      <c r="D203" s="5" t="n"/>
      <c r="E203" s="8" t="n"/>
      <c r="F203" s="5" t="n"/>
      <c r="G203" s="5" t="n"/>
      <c r="H203" s="5" t="n"/>
    </row>
    <row r="204">
      <c r="A204" s="5" t="n"/>
      <c r="B204" s="5" t="n"/>
      <c r="C204" s="5" t="n"/>
      <c r="D204" s="5" t="n"/>
      <c r="E204" s="8" t="n"/>
      <c r="F204" s="5" t="n"/>
      <c r="G204" s="5" t="n"/>
      <c r="H204" s="5" t="n"/>
    </row>
    <row r="205">
      <c r="A205" s="5" t="n"/>
      <c r="B205" s="5" t="n"/>
      <c r="C205" s="5" t="n"/>
      <c r="D205" s="5" t="n"/>
      <c r="E205" s="8" t="n"/>
      <c r="F205" s="5" t="n"/>
      <c r="G205" s="5" t="n"/>
      <c r="H205" s="5" t="n"/>
    </row>
    <row r="206">
      <c r="A206" s="5" t="n"/>
      <c r="B206" s="5" t="n"/>
      <c r="C206" s="5" t="n"/>
      <c r="D206" s="5" t="n"/>
      <c r="E206" s="8" t="n"/>
      <c r="F206" s="5" t="n"/>
      <c r="G206" s="5" t="n"/>
      <c r="H206" s="5" t="n"/>
    </row>
    <row r="207">
      <c r="A207" s="5" t="n"/>
      <c r="B207" s="5" t="n"/>
      <c r="C207" s="5" t="n"/>
      <c r="D207" s="5" t="n"/>
      <c r="E207" s="8" t="n"/>
      <c r="F207" s="5" t="n"/>
      <c r="G207" s="5" t="n"/>
      <c r="H207" s="5" t="n"/>
    </row>
    <row r="208">
      <c r="A208" s="5" t="n"/>
      <c r="B208" s="5" t="n"/>
      <c r="C208" s="5" t="n"/>
      <c r="D208" s="5" t="n"/>
      <c r="E208" s="8" t="n"/>
      <c r="F208" s="5" t="n"/>
      <c r="G208" s="5" t="n"/>
      <c r="H208" s="5" t="n"/>
    </row>
    <row r="209">
      <c r="A209" s="5" t="n"/>
      <c r="B209" s="5" t="n"/>
      <c r="C209" s="5" t="n"/>
      <c r="D209" s="5" t="n"/>
      <c r="E209" s="8" t="n"/>
      <c r="F209" s="5" t="n"/>
      <c r="G209" s="5" t="n"/>
      <c r="H209" s="5" t="n"/>
    </row>
    <row r="210">
      <c r="A210" s="5" t="n"/>
      <c r="B210" s="5" t="n"/>
      <c r="C210" s="5" t="n"/>
      <c r="D210" s="5" t="n"/>
      <c r="E210" s="8" t="n"/>
      <c r="F210" s="5" t="n"/>
      <c r="G210" s="5" t="n"/>
      <c r="H210" s="5" t="n"/>
    </row>
    <row r="211">
      <c r="A211" s="5" t="n"/>
      <c r="B211" s="5" t="n"/>
      <c r="C211" s="5" t="n"/>
      <c r="D211" s="5" t="n"/>
      <c r="E211" s="8" t="n"/>
      <c r="F211" s="5" t="n"/>
      <c r="G211" s="5" t="n"/>
      <c r="H211" s="5" t="n"/>
    </row>
    <row r="212">
      <c r="A212" s="5" t="n"/>
      <c r="B212" s="5" t="n"/>
      <c r="C212" s="5" t="n"/>
      <c r="D212" s="5" t="n"/>
      <c r="E212" s="8" t="n"/>
      <c r="F212" s="5" t="n"/>
      <c r="G212" s="5" t="n"/>
      <c r="H212" s="5" t="n"/>
    </row>
    <row r="213">
      <c r="A213" s="5" t="n"/>
      <c r="B213" s="5" t="n"/>
      <c r="C213" s="5" t="n"/>
      <c r="D213" s="5" t="n"/>
      <c r="E213" s="8" t="n"/>
      <c r="F213" s="5" t="n"/>
      <c r="G213" s="5" t="n"/>
      <c r="H213" s="5" t="n"/>
    </row>
    <row r="214">
      <c r="A214" s="5" t="n"/>
      <c r="B214" s="5" t="n"/>
      <c r="C214" s="5" t="n"/>
      <c r="D214" s="5" t="n"/>
      <c r="E214" s="8" t="n"/>
      <c r="F214" s="5" t="n"/>
      <c r="G214" s="5" t="n"/>
      <c r="H214" s="5" t="n"/>
    </row>
    <row r="215">
      <c r="A215" s="5" t="n"/>
      <c r="B215" s="5" t="n"/>
      <c r="C215" s="5" t="n"/>
      <c r="D215" s="5" t="n"/>
      <c r="E215" s="8" t="n"/>
      <c r="F215" s="5" t="n"/>
      <c r="G215" s="5" t="n"/>
      <c r="H215" s="5" t="n"/>
    </row>
    <row r="216">
      <c r="A216" s="5" t="n"/>
      <c r="B216" s="5" t="n"/>
      <c r="C216" s="5" t="n"/>
      <c r="D216" s="5" t="n"/>
      <c r="E216" s="8" t="n"/>
      <c r="F216" s="5" t="n"/>
      <c r="G216" s="5" t="n"/>
      <c r="H216" s="5" t="n"/>
    </row>
    <row r="217">
      <c r="A217" s="5" t="n"/>
      <c r="B217" s="5" t="n"/>
      <c r="C217" s="5" t="n"/>
      <c r="D217" s="5" t="n"/>
      <c r="E217" s="8" t="n"/>
      <c r="F217" s="5" t="n"/>
      <c r="G217" s="5" t="n"/>
      <c r="H217" s="5" t="n"/>
    </row>
    <row r="218">
      <c r="A218" s="5" t="n"/>
      <c r="B218" s="5" t="n"/>
      <c r="C218" s="5" t="n"/>
      <c r="D218" s="5" t="n"/>
      <c r="E218" s="8" t="n"/>
      <c r="F218" s="5" t="n"/>
      <c r="G218" s="5" t="n"/>
      <c r="H218" s="5" t="n"/>
    </row>
    <row r="219">
      <c r="A219" s="5" t="n"/>
      <c r="B219" s="5" t="n"/>
      <c r="C219" s="5" t="n"/>
      <c r="D219" s="5" t="n"/>
      <c r="E219" s="8" t="n"/>
      <c r="F219" s="5" t="n"/>
      <c r="G219" s="5" t="n"/>
      <c r="H219" s="5" t="n"/>
    </row>
    <row r="220">
      <c r="A220" s="5" t="n"/>
      <c r="B220" s="5" t="n"/>
      <c r="C220" s="5" t="n"/>
      <c r="D220" s="5" t="n"/>
      <c r="E220" s="8" t="n"/>
      <c r="F220" s="5" t="n"/>
      <c r="G220" s="5" t="n"/>
      <c r="H220" s="5" t="n"/>
    </row>
    <row r="221">
      <c r="A221" s="5" t="n"/>
      <c r="B221" s="5" t="n"/>
      <c r="C221" s="5" t="n"/>
      <c r="D221" s="5" t="n"/>
      <c r="E221" s="8" t="n"/>
      <c r="F221" s="5" t="n"/>
      <c r="G221" s="5" t="n"/>
      <c r="H221" s="5" t="n"/>
    </row>
    <row r="222">
      <c r="A222" s="5" t="n"/>
      <c r="B222" s="5" t="n"/>
      <c r="C222" s="5" t="n"/>
      <c r="D222" s="5" t="n"/>
      <c r="E222" s="8" t="n"/>
      <c r="F222" s="5" t="n"/>
      <c r="G222" s="5" t="n"/>
      <c r="H222" s="5" t="n"/>
    </row>
    <row r="223">
      <c r="A223" s="5" t="n"/>
      <c r="B223" s="5" t="n"/>
      <c r="C223" s="5" t="n"/>
      <c r="D223" s="5" t="n"/>
      <c r="E223" s="8" t="n"/>
      <c r="F223" s="5" t="n"/>
      <c r="G223" s="5" t="n"/>
      <c r="H223" s="5" t="n"/>
    </row>
    <row r="224">
      <c r="A224" s="5" t="n"/>
      <c r="B224" s="5" t="n"/>
      <c r="C224" s="5" t="n"/>
      <c r="D224" s="5" t="n"/>
      <c r="E224" s="8" t="n"/>
      <c r="F224" s="5" t="n"/>
      <c r="G224" s="5" t="n"/>
      <c r="H224" s="5" t="n"/>
    </row>
    <row r="225">
      <c r="A225" s="5" t="n"/>
      <c r="B225" s="5" t="n"/>
      <c r="C225" s="5" t="n"/>
      <c r="D225" s="5" t="n"/>
      <c r="E225" s="8" t="n"/>
      <c r="F225" s="5" t="n"/>
      <c r="G225" s="5" t="n"/>
      <c r="H225" s="5" t="n"/>
    </row>
    <row r="226">
      <c r="A226" s="5" t="n"/>
      <c r="B226" s="5" t="n"/>
      <c r="C226" s="5" t="n"/>
      <c r="D226" s="5" t="n"/>
      <c r="E226" s="8" t="n"/>
      <c r="F226" s="5" t="n"/>
      <c r="G226" s="5" t="n"/>
      <c r="H226" s="5" t="n"/>
    </row>
    <row r="227">
      <c r="A227" s="5" t="n"/>
      <c r="B227" s="5" t="n"/>
      <c r="C227" s="5" t="n"/>
      <c r="D227" s="5" t="n"/>
      <c r="E227" s="8" t="n"/>
      <c r="F227" s="5" t="n"/>
      <c r="G227" s="5" t="n"/>
      <c r="H227" s="5" t="n"/>
    </row>
    <row r="228">
      <c r="A228" s="5" t="n"/>
      <c r="B228" s="5" t="n"/>
      <c r="C228" s="5" t="n"/>
      <c r="D228" s="5" t="n"/>
      <c r="E228" s="8" t="n"/>
      <c r="F228" s="5" t="n"/>
      <c r="G228" s="5" t="n"/>
      <c r="H228" s="5" t="n"/>
    </row>
    <row r="229">
      <c r="A229" s="5" t="n"/>
      <c r="B229" s="5" t="n"/>
      <c r="C229" s="5" t="n"/>
      <c r="D229" s="5" t="n"/>
      <c r="E229" s="8" t="n"/>
      <c r="F229" s="5" t="n"/>
      <c r="G229" s="5" t="n"/>
      <c r="H229" s="5" t="n"/>
    </row>
    <row r="230">
      <c r="A230" s="5" t="n"/>
      <c r="B230" s="5" t="n"/>
      <c r="C230" s="5" t="n"/>
      <c r="D230" s="5" t="n"/>
      <c r="E230" s="8" t="n"/>
      <c r="F230" s="5" t="n"/>
      <c r="G230" s="5" t="n"/>
      <c r="H230" s="5" t="n"/>
    </row>
    <row r="231">
      <c r="A231" s="5" t="n"/>
      <c r="B231" s="5" t="n"/>
      <c r="C231" s="5" t="n"/>
      <c r="D231" s="5" t="n"/>
      <c r="E231" s="8" t="n"/>
      <c r="F231" s="5" t="n"/>
      <c r="G231" s="5" t="n"/>
      <c r="H231" s="5" t="n"/>
    </row>
    <row r="232">
      <c r="A232" s="5" t="n"/>
      <c r="B232" s="5" t="n"/>
      <c r="C232" s="5" t="n"/>
      <c r="D232" s="5" t="n"/>
      <c r="E232" s="8" t="n"/>
      <c r="F232" s="5" t="n"/>
      <c r="G232" s="5" t="n"/>
      <c r="H232" s="5" t="n"/>
    </row>
    <row r="233">
      <c r="A233" s="5" t="n"/>
      <c r="B233" s="5" t="n"/>
      <c r="C233" s="5" t="n"/>
      <c r="D233" s="5" t="n"/>
      <c r="E233" s="8" t="n"/>
      <c r="F233" s="5" t="n"/>
      <c r="G233" s="5" t="n"/>
      <c r="H233" s="5" t="n"/>
    </row>
    <row r="234">
      <c r="A234" s="5" t="n"/>
      <c r="B234" s="5" t="n"/>
      <c r="C234" s="5" t="n"/>
      <c r="D234" s="5" t="n"/>
      <c r="E234" s="8" t="n"/>
      <c r="F234" s="5" t="n"/>
      <c r="G234" s="5" t="n"/>
      <c r="H234" s="5" t="n"/>
    </row>
    <row r="235">
      <c r="A235" s="5" t="n"/>
      <c r="B235" s="5" t="n"/>
      <c r="C235" s="5" t="n"/>
      <c r="D235" s="5" t="n"/>
      <c r="E235" s="8" t="n"/>
      <c r="F235" s="5" t="n"/>
      <c r="G235" s="5" t="n"/>
      <c r="H235" s="5" t="n"/>
    </row>
    <row r="236">
      <c r="A236" s="5" t="n"/>
      <c r="B236" s="5" t="n"/>
      <c r="C236" s="5" t="n"/>
      <c r="D236" s="5" t="n"/>
      <c r="E236" s="8" t="n"/>
      <c r="F236" s="5" t="n"/>
      <c r="G236" s="5" t="n"/>
      <c r="H236" s="5" t="n"/>
    </row>
    <row r="237">
      <c r="A237" s="5" t="n"/>
      <c r="B237" s="5" t="n"/>
      <c r="C237" s="5" t="n"/>
      <c r="D237" s="5" t="n"/>
      <c r="E237" s="8" t="n"/>
      <c r="F237" s="5" t="n"/>
      <c r="G237" s="5" t="n"/>
      <c r="H237" s="5" t="n"/>
    </row>
    <row r="238">
      <c r="A238" s="5" t="n"/>
      <c r="B238" s="5" t="n"/>
      <c r="C238" s="5" t="n"/>
      <c r="D238" s="5" t="n"/>
      <c r="E238" s="8" t="n"/>
      <c r="F238" s="5" t="n"/>
      <c r="G238" s="5" t="n"/>
      <c r="H238" s="5" t="n"/>
    </row>
    <row r="239">
      <c r="A239" s="5" t="n"/>
      <c r="B239" s="5" t="n"/>
      <c r="C239" s="5" t="n"/>
      <c r="D239" s="5" t="n"/>
      <c r="E239" s="8" t="n"/>
      <c r="F239" s="5" t="n"/>
      <c r="G239" s="5" t="n"/>
      <c r="H239" s="5" t="n"/>
    </row>
    <row r="240">
      <c r="A240" s="5" t="n"/>
      <c r="B240" s="5" t="n"/>
      <c r="C240" s="5" t="n"/>
      <c r="D240" s="5" t="n"/>
      <c r="E240" s="8" t="n"/>
      <c r="F240" s="5" t="n"/>
      <c r="G240" s="5" t="n"/>
      <c r="H240" s="5" t="n"/>
    </row>
    <row r="241">
      <c r="A241" s="5" t="n"/>
      <c r="B241" s="5" t="n"/>
      <c r="C241" s="5" t="n"/>
      <c r="D241" s="5" t="n"/>
      <c r="E241" s="8" t="n"/>
      <c r="F241" s="5" t="n"/>
      <c r="G241" s="5" t="n"/>
      <c r="H241" s="5" t="n"/>
    </row>
    <row r="242">
      <c r="A242" s="5" t="n"/>
      <c r="B242" s="5" t="n"/>
      <c r="C242" s="5" t="n"/>
      <c r="D242" s="5" t="n"/>
      <c r="E242" s="8" t="n"/>
      <c r="F242" s="5" t="n"/>
      <c r="G242" s="5" t="n"/>
      <c r="H242" s="5" t="n"/>
    </row>
    <row r="243">
      <c r="A243" s="5" t="n"/>
      <c r="B243" s="5" t="n"/>
      <c r="C243" s="5" t="n"/>
      <c r="D243" s="5" t="n"/>
      <c r="E243" s="8" t="n"/>
      <c r="F243" s="5" t="n"/>
      <c r="G243" s="5" t="n"/>
      <c r="H243" s="5" t="n"/>
    </row>
    <row r="244">
      <c r="A244" s="5" t="n"/>
      <c r="B244" s="5" t="n"/>
      <c r="C244" s="5" t="n"/>
      <c r="D244" s="5" t="n"/>
      <c r="E244" s="8" t="n"/>
      <c r="F244" s="5" t="n"/>
      <c r="G244" s="5" t="n"/>
      <c r="H244" s="5" t="n"/>
    </row>
    <row r="245">
      <c r="A245" s="5" t="n"/>
      <c r="B245" s="5" t="n"/>
      <c r="C245" s="5" t="n"/>
      <c r="D245" s="5" t="n"/>
      <c r="E245" s="8" t="n"/>
      <c r="F245" s="5" t="n"/>
      <c r="G245" s="5" t="n"/>
      <c r="H245" s="5" t="n"/>
    </row>
    <row r="246">
      <c r="A246" s="5" t="n"/>
      <c r="B246" s="5" t="n"/>
      <c r="C246" s="5" t="n"/>
      <c r="D246" s="5" t="n"/>
      <c r="E246" s="8" t="n"/>
      <c r="F246" s="5" t="n"/>
      <c r="G246" s="5" t="n"/>
      <c r="H246" s="5" t="n"/>
    </row>
    <row r="247">
      <c r="A247" s="5" t="n"/>
      <c r="B247" s="5" t="n"/>
      <c r="C247" s="5" t="n"/>
      <c r="D247" s="5" t="n"/>
      <c r="E247" s="8" t="n"/>
      <c r="F247" s="5" t="n"/>
      <c r="G247" s="5" t="n"/>
      <c r="H247" s="5" t="n"/>
    </row>
    <row r="248">
      <c r="A248" s="5" t="n"/>
      <c r="B248" s="5" t="n"/>
      <c r="C248" s="5" t="n"/>
      <c r="D248" s="5" t="n"/>
      <c r="E248" s="8" t="n"/>
      <c r="F248" s="5" t="n"/>
      <c r="G248" s="5" t="n"/>
      <c r="H248" s="5" t="n"/>
    </row>
    <row r="249">
      <c r="A249" s="5" t="n"/>
      <c r="B249" s="5" t="n"/>
      <c r="C249" s="5" t="n"/>
      <c r="D249" s="5" t="n"/>
      <c r="E249" s="8" t="n"/>
      <c r="F249" s="5" t="n"/>
      <c r="G249" s="5" t="n"/>
      <c r="H249" s="5" t="n"/>
    </row>
    <row r="250">
      <c r="A250" s="5" t="n"/>
      <c r="B250" s="5" t="n"/>
      <c r="C250" s="5" t="n"/>
      <c r="D250" s="5" t="n"/>
      <c r="E250" s="8" t="n"/>
      <c r="F250" s="5" t="n"/>
      <c r="G250" s="5" t="n"/>
      <c r="H250" s="5" t="n"/>
    </row>
    <row r="251">
      <c r="A251" s="5" t="n"/>
      <c r="B251" s="5" t="n"/>
      <c r="C251" s="5" t="n"/>
      <c r="D251" s="5" t="n"/>
      <c r="E251" s="8" t="n"/>
      <c r="F251" s="5" t="n"/>
      <c r="G251" s="5" t="n"/>
      <c r="H251" s="5" t="n"/>
    </row>
    <row r="252">
      <c r="A252" s="5" t="n"/>
      <c r="B252" s="5" t="n"/>
      <c r="C252" s="5" t="n"/>
      <c r="D252" s="5" t="n"/>
      <c r="E252" s="8" t="n"/>
      <c r="F252" s="5" t="n"/>
      <c r="G252" s="5" t="n"/>
      <c r="H252" s="5" t="n"/>
    </row>
    <row r="253">
      <c r="A253" s="5" t="n"/>
      <c r="B253" s="5" t="n"/>
      <c r="C253" s="5" t="n"/>
      <c r="D253" s="5" t="n"/>
      <c r="E253" s="8" t="n"/>
      <c r="F253" s="5" t="n"/>
      <c r="G253" s="5" t="n"/>
      <c r="H253" s="5" t="n"/>
    </row>
    <row r="254">
      <c r="A254" s="5" t="n"/>
      <c r="B254" s="5" t="n"/>
      <c r="C254" s="5" t="n"/>
      <c r="D254" s="5" t="n"/>
      <c r="E254" s="8" t="n"/>
      <c r="F254" s="5" t="n"/>
      <c r="G254" s="5" t="n"/>
      <c r="H254" s="5" t="n"/>
    </row>
    <row r="255">
      <c r="A255" s="5" t="n"/>
      <c r="B255" s="5" t="n"/>
      <c r="C255" s="5" t="n"/>
      <c r="D255" s="5" t="n"/>
      <c r="E255" s="8" t="n"/>
      <c r="F255" s="5" t="n"/>
      <c r="G255" s="5" t="n"/>
      <c r="H255" s="5" t="n"/>
    </row>
    <row r="256">
      <c r="A256" s="5" t="n"/>
      <c r="B256" s="5" t="n"/>
      <c r="C256" s="5" t="n"/>
      <c r="D256" s="5" t="n"/>
      <c r="E256" s="8" t="n"/>
      <c r="F256" s="5" t="n"/>
      <c r="G256" s="5" t="n"/>
      <c r="H256" s="5" t="n"/>
    </row>
    <row r="257">
      <c r="A257" s="5" t="n"/>
      <c r="B257" s="5" t="n"/>
      <c r="C257" s="5" t="n"/>
      <c r="D257" s="5" t="n"/>
      <c r="E257" s="8" t="n"/>
      <c r="F257" s="5" t="n"/>
      <c r="G257" s="5" t="n"/>
      <c r="H257" s="5" t="n"/>
    </row>
    <row r="258">
      <c r="A258" s="5" t="n"/>
      <c r="B258" s="5" t="n"/>
      <c r="C258" s="5" t="n"/>
      <c r="D258" s="5" t="n"/>
      <c r="E258" s="8" t="n"/>
      <c r="F258" s="5" t="n"/>
      <c r="G258" s="5" t="n"/>
      <c r="H258" s="5" t="n"/>
    </row>
    <row r="259">
      <c r="A259" s="5" t="n"/>
      <c r="B259" s="5" t="n"/>
      <c r="C259" s="5" t="n"/>
      <c r="D259" s="5" t="n"/>
      <c r="E259" s="8" t="n"/>
      <c r="F259" s="5" t="n"/>
      <c r="G259" s="5" t="n"/>
      <c r="H259" s="5" t="n"/>
    </row>
    <row r="260">
      <c r="A260" s="5" t="n"/>
      <c r="B260" s="5" t="n"/>
      <c r="C260" s="5" t="n"/>
      <c r="D260" s="5" t="n"/>
      <c r="E260" s="8" t="n"/>
      <c r="F260" s="5" t="n"/>
      <c r="G260" s="5" t="n"/>
      <c r="H260" s="5" t="n"/>
    </row>
    <row r="261">
      <c r="A261" s="5" t="n"/>
      <c r="B261" s="5" t="n"/>
      <c r="C261" s="5" t="n"/>
      <c r="D261" s="5" t="n"/>
      <c r="E261" s="8" t="n"/>
      <c r="F261" s="5" t="n"/>
      <c r="G261" s="5" t="n"/>
      <c r="H261" s="5" t="n"/>
    </row>
    <row r="262">
      <c r="A262" s="5" t="n"/>
      <c r="B262" s="5" t="n"/>
      <c r="C262" s="5" t="n"/>
      <c r="D262" s="5" t="n"/>
      <c r="E262" s="8" t="n"/>
      <c r="F262" s="5" t="n"/>
      <c r="G262" s="5" t="n"/>
      <c r="H262" s="5" t="n"/>
    </row>
    <row r="263">
      <c r="A263" s="5" t="n"/>
      <c r="B263" s="5" t="n"/>
      <c r="C263" s="5" t="n"/>
      <c r="D263" s="5" t="n"/>
      <c r="E263" s="8" t="n"/>
      <c r="F263" s="5" t="n"/>
      <c r="G263" s="5" t="n"/>
      <c r="H263" s="5" t="n"/>
    </row>
    <row r="264">
      <c r="A264" s="5" t="n"/>
      <c r="B264" s="5" t="n"/>
      <c r="C264" s="5" t="n"/>
      <c r="D264" s="5" t="n"/>
      <c r="E264" s="8" t="n"/>
      <c r="F264" s="5" t="n"/>
      <c r="G264" s="5" t="n"/>
      <c r="H264" s="5" t="n"/>
    </row>
    <row r="265">
      <c r="A265" s="5" t="n"/>
      <c r="B265" s="5" t="n"/>
      <c r="C265" s="5" t="n"/>
      <c r="D265" s="5" t="n"/>
      <c r="E265" s="8" t="n"/>
      <c r="F265" s="5" t="n"/>
      <c r="G265" s="5" t="n"/>
      <c r="H265" s="5" t="n"/>
    </row>
    <row r="266">
      <c r="A266" s="5" t="n"/>
      <c r="B266" s="5" t="n"/>
      <c r="C266" s="5" t="n"/>
      <c r="D266" s="5" t="n"/>
      <c r="E266" s="8" t="n"/>
      <c r="F266" s="5" t="n"/>
      <c r="G266" s="5" t="n"/>
      <c r="H266" s="5" t="n"/>
    </row>
    <row r="267">
      <c r="A267" s="5" t="n"/>
      <c r="B267" s="5" t="n"/>
      <c r="C267" s="5" t="n"/>
      <c r="D267" s="5" t="n"/>
      <c r="E267" s="8" t="n"/>
      <c r="F267" s="5" t="n"/>
      <c r="G267" s="5" t="n"/>
      <c r="H267" s="5" t="n"/>
    </row>
    <row r="268">
      <c r="A268" s="5" t="n"/>
      <c r="B268" s="5" t="n"/>
      <c r="C268" s="5" t="n"/>
      <c r="D268" s="5" t="n"/>
      <c r="E268" s="8" t="n"/>
      <c r="F268" s="5" t="n"/>
      <c r="G268" s="5" t="n"/>
      <c r="H268" s="5" t="n"/>
    </row>
    <row r="269">
      <c r="A269" s="5" t="n"/>
      <c r="B269" s="5" t="n"/>
      <c r="C269" s="5" t="n"/>
      <c r="D269" s="5" t="n"/>
      <c r="E269" s="8" t="n"/>
      <c r="F269" s="5" t="n"/>
      <c r="G269" s="5" t="n"/>
      <c r="H269" s="5" t="n"/>
    </row>
    <row r="270">
      <c r="A270" s="5" t="n"/>
      <c r="B270" s="5" t="n"/>
      <c r="C270" s="5" t="n"/>
      <c r="D270" s="5" t="n"/>
      <c r="E270" s="8" t="n"/>
      <c r="F270" s="5" t="n"/>
      <c r="G270" s="5" t="n"/>
      <c r="H270" s="5" t="n"/>
    </row>
    <row r="271">
      <c r="A271" s="5" t="n"/>
      <c r="B271" s="5" t="n"/>
      <c r="C271" s="5" t="n"/>
      <c r="D271" s="5" t="n"/>
      <c r="E271" s="8" t="n"/>
      <c r="F271" s="5" t="n"/>
      <c r="G271" s="5" t="n"/>
      <c r="H271" s="5" t="n"/>
    </row>
    <row r="272">
      <c r="A272" s="5" t="n"/>
      <c r="B272" s="5" t="n"/>
      <c r="C272" s="5" t="n"/>
      <c r="D272" s="5" t="n"/>
      <c r="E272" s="8" t="n"/>
      <c r="F272" s="5" t="n"/>
      <c r="G272" s="5" t="n"/>
      <c r="H272" s="5" t="n"/>
    </row>
    <row r="273">
      <c r="A273" s="5" t="n"/>
      <c r="B273" s="5" t="n"/>
      <c r="C273" s="5" t="n"/>
      <c r="D273" s="5" t="n"/>
      <c r="E273" s="8" t="n"/>
      <c r="F273" s="5" t="n"/>
      <c r="G273" s="5" t="n"/>
      <c r="H273" s="5" t="n"/>
    </row>
    <row r="274">
      <c r="A274" s="5" t="n"/>
      <c r="B274" s="5" t="n"/>
      <c r="C274" s="5" t="n"/>
      <c r="D274" s="5" t="n"/>
      <c r="E274" s="8" t="n"/>
      <c r="F274" s="5" t="n"/>
      <c r="G274" s="5" t="n"/>
      <c r="H274" s="5" t="n"/>
    </row>
    <row r="275">
      <c r="A275" s="5" t="n"/>
      <c r="B275" s="5" t="n"/>
      <c r="C275" s="5" t="n"/>
      <c r="D275" s="5" t="n"/>
      <c r="E275" s="8" t="n"/>
      <c r="F275" s="5" t="n"/>
      <c r="G275" s="5" t="n"/>
      <c r="H275" s="5" t="n"/>
    </row>
    <row r="276">
      <c r="A276" s="5" t="n"/>
      <c r="B276" s="5" t="n"/>
      <c r="C276" s="5" t="n"/>
      <c r="D276" s="5" t="n"/>
      <c r="E276" s="8" t="n"/>
      <c r="F276" s="5" t="n"/>
      <c r="G276" s="5" t="n"/>
      <c r="H276" s="5" t="n"/>
    </row>
    <row r="277">
      <c r="A277" s="5" t="n"/>
      <c r="B277" s="5" t="n"/>
      <c r="C277" s="5" t="n"/>
      <c r="D277" s="5" t="n"/>
      <c r="E277" s="8" t="n"/>
      <c r="F277" s="5" t="n"/>
      <c r="G277" s="5" t="n"/>
      <c r="H277" s="5" t="n"/>
    </row>
    <row r="278">
      <c r="A278" s="5" t="n"/>
      <c r="B278" s="5" t="n"/>
      <c r="C278" s="5" t="n"/>
      <c r="D278" s="5" t="n"/>
      <c r="E278" s="8" t="n"/>
      <c r="F278" s="5" t="n"/>
      <c r="G278" s="5" t="n"/>
      <c r="H278" s="5" t="n"/>
    </row>
    <row r="279">
      <c r="A279" s="5" t="n"/>
      <c r="B279" s="5" t="n"/>
      <c r="C279" s="5" t="n"/>
      <c r="D279" s="5" t="n"/>
      <c r="E279" s="8" t="n"/>
      <c r="F279" s="5" t="n"/>
      <c r="G279" s="5" t="n"/>
      <c r="H279" s="5" t="n"/>
    </row>
    <row r="280">
      <c r="A280" s="5" t="n"/>
      <c r="B280" s="5" t="n"/>
      <c r="C280" s="5" t="n"/>
      <c r="D280" s="5" t="n"/>
      <c r="E280" s="8" t="n"/>
      <c r="F280" s="5" t="n"/>
      <c r="G280" s="5" t="n"/>
      <c r="H280" s="5" t="n"/>
    </row>
    <row r="281">
      <c r="A281" s="5" t="n"/>
      <c r="B281" s="5" t="n"/>
      <c r="C281" s="5" t="n"/>
      <c r="D281" s="5" t="n"/>
      <c r="E281" s="8" t="n"/>
      <c r="F281" s="5" t="n"/>
      <c r="G281" s="5" t="n"/>
      <c r="H281" s="5" t="n"/>
    </row>
    <row r="282">
      <c r="A282" s="5" t="n"/>
      <c r="B282" s="5" t="n"/>
      <c r="C282" s="5" t="n"/>
      <c r="D282" s="5" t="n"/>
      <c r="E282" s="8" t="n"/>
      <c r="F282" s="5" t="n"/>
      <c r="G282" s="5" t="n"/>
      <c r="H282" s="5" t="n"/>
    </row>
    <row r="283">
      <c r="A283" s="5" t="n"/>
      <c r="B283" s="5" t="n"/>
      <c r="C283" s="5" t="n"/>
      <c r="D283" s="5" t="n"/>
      <c r="E283" s="8" t="n"/>
      <c r="F283" s="5" t="n"/>
      <c r="G283" s="5" t="n"/>
      <c r="H283" s="5" t="n"/>
    </row>
    <row r="284">
      <c r="A284" s="5" t="n"/>
      <c r="B284" s="5" t="n"/>
      <c r="C284" s="5" t="n"/>
      <c r="D284" s="5" t="n"/>
      <c r="E284" s="8" t="n"/>
      <c r="F284" s="5" t="n"/>
      <c r="G284" s="5" t="n"/>
      <c r="H284" s="5" t="n"/>
    </row>
    <row r="285">
      <c r="A285" s="5" t="n"/>
      <c r="B285" s="5" t="n"/>
      <c r="C285" s="5" t="n"/>
      <c r="D285" s="5" t="n"/>
      <c r="E285" s="8" t="n"/>
      <c r="F285" s="5" t="n"/>
      <c r="G285" s="5" t="n"/>
      <c r="H285" s="5" t="n"/>
    </row>
    <row r="286">
      <c r="A286" s="5" t="n"/>
      <c r="B286" s="5" t="n"/>
      <c r="C286" s="5" t="n"/>
      <c r="D286" s="5" t="n"/>
      <c r="E286" s="8" t="n"/>
      <c r="F286" s="5" t="n"/>
      <c r="G286" s="5" t="n"/>
      <c r="H286" s="5" t="n"/>
    </row>
    <row r="287">
      <c r="A287" s="5" t="n"/>
      <c r="B287" s="5" t="n"/>
      <c r="C287" s="5" t="n"/>
      <c r="D287" s="5" t="n"/>
      <c r="E287" s="8" t="n"/>
      <c r="F287" s="5" t="n"/>
      <c r="G287" s="5" t="n"/>
      <c r="H287" s="5" t="n"/>
    </row>
    <row r="288">
      <c r="A288" s="5" t="n"/>
      <c r="B288" s="5" t="n"/>
      <c r="C288" s="5" t="n"/>
      <c r="D288" s="5" t="n"/>
      <c r="E288" s="8" t="n"/>
      <c r="F288" s="5" t="n"/>
      <c r="G288" s="5" t="n"/>
      <c r="H288" s="5" t="n"/>
    </row>
    <row r="289">
      <c r="A289" s="5" t="n"/>
      <c r="B289" s="5" t="n"/>
      <c r="C289" s="5" t="n"/>
      <c r="D289" s="5" t="n"/>
      <c r="E289" s="8" t="n"/>
      <c r="F289" s="5" t="n"/>
      <c r="G289" s="5" t="n"/>
      <c r="H289" s="5" t="n"/>
    </row>
    <row r="290">
      <c r="A290" s="5" t="n"/>
      <c r="B290" s="5" t="n"/>
      <c r="C290" s="5" t="n"/>
      <c r="D290" s="5" t="n"/>
      <c r="E290" s="8" t="n"/>
      <c r="F290" s="5" t="n"/>
      <c r="G290" s="5" t="n"/>
      <c r="H290" s="5" t="n"/>
    </row>
    <row r="291">
      <c r="A291" s="5" t="n"/>
      <c r="B291" s="5" t="n"/>
      <c r="C291" s="5" t="n"/>
      <c r="D291" s="5" t="n"/>
      <c r="E291" s="8" t="n"/>
      <c r="F291" s="5" t="n"/>
      <c r="G291" s="5" t="n"/>
      <c r="H291" s="5" t="n"/>
    </row>
    <row r="292">
      <c r="A292" s="5" t="n"/>
      <c r="B292" s="5" t="n"/>
      <c r="C292" s="5" t="n"/>
      <c r="D292" s="5" t="n"/>
      <c r="E292" s="8" t="n"/>
      <c r="F292" s="5" t="n"/>
      <c r="G292" s="5" t="n"/>
      <c r="H292" s="5" t="n"/>
    </row>
    <row r="293">
      <c r="A293" s="5" t="n"/>
      <c r="B293" s="5" t="n"/>
      <c r="C293" s="5" t="n"/>
      <c r="D293" s="5" t="n"/>
      <c r="E293" s="8" t="n"/>
      <c r="F293" s="5" t="n"/>
      <c r="G293" s="5" t="n"/>
      <c r="H293" s="5" t="n"/>
    </row>
    <row r="294">
      <c r="A294" s="5" t="n"/>
      <c r="B294" s="5" t="n"/>
      <c r="C294" s="5" t="n"/>
      <c r="D294" s="5" t="n"/>
      <c r="E294" s="8" t="n"/>
      <c r="F294" s="5" t="n"/>
      <c r="G294" s="5" t="n"/>
      <c r="H294" s="5" t="n"/>
    </row>
    <row r="295">
      <c r="A295" s="5" t="n"/>
      <c r="B295" s="5" t="n"/>
      <c r="C295" s="5" t="n"/>
      <c r="D295" s="5" t="n"/>
      <c r="E295" s="8" t="n"/>
      <c r="F295" s="5" t="n"/>
      <c r="G295" s="5" t="n"/>
      <c r="H295" s="5" t="n"/>
    </row>
    <row r="296">
      <c r="A296" s="5" t="n"/>
      <c r="B296" s="5" t="n"/>
      <c r="C296" s="5" t="n"/>
      <c r="D296" s="5" t="n"/>
      <c r="E296" s="8" t="n"/>
      <c r="F296" s="5" t="n"/>
      <c r="G296" s="5" t="n"/>
      <c r="H296" s="5" t="n"/>
    </row>
    <row r="297">
      <c r="A297" s="5" t="n"/>
      <c r="B297" s="5" t="n"/>
      <c r="C297" s="5" t="n"/>
      <c r="D297" s="5" t="n"/>
      <c r="E297" s="8" t="n"/>
      <c r="F297" s="5" t="n"/>
      <c r="G297" s="5" t="n"/>
      <c r="H297" s="5" t="n"/>
    </row>
    <row r="298">
      <c r="A298" s="5" t="n"/>
      <c r="B298" s="5" t="n"/>
      <c r="C298" s="5" t="n"/>
      <c r="D298" s="5" t="n"/>
      <c r="E298" s="8" t="n"/>
      <c r="F298" s="5" t="n"/>
      <c r="G298" s="5" t="n"/>
      <c r="H298" s="5" t="n"/>
    </row>
    <row r="299">
      <c r="A299" s="5" t="n"/>
      <c r="B299" s="5" t="n"/>
      <c r="C299" s="5" t="n"/>
      <c r="D299" s="5" t="n"/>
      <c r="E299" s="8" t="n"/>
      <c r="F299" s="5" t="n"/>
      <c r="G299" s="5" t="n"/>
      <c r="H299" s="5" t="n"/>
    </row>
    <row r="300">
      <c r="A300" s="5" t="n"/>
      <c r="B300" s="5" t="n"/>
      <c r="C300" s="5" t="n"/>
      <c r="D300" s="5" t="n"/>
      <c r="E300" s="8" t="n"/>
      <c r="F300" s="5" t="n"/>
      <c r="G300" s="5" t="n"/>
      <c r="H300" s="5" t="n"/>
    </row>
    <row r="301">
      <c r="A301" s="5" t="n"/>
      <c r="B301" s="5" t="n"/>
      <c r="C301" s="5" t="n"/>
      <c r="D301" s="5" t="n"/>
      <c r="E301" s="8" t="n"/>
      <c r="F301" s="5" t="n"/>
      <c r="G301" s="5" t="n"/>
      <c r="H301" s="5" t="n"/>
    </row>
    <row r="302">
      <c r="A302" s="5" t="n"/>
      <c r="B302" s="5" t="n"/>
      <c r="C302" s="5" t="n"/>
      <c r="D302" s="5" t="n"/>
      <c r="E302" s="8" t="n"/>
      <c r="F302" s="5" t="n"/>
      <c r="G302" s="5" t="n"/>
      <c r="H302" s="5" t="n"/>
    </row>
    <row r="303">
      <c r="A303" s="5" t="n"/>
      <c r="B303" s="5" t="n"/>
      <c r="C303" s="5" t="n"/>
      <c r="D303" s="5" t="n"/>
      <c r="E303" s="8" t="n"/>
      <c r="F303" s="5" t="n"/>
      <c r="G303" s="5" t="n"/>
      <c r="H303" s="5" t="n"/>
    </row>
    <row r="304">
      <c r="A304" s="5" t="n"/>
      <c r="B304" s="5" t="n"/>
      <c r="C304" s="5" t="n"/>
      <c r="D304" s="5" t="n"/>
      <c r="E304" s="8" t="n"/>
      <c r="F304" s="5" t="n"/>
      <c r="G304" s="5" t="n"/>
      <c r="H304" s="5" t="n"/>
    </row>
    <row r="305">
      <c r="A305" s="5" t="n"/>
      <c r="B305" s="5" t="n"/>
      <c r="C305" s="5" t="n"/>
      <c r="D305" s="5" t="n"/>
      <c r="E305" s="8" t="n"/>
      <c r="F305" s="5" t="n"/>
      <c r="G305" s="5" t="n"/>
      <c r="H305" s="5" t="n"/>
    </row>
    <row r="306">
      <c r="A306" s="5" t="n"/>
      <c r="B306" s="5" t="n"/>
      <c r="C306" s="5" t="n"/>
      <c r="D306" s="5" t="n"/>
      <c r="E306" s="8" t="n"/>
      <c r="F306" s="5" t="n"/>
      <c r="G306" s="5" t="n"/>
      <c r="H306" s="5" t="n"/>
    </row>
    <row r="307">
      <c r="A307" s="5" t="n"/>
      <c r="B307" s="5" t="n"/>
      <c r="C307" s="5" t="n"/>
      <c r="D307" s="5" t="n"/>
      <c r="E307" s="8" t="n"/>
      <c r="F307" s="5" t="n"/>
      <c r="G307" s="5" t="n"/>
      <c r="H307" s="5" t="n"/>
    </row>
    <row r="308">
      <c r="A308" s="5" t="n"/>
      <c r="B308" s="5" t="n"/>
      <c r="C308" s="5" t="n"/>
      <c r="D308" s="5" t="n"/>
      <c r="E308" s="8" t="n"/>
      <c r="F308" s="5" t="n"/>
      <c r="G308" s="5" t="n"/>
      <c r="H308" s="5" t="n"/>
    </row>
    <row r="309">
      <c r="A309" s="5" t="n"/>
      <c r="B309" s="5" t="n"/>
      <c r="C309" s="5" t="n"/>
      <c r="D309" s="5" t="n"/>
      <c r="E309" s="8" t="n"/>
      <c r="F309" s="5" t="n"/>
      <c r="G309" s="5" t="n"/>
      <c r="H309" s="5" t="n"/>
    </row>
    <row r="310">
      <c r="A310" s="5" t="n"/>
      <c r="B310" s="5" t="n"/>
      <c r="C310" s="5" t="n"/>
      <c r="D310" s="5" t="n"/>
      <c r="E310" s="8" t="n"/>
      <c r="F310" s="5" t="n"/>
      <c r="G310" s="5" t="n"/>
      <c r="H310" s="5" t="n"/>
    </row>
    <row r="311">
      <c r="A311" s="5" t="n"/>
      <c r="B311" s="5" t="n"/>
      <c r="C311" s="5" t="n"/>
      <c r="D311" s="5" t="n"/>
      <c r="E311" s="8" t="n"/>
      <c r="F311" s="5" t="n"/>
      <c r="G311" s="5" t="n"/>
      <c r="H311" s="5" t="n"/>
    </row>
    <row r="312">
      <c r="A312" s="5" t="n"/>
      <c r="B312" s="5" t="n"/>
      <c r="C312" s="5" t="n"/>
      <c r="D312" s="5" t="n"/>
      <c r="E312" s="8" t="n"/>
      <c r="F312" s="5" t="n"/>
      <c r="G312" s="5" t="n"/>
      <c r="H312" s="5" t="n"/>
    </row>
    <row r="313">
      <c r="A313" s="5" t="n"/>
      <c r="B313" s="5" t="n"/>
      <c r="C313" s="5" t="n"/>
      <c r="D313" s="5" t="n"/>
      <c r="E313" s="8" t="n"/>
      <c r="F313" s="5" t="n"/>
      <c r="G313" s="5" t="n"/>
      <c r="H313" s="5" t="n"/>
    </row>
    <row r="314">
      <c r="A314" s="5" t="n"/>
      <c r="B314" s="5" t="n"/>
      <c r="C314" s="5" t="n"/>
      <c r="D314" s="5" t="n"/>
      <c r="E314" s="8" t="n"/>
      <c r="F314" s="5" t="n"/>
      <c r="G314" s="5" t="n"/>
      <c r="H314" s="5" t="n"/>
    </row>
    <row r="315">
      <c r="A315" s="5" t="n"/>
      <c r="B315" s="5" t="n"/>
      <c r="C315" s="5" t="n"/>
      <c r="D315" s="5" t="n"/>
      <c r="E315" s="8" t="n"/>
      <c r="F315" s="5" t="n"/>
      <c r="G315" s="5" t="n"/>
      <c r="H315" s="5" t="n"/>
    </row>
    <row r="316">
      <c r="A316" s="5" t="n"/>
      <c r="B316" s="5" t="n"/>
      <c r="C316" s="5" t="n"/>
      <c r="D316" s="5" t="n"/>
      <c r="E316" s="8" t="n"/>
      <c r="F316" s="5" t="n"/>
      <c r="G316" s="5" t="n"/>
      <c r="H316" s="5" t="n"/>
    </row>
    <row r="317">
      <c r="A317" s="5" t="n"/>
      <c r="B317" s="5" t="n"/>
      <c r="C317" s="5" t="n"/>
      <c r="D317" s="5" t="n"/>
      <c r="E317" s="8" t="n"/>
      <c r="F317" s="5" t="n"/>
      <c r="G317" s="5" t="n"/>
      <c r="H317" s="5" t="n"/>
    </row>
    <row r="318">
      <c r="A318" s="5" t="n"/>
      <c r="B318" s="5" t="n"/>
      <c r="C318" s="5" t="n"/>
      <c r="D318" s="5" t="n"/>
      <c r="E318" s="8" t="n"/>
      <c r="F318" s="5" t="n"/>
      <c r="G318" s="5" t="n"/>
      <c r="H318" s="5" t="n"/>
    </row>
    <row r="319">
      <c r="A319" s="5" t="n"/>
      <c r="B319" s="5" t="n"/>
      <c r="C319" s="5" t="n"/>
      <c r="D319" s="5" t="n"/>
      <c r="E319" s="8" t="n"/>
      <c r="F319" s="5" t="n"/>
      <c r="G319" s="5" t="n"/>
      <c r="H319" s="5" t="n"/>
    </row>
    <row r="320">
      <c r="A320" s="5" t="n"/>
      <c r="B320" s="5" t="n"/>
      <c r="C320" s="5" t="n"/>
      <c r="D320" s="5" t="n"/>
      <c r="E320" s="8" t="n"/>
      <c r="F320" s="5" t="n"/>
      <c r="G320" s="5" t="n"/>
      <c r="H320" s="5" t="n"/>
    </row>
    <row r="321">
      <c r="A321" s="5" t="n"/>
      <c r="B321" s="5" t="n"/>
      <c r="C321" s="5" t="n"/>
      <c r="D321" s="5" t="n"/>
      <c r="E321" s="8" t="n"/>
      <c r="F321" s="5" t="n"/>
      <c r="G321" s="5" t="n"/>
      <c r="H321" s="5" t="n"/>
    </row>
    <row r="322">
      <c r="A322" s="5" t="n"/>
      <c r="B322" s="5" t="n"/>
      <c r="C322" s="5" t="n"/>
      <c r="D322" s="5" t="n"/>
      <c r="E322" s="8" t="n"/>
      <c r="F322" s="5" t="n"/>
      <c r="G322" s="5" t="n"/>
      <c r="H322" s="5" t="n"/>
    </row>
    <row r="323">
      <c r="A323" s="5" t="n"/>
      <c r="B323" s="5" t="n"/>
      <c r="C323" s="5" t="n"/>
      <c r="D323" s="5" t="n"/>
      <c r="E323" s="8" t="n"/>
      <c r="F323" s="5" t="n"/>
      <c r="G323" s="5" t="n"/>
      <c r="H323" s="5" t="n"/>
    </row>
    <row r="324">
      <c r="A324" s="5" t="n"/>
      <c r="B324" s="5" t="n"/>
      <c r="C324" s="5" t="n"/>
      <c r="D324" s="5" t="n"/>
      <c r="E324" s="8" t="n"/>
      <c r="F324" s="5" t="n"/>
      <c r="G324" s="5" t="n"/>
      <c r="H324" s="5" t="n"/>
    </row>
    <row r="325">
      <c r="A325" s="5" t="n"/>
      <c r="B325" s="5" t="n"/>
      <c r="C325" s="5" t="n"/>
      <c r="D325" s="5" t="n"/>
      <c r="E325" s="8" t="n"/>
      <c r="F325" s="5" t="n"/>
      <c r="G325" s="5" t="n"/>
      <c r="H325" s="5" t="n"/>
    </row>
    <row r="326">
      <c r="A326" s="5" t="n"/>
      <c r="B326" s="5" t="n"/>
      <c r="C326" s="5" t="n"/>
      <c r="D326" s="5" t="n"/>
      <c r="E326" s="8" t="n"/>
      <c r="F326" s="5" t="n"/>
      <c r="G326" s="5" t="n"/>
      <c r="H326" s="5" t="n"/>
    </row>
    <row r="327">
      <c r="A327" s="5" t="n"/>
      <c r="B327" s="5" t="n"/>
      <c r="C327" s="5" t="n"/>
      <c r="D327" s="5" t="n"/>
      <c r="E327" s="8" t="n"/>
      <c r="F327" s="5" t="n"/>
      <c r="G327" s="5" t="n"/>
      <c r="H327" s="5" t="n"/>
    </row>
    <row r="328">
      <c r="A328" s="5" t="n"/>
      <c r="B328" s="5" t="n"/>
      <c r="C328" s="5" t="n"/>
      <c r="D328" s="5" t="n"/>
      <c r="E328" s="8" t="n"/>
      <c r="F328" s="5" t="n"/>
      <c r="G328" s="5" t="n"/>
      <c r="H328" s="5" t="n"/>
    </row>
    <row r="329">
      <c r="A329" s="5" t="n"/>
      <c r="B329" s="5" t="n"/>
      <c r="C329" s="5" t="n"/>
      <c r="D329" s="5" t="n"/>
      <c r="E329" s="8" t="n"/>
      <c r="F329" s="5" t="n"/>
      <c r="G329" s="5" t="n"/>
      <c r="H329" s="5" t="n"/>
    </row>
    <row r="330">
      <c r="A330" s="5" t="n"/>
      <c r="B330" s="5" t="n"/>
      <c r="C330" s="5" t="n"/>
      <c r="D330" s="5" t="n"/>
      <c r="E330" s="8" t="n"/>
      <c r="F330" s="5" t="n"/>
      <c r="G330" s="5" t="n"/>
      <c r="H330" s="5" t="n"/>
    </row>
    <row r="331">
      <c r="A331" s="5" t="n"/>
      <c r="B331" s="5" t="n"/>
      <c r="C331" s="5" t="n"/>
      <c r="D331" s="5" t="n"/>
      <c r="E331" s="8" t="n"/>
      <c r="F331" s="5" t="n"/>
      <c r="G331" s="5" t="n"/>
      <c r="H331" s="5" t="n"/>
    </row>
    <row r="332">
      <c r="A332" s="5" t="n"/>
      <c r="B332" s="5" t="n"/>
      <c r="C332" s="5" t="n"/>
      <c r="D332" s="5" t="n"/>
      <c r="E332" s="8" t="n"/>
      <c r="F332" s="5" t="n"/>
      <c r="G332" s="5" t="n"/>
      <c r="H332" s="5" t="n"/>
    </row>
    <row r="333">
      <c r="A333" s="5" t="n"/>
      <c r="B333" s="5" t="n"/>
      <c r="C333" s="5" t="n"/>
      <c r="D333" s="5" t="n"/>
      <c r="E333" s="8" t="n"/>
      <c r="F333" s="5" t="n"/>
      <c r="G333" s="5" t="n"/>
      <c r="H333" s="5" t="n"/>
    </row>
    <row r="334">
      <c r="A334" s="5" t="n"/>
      <c r="B334" s="5" t="n"/>
      <c r="C334" s="5" t="n"/>
      <c r="D334" s="5" t="n"/>
      <c r="E334" s="8" t="n"/>
      <c r="F334" s="5" t="n"/>
      <c r="G334" s="5" t="n"/>
      <c r="H334" s="5" t="n"/>
    </row>
    <row r="335">
      <c r="A335" s="5" t="n"/>
      <c r="B335" s="5" t="n"/>
      <c r="C335" s="5" t="n"/>
      <c r="D335" s="5" t="n"/>
      <c r="E335" s="8" t="n"/>
      <c r="F335" s="5" t="n"/>
      <c r="G335" s="5" t="n"/>
      <c r="H335" s="5" t="n"/>
    </row>
    <row r="336">
      <c r="A336" s="5" t="n"/>
      <c r="B336" s="5" t="n"/>
      <c r="C336" s="5" t="n"/>
      <c r="D336" s="5" t="n"/>
      <c r="E336" s="8" t="n"/>
      <c r="F336" s="5" t="n"/>
      <c r="G336" s="5" t="n"/>
      <c r="H336" s="5" t="n"/>
    </row>
    <row r="337">
      <c r="A337" s="5" t="n"/>
      <c r="B337" s="5" t="n"/>
      <c r="C337" s="5" t="n"/>
      <c r="D337" s="5" t="n"/>
      <c r="E337" s="8" t="n"/>
      <c r="F337" s="5" t="n"/>
      <c r="G337" s="5" t="n"/>
      <c r="H337" s="5" t="n"/>
    </row>
    <row r="338">
      <c r="A338" s="5" t="n"/>
      <c r="B338" s="5" t="n"/>
      <c r="C338" s="5" t="n"/>
      <c r="D338" s="5" t="n"/>
      <c r="E338" s="8" t="n"/>
      <c r="F338" s="5" t="n"/>
      <c r="G338" s="5" t="n"/>
      <c r="H338" s="5" t="n"/>
    </row>
    <row r="339">
      <c r="A339" s="5" t="n"/>
      <c r="B339" s="5" t="n"/>
      <c r="C339" s="5" t="n"/>
      <c r="D339" s="5" t="n"/>
      <c r="E339" s="8" t="n"/>
      <c r="F339" s="5" t="n"/>
      <c r="G339" s="5" t="n"/>
      <c r="H339" s="5" t="n"/>
    </row>
    <row r="340">
      <c r="A340" s="5" t="n"/>
      <c r="B340" s="5" t="n"/>
      <c r="C340" s="5" t="n"/>
      <c r="D340" s="5" t="n"/>
      <c r="E340" s="8" t="n"/>
      <c r="F340" s="5" t="n"/>
      <c r="G340" s="5" t="n"/>
      <c r="H340" s="5" t="n"/>
    </row>
    <row r="341">
      <c r="A341" s="5" t="n"/>
      <c r="B341" s="5" t="n"/>
      <c r="C341" s="5" t="n"/>
      <c r="D341" s="5" t="n"/>
      <c r="E341" s="8" t="n"/>
      <c r="F341" s="5" t="n"/>
      <c r="G341" s="5" t="n"/>
      <c r="H341" s="5" t="n"/>
    </row>
    <row r="342">
      <c r="A342" s="5" t="n"/>
      <c r="B342" s="5" t="n"/>
      <c r="C342" s="5" t="n"/>
      <c r="D342" s="5" t="n"/>
      <c r="E342" s="8" t="n"/>
      <c r="F342" s="5" t="n"/>
      <c r="G342" s="5" t="n"/>
      <c r="H342" s="5" t="n"/>
    </row>
    <row r="343">
      <c r="A343" s="5" t="n"/>
      <c r="B343" s="5" t="n"/>
      <c r="C343" s="5" t="n"/>
      <c r="D343" s="5" t="n"/>
      <c r="E343" s="8" t="n"/>
      <c r="F343" s="5" t="n"/>
      <c r="G343" s="5" t="n"/>
      <c r="H343" s="5" t="n"/>
    </row>
    <row r="344">
      <c r="A344" s="5" t="n"/>
      <c r="B344" s="5" t="n"/>
      <c r="C344" s="5" t="n"/>
      <c r="D344" s="5" t="n"/>
      <c r="E344" s="8" t="n"/>
      <c r="F344" s="5" t="n"/>
      <c r="G344" s="5" t="n"/>
      <c r="H344" s="5" t="n"/>
    </row>
    <row r="345">
      <c r="A345" s="5" t="n"/>
      <c r="B345" s="5" t="n"/>
      <c r="C345" s="5" t="n"/>
      <c r="D345" s="5" t="n"/>
      <c r="E345" s="8" t="n"/>
      <c r="F345" s="5" t="n"/>
      <c r="G345" s="5" t="n"/>
      <c r="H345" s="5" t="n"/>
    </row>
    <row r="346">
      <c r="A346" s="5" t="n"/>
      <c r="B346" s="5" t="n"/>
      <c r="C346" s="5" t="n"/>
      <c r="D346" s="5" t="n"/>
      <c r="E346" s="8" t="n"/>
      <c r="F346" s="5" t="n"/>
      <c r="G346" s="5" t="n"/>
      <c r="H346" s="5" t="n"/>
    </row>
    <row r="347">
      <c r="A347" s="5" t="n"/>
      <c r="B347" s="5" t="n"/>
      <c r="C347" s="5" t="n"/>
      <c r="D347" s="5" t="n"/>
      <c r="E347" s="8" t="n"/>
      <c r="F347" s="5" t="n"/>
      <c r="G347" s="5" t="n"/>
      <c r="H347" s="5" t="n"/>
    </row>
    <row r="348">
      <c r="A348" s="5" t="n"/>
      <c r="B348" s="5" t="n"/>
      <c r="C348" s="5" t="n"/>
      <c r="D348" s="5" t="n"/>
      <c r="E348" s="8" t="n"/>
      <c r="F348" s="5" t="n"/>
      <c r="G348" s="5" t="n"/>
      <c r="H348" s="5" t="n"/>
    </row>
    <row r="349">
      <c r="A349" s="5" t="n"/>
      <c r="B349" s="5" t="n"/>
      <c r="C349" s="5" t="n"/>
      <c r="D349" s="5" t="n"/>
      <c r="E349" s="8" t="n"/>
      <c r="F349" s="5" t="n"/>
      <c r="G349" s="5" t="n"/>
      <c r="H349" s="5" t="n"/>
    </row>
    <row r="350">
      <c r="A350" s="5" t="n"/>
      <c r="B350" s="5" t="n"/>
      <c r="C350" s="5" t="n"/>
      <c r="D350" s="5" t="n"/>
      <c r="E350" s="8" t="n"/>
      <c r="F350" s="5" t="n"/>
      <c r="G350" s="5" t="n"/>
      <c r="H350" s="5" t="n"/>
    </row>
    <row r="351">
      <c r="A351" s="5" t="n"/>
      <c r="B351" s="5" t="n"/>
      <c r="C351" s="5" t="n"/>
      <c r="D351" s="5" t="n"/>
      <c r="E351" s="8" t="n"/>
      <c r="F351" s="5" t="n"/>
      <c r="G351" s="5" t="n"/>
      <c r="H351" s="5" t="n"/>
    </row>
    <row r="352">
      <c r="A352" s="5" t="n"/>
      <c r="B352" s="5" t="n"/>
      <c r="C352" s="5" t="n"/>
      <c r="D352" s="5" t="n"/>
      <c r="E352" s="8" t="n"/>
      <c r="F352" s="5" t="n"/>
      <c r="G352" s="5" t="n"/>
      <c r="H352" s="5" t="n"/>
    </row>
    <row r="353">
      <c r="A353" s="5" t="n"/>
      <c r="B353" s="5" t="n"/>
      <c r="C353" s="5" t="n"/>
      <c r="D353" s="5" t="n"/>
      <c r="E353" s="8" t="n"/>
      <c r="F353" s="5" t="n"/>
      <c r="G353" s="5" t="n"/>
      <c r="H353" s="5" t="n"/>
    </row>
    <row r="354">
      <c r="A354" s="5" t="n"/>
      <c r="B354" s="5" t="n"/>
      <c r="C354" s="5" t="n"/>
      <c r="D354" s="5" t="n"/>
      <c r="E354" s="8" t="n"/>
      <c r="F354" s="5" t="n"/>
      <c r="G354" s="5" t="n"/>
      <c r="H354" s="5" t="n"/>
    </row>
    <row r="355">
      <c r="A355" s="5" t="n"/>
      <c r="B355" s="5" t="n"/>
      <c r="C355" s="5" t="n"/>
      <c r="D355" s="5" t="n"/>
      <c r="E355" s="8" t="n"/>
      <c r="F355" s="5" t="n"/>
      <c r="G355" s="5" t="n"/>
      <c r="H355" s="5" t="n"/>
    </row>
    <row r="356">
      <c r="A356" s="5" t="n"/>
      <c r="B356" s="5" t="n"/>
      <c r="C356" s="5" t="n"/>
      <c r="D356" s="5" t="n"/>
      <c r="E356" s="8" t="n"/>
      <c r="F356" s="5" t="n"/>
      <c r="G356" s="5" t="n"/>
      <c r="H356" s="5" t="n"/>
    </row>
    <row r="357">
      <c r="A357" s="5" t="n"/>
      <c r="B357" s="5" t="n"/>
      <c r="C357" s="5" t="n"/>
      <c r="D357" s="5" t="n"/>
      <c r="E357" s="8" t="n"/>
      <c r="F357" s="5" t="n"/>
      <c r="G357" s="5" t="n"/>
      <c r="H357" s="5" t="n"/>
    </row>
    <row r="358">
      <c r="A358" s="5" t="n"/>
      <c r="B358" s="5" t="n"/>
      <c r="C358" s="5" t="n"/>
      <c r="D358" s="5" t="n"/>
      <c r="E358" s="8" t="n"/>
      <c r="F358" s="5" t="n"/>
      <c r="G358" s="5" t="n"/>
      <c r="H358" s="5" t="n"/>
    </row>
    <row r="359">
      <c r="A359" s="5" t="n"/>
      <c r="B359" s="5" t="n"/>
      <c r="C359" s="5" t="n"/>
      <c r="D359" s="5" t="n"/>
      <c r="E359" s="8" t="n"/>
      <c r="F359" s="5" t="n"/>
      <c r="G359" s="5" t="n"/>
      <c r="H359" s="5" t="n"/>
    </row>
    <row r="360">
      <c r="A360" s="5" t="n"/>
      <c r="B360" s="5" t="n"/>
      <c r="C360" s="5" t="n"/>
      <c r="D360" s="5" t="n"/>
      <c r="E360" s="8" t="n"/>
      <c r="F360" s="5" t="n"/>
      <c r="G360" s="5" t="n"/>
      <c r="H360" s="5" t="n"/>
    </row>
    <row r="361">
      <c r="A361" s="5" t="n"/>
      <c r="B361" s="5" t="n"/>
      <c r="C361" s="5" t="n"/>
      <c r="D361" s="5" t="n"/>
      <c r="E361" s="8" t="n"/>
      <c r="F361" s="5" t="n"/>
      <c r="G361" s="5" t="n"/>
      <c r="H361" s="5" t="n"/>
    </row>
    <row r="362">
      <c r="A362" s="5" t="n"/>
      <c r="B362" s="5" t="n"/>
      <c r="C362" s="5" t="n"/>
      <c r="D362" s="5" t="n"/>
      <c r="E362" s="8" t="n"/>
      <c r="F362" s="5" t="n"/>
      <c r="G362" s="5" t="n"/>
      <c r="H362" s="5" t="n"/>
    </row>
    <row r="363">
      <c r="A363" s="5" t="n"/>
      <c r="B363" s="5" t="n"/>
      <c r="C363" s="5" t="n"/>
      <c r="D363" s="5" t="n"/>
      <c r="E363" s="8" t="n"/>
      <c r="F363" s="5" t="n"/>
      <c r="G363" s="5" t="n"/>
      <c r="H363" s="5" t="n"/>
    </row>
    <row r="364">
      <c r="A364" s="5" t="n"/>
      <c r="B364" s="5" t="n"/>
      <c r="C364" s="5" t="n"/>
      <c r="D364" s="5" t="n"/>
      <c r="E364" s="8" t="n"/>
      <c r="F364" s="5" t="n"/>
      <c r="G364" s="5" t="n"/>
      <c r="H364" s="5" t="n"/>
    </row>
    <row r="365">
      <c r="A365" s="5" t="n"/>
      <c r="B365" s="5" t="n"/>
      <c r="C365" s="5" t="n"/>
      <c r="D365" s="5" t="n"/>
      <c r="E365" s="8" t="n"/>
      <c r="F365" s="5" t="n"/>
      <c r="G365" s="5" t="n"/>
      <c r="H365" s="5" t="n"/>
    </row>
    <row r="366">
      <c r="A366" s="5" t="n"/>
      <c r="B366" s="5" t="n"/>
      <c r="C366" s="5" t="n"/>
      <c r="D366" s="5" t="n"/>
      <c r="E366" s="8" t="n"/>
      <c r="F366" s="5" t="n"/>
      <c r="G366" s="5" t="n"/>
      <c r="H366" s="5" t="n"/>
    </row>
    <row r="367">
      <c r="A367" s="5" t="n"/>
      <c r="B367" s="5" t="n"/>
      <c r="C367" s="5" t="n"/>
      <c r="D367" s="5" t="n"/>
      <c r="E367" s="8" t="n"/>
      <c r="F367" s="5" t="n"/>
      <c r="G367" s="5" t="n"/>
      <c r="H367" s="5" t="n"/>
    </row>
    <row r="368">
      <c r="A368" s="5" t="n"/>
      <c r="B368" s="5" t="n"/>
      <c r="C368" s="5" t="n"/>
      <c r="D368" s="5" t="n"/>
      <c r="E368" s="8" t="n"/>
      <c r="F368" s="5" t="n"/>
      <c r="G368" s="5" t="n"/>
      <c r="H368" s="5" t="n"/>
    </row>
    <row r="369">
      <c r="A369" s="5" t="n"/>
      <c r="B369" s="5" t="n"/>
      <c r="C369" s="5" t="n"/>
      <c r="D369" s="5" t="n"/>
      <c r="E369" s="8" t="n"/>
      <c r="F369" s="5" t="n"/>
      <c r="G369" s="5" t="n"/>
      <c r="H369" s="5" t="n"/>
    </row>
    <row r="370">
      <c r="A370" s="5" t="n"/>
      <c r="B370" s="5" t="n"/>
      <c r="C370" s="5" t="n"/>
      <c r="D370" s="5" t="n"/>
      <c r="E370" s="8" t="n"/>
      <c r="F370" s="5" t="n"/>
      <c r="G370" s="5" t="n"/>
      <c r="H370" s="5" t="n"/>
    </row>
    <row r="371">
      <c r="A371" s="5" t="n"/>
      <c r="B371" s="5" t="n"/>
      <c r="C371" s="5" t="n"/>
      <c r="D371" s="5" t="n"/>
      <c r="E371" s="8" t="n"/>
      <c r="F371" s="5" t="n"/>
      <c r="G371" s="5" t="n"/>
      <c r="H371" s="5" t="n"/>
    </row>
    <row r="372">
      <c r="A372" s="5" t="n"/>
      <c r="B372" s="5" t="n"/>
      <c r="C372" s="5" t="n"/>
      <c r="D372" s="5" t="n"/>
      <c r="E372" s="8" t="n"/>
      <c r="F372" s="5" t="n"/>
      <c r="G372" s="5" t="n"/>
      <c r="H372" s="5" t="n"/>
    </row>
    <row r="373">
      <c r="A373" s="5" t="n"/>
      <c r="B373" s="5" t="n"/>
      <c r="C373" s="5" t="n"/>
      <c r="D373" s="5" t="n"/>
      <c r="E373" s="8" t="n"/>
      <c r="F373" s="5" t="n"/>
      <c r="G373" s="5" t="n"/>
      <c r="H373" s="5" t="n"/>
    </row>
    <row r="374">
      <c r="A374" s="5" t="n"/>
      <c r="B374" s="5" t="n"/>
      <c r="C374" s="5" t="n"/>
      <c r="D374" s="5" t="n"/>
      <c r="E374" s="8" t="n"/>
      <c r="F374" s="5" t="n"/>
      <c r="G374" s="5" t="n"/>
      <c r="H374" s="5" t="n"/>
    </row>
    <row r="375">
      <c r="A375" s="5" t="n"/>
      <c r="B375" s="5" t="n"/>
      <c r="C375" s="5" t="n"/>
      <c r="D375" s="5" t="n"/>
      <c r="E375" s="8" t="n"/>
      <c r="F375" s="5" t="n"/>
      <c r="G375" s="5" t="n"/>
      <c r="H375" s="5" t="n"/>
    </row>
    <row r="376">
      <c r="A376" s="5" t="n"/>
      <c r="B376" s="5" t="n"/>
      <c r="C376" s="5" t="n"/>
      <c r="D376" s="5" t="n"/>
      <c r="E376" s="8" t="n"/>
      <c r="F376" s="5" t="n"/>
      <c r="G376" s="5" t="n"/>
      <c r="H376" s="5" t="n"/>
    </row>
    <row r="377">
      <c r="A377" s="5" t="n"/>
      <c r="B377" s="5" t="n"/>
      <c r="C377" s="5" t="n"/>
      <c r="D377" s="5" t="n"/>
      <c r="E377" s="8" t="n"/>
      <c r="F377" s="5" t="n"/>
      <c r="G377" s="5" t="n"/>
      <c r="H377" s="5" t="n"/>
    </row>
    <row r="378">
      <c r="A378" s="5" t="n"/>
      <c r="B378" s="5" t="n"/>
      <c r="C378" s="5" t="n"/>
      <c r="D378" s="5" t="n"/>
      <c r="E378" s="8" t="n"/>
      <c r="F378" s="5" t="n"/>
      <c r="G378" s="5" t="n"/>
      <c r="H378" s="5" t="n"/>
    </row>
    <row r="379">
      <c r="A379" s="5" t="n"/>
      <c r="B379" s="5" t="n"/>
      <c r="C379" s="5" t="n"/>
      <c r="D379" s="5" t="n"/>
      <c r="E379" s="8" t="n"/>
      <c r="F379" s="5" t="n"/>
      <c r="G379" s="5" t="n"/>
      <c r="H379" s="5" t="n"/>
    </row>
    <row r="380">
      <c r="A380" s="5" t="n"/>
      <c r="B380" s="5" t="n"/>
      <c r="C380" s="5" t="n"/>
      <c r="D380" s="5" t="n"/>
      <c r="E380" s="8" t="n"/>
      <c r="F380" s="5" t="n"/>
      <c r="G380" s="5" t="n"/>
      <c r="H380" s="5" t="n"/>
    </row>
    <row r="381">
      <c r="A381" s="5" t="n"/>
      <c r="B381" s="5" t="n"/>
      <c r="C381" s="5" t="n"/>
      <c r="D381" s="5" t="n"/>
      <c r="E381" s="8" t="n"/>
      <c r="F381" s="5" t="n"/>
      <c r="G381" s="5" t="n"/>
      <c r="H381" s="5" t="n"/>
    </row>
    <row r="382">
      <c r="A382" s="5" t="n"/>
      <c r="B382" s="5" t="n"/>
      <c r="C382" s="5" t="n"/>
      <c r="D382" s="5" t="n"/>
      <c r="E382" s="8" t="n"/>
      <c r="F382" s="5" t="n"/>
      <c r="G382" s="5" t="n"/>
      <c r="H382" s="5" t="n"/>
    </row>
    <row r="383">
      <c r="A383" s="5" t="n"/>
      <c r="B383" s="5" t="n"/>
      <c r="C383" s="5" t="n"/>
      <c r="D383" s="5" t="n"/>
      <c r="E383" s="8" t="n"/>
      <c r="F383" s="5" t="n"/>
      <c r="G383" s="5" t="n"/>
      <c r="H383" s="5" t="n"/>
    </row>
    <row r="384">
      <c r="A384" s="5" t="n"/>
      <c r="B384" s="5" t="n"/>
      <c r="C384" s="5" t="n"/>
      <c r="D384" s="5" t="n"/>
      <c r="E384" s="8" t="n"/>
      <c r="F384" s="5" t="n"/>
      <c r="G384" s="5" t="n"/>
      <c r="H384" s="5" t="n"/>
    </row>
    <row r="385">
      <c r="A385" s="5" t="n"/>
      <c r="B385" s="5" t="n"/>
      <c r="C385" s="5" t="n"/>
      <c r="D385" s="5" t="n"/>
      <c r="E385" s="8" t="n"/>
      <c r="F385" s="5" t="n"/>
      <c r="G385" s="5" t="n"/>
      <c r="H385" s="5" t="n"/>
    </row>
    <row r="386">
      <c r="A386" s="5" t="n"/>
      <c r="B386" s="5" t="n"/>
      <c r="C386" s="5" t="n"/>
      <c r="D386" s="5" t="n"/>
      <c r="E386" s="8" t="n"/>
      <c r="F386" s="5" t="n"/>
      <c r="G386" s="5" t="n"/>
      <c r="H386" s="5" t="n"/>
    </row>
    <row r="387">
      <c r="A387" s="5" t="n"/>
      <c r="B387" s="5" t="n"/>
      <c r="C387" s="5" t="n"/>
      <c r="D387" s="5" t="n"/>
      <c r="E387" s="8" t="n"/>
      <c r="F387" s="5" t="n"/>
      <c r="G387" s="5" t="n"/>
      <c r="H387" s="5" t="n"/>
    </row>
    <row r="388">
      <c r="A388" s="5" t="n"/>
      <c r="B388" s="5" t="n"/>
      <c r="C388" s="5" t="n"/>
      <c r="D388" s="5" t="n"/>
      <c r="E388" s="8" t="n"/>
      <c r="F388" s="5" t="n"/>
      <c r="G388" s="5" t="n"/>
      <c r="H388" s="5" t="n"/>
    </row>
    <row r="389">
      <c r="A389" s="5" t="n"/>
      <c r="B389" s="5" t="n"/>
      <c r="C389" s="5" t="n"/>
      <c r="D389" s="5" t="n"/>
      <c r="E389" s="8" t="n"/>
      <c r="F389" s="5" t="n"/>
      <c r="G389" s="5" t="n"/>
      <c r="H389" s="5" t="n"/>
    </row>
    <row r="390">
      <c r="A390" s="5" t="n"/>
      <c r="B390" s="5" t="n"/>
      <c r="C390" s="5" t="n"/>
      <c r="D390" s="5" t="n"/>
      <c r="E390" s="8" t="n"/>
      <c r="F390" s="5" t="n"/>
      <c r="G390" s="5" t="n"/>
      <c r="H390" s="5" t="n"/>
    </row>
    <row r="391">
      <c r="A391" s="5" t="n"/>
      <c r="B391" s="5" t="n"/>
      <c r="C391" s="5" t="n"/>
      <c r="D391" s="5" t="n"/>
      <c r="E391" s="8" t="n"/>
      <c r="F391" s="5" t="n"/>
      <c r="G391" s="5" t="n"/>
      <c r="H391" s="5" t="n"/>
    </row>
    <row r="392">
      <c r="A392" s="5" t="n"/>
      <c r="B392" s="5" t="n"/>
      <c r="C392" s="5" t="n"/>
      <c r="D392" s="5" t="n"/>
      <c r="E392" s="8" t="n"/>
      <c r="F392" s="5" t="n"/>
      <c r="G392" s="5" t="n"/>
      <c r="H392" s="5" t="n"/>
    </row>
    <row r="393">
      <c r="A393" s="5" t="n"/>
      <c r="B393" s="5" t="n"/>
      <c r="C393" s="5" t="n"/>
      <c r="D393" s="5" t="n"/>
      <c r="E393" s="8" t="n"/>
      <c r="F393" s="5" t="n"/>
      <c r="G393" s="5" t="n"/>
      <c r="H393" s="5" t="n"/>
    </row>
    <row r="394">
      <c r="A394" s="5" t="n"/>
      <c r="B394" s="5" t="n"/>
      <c r="C394" s="5" t="n"/>
      <c r="D394" s="5" t="n"/>
      <c r="E394" s="8" t="n"/>
      <c r="F394" s="5" t="n"/>
      <c r="G394" s="5" t="n"/>
      <c r="H394" s="5" t="n"/>
    </row>
    <row r="395">
      <c r="A395" s="5" t="n"/>
      <c r="B395" s="5" t="n"/>
      <c r="C395" s="5" t="n"/>
      <c r="D395" s="5" t="n"/>
      <c r="E395" s="8" t="n"/>
      <c r="F395" s="5" t="n"/>
      <c r="G395" s="5" t="n"/>
      <c r="H395" s="5" t="n"/>
    </row>
    <row r="396">
      <c r="A396" s="5" t="n"/>
      <c r="B396" s="5" t="n"/>
      <c r="C396" s="5" t="n"/>
      <c r="D396" s="5" t="n"/>
      <c r="E396" s="8" t="n"/>
      <c r="F396" s="5" t="n"/>
      <c r="G396" s="5" t="n"/>
      <c r="H396" s="5" t="n"/>
    </row>
    <row r="397">
      <c r="A397" s="5" t="n"/>
      <c r="B397" s="5" t="n"/>
      <c r="C397" s="5" t="n"/>
      <c r="D397" s="5" t="n"/>
      <c r="E397" s="8" t="n"/>
      <c r="F397" s="5" t="n"/>
      <c r="G397" s="5" t="n"/>
      <c r="H397" s="5" t="n"/>
    </row>
    <row r="398">
      <c r="A398" s="5" t="n"/>
      <c r="B398" s="5" t="n"/>
      <c r="C398" s="5" t="n"/>
      <c r="D398" s="5" t="n"/>
      <c r="E398" s="8" t="n"/>
      <c r="F398" s="5" t="n"/>
      <c r="G398" s="5" t="n"/>
      <c r="H398" s="5" t="n"/>
    </row>
    <row r="399">
      <c r="A399" s="5" t="n"/>
      <c r="B399" s="5" t="n"/>
      <c r="C399" s="5" t="n"/>
      <c r="D399" s="5" t="n"/>
      <c r="E399" s="8" t="n"/>
      <c r="F399" s="5" t="n"/>
      <c r="G399" s="5" t="n"/>
      <c r="H399" s="5" t="n"/>
    </row>
    <row r="400">
      <c r="A400" s="5" t="n"/>
      <c r="B400" s="5" t="n"/>
      <c r="C400" s="5" t="n"/>
      <c r="D400" s="5" t="n"/>
      <c r="E400" s="8" t="n"/>
      <c r="F400" s="5" t="n"/>
      <c r="G400" s="5" t="n"/>
      <c r="H400" s="5" t="n"/>
    </row>
    <row r="401">
      <c r="A401" s="5" t="n"/>
      <c r="B401" s="5" t="n"/>
      <c r="C401" s="5" t="n"/>
      <c r="D401" s="5" t="n"/>
      <c r="E401" s="8" t="n"/>
      <c r="F401" s="5" t="n"/>
      <c r="G401" s="5" t="n"/>
      <c r="H401" s="5" t="n"/>
    </row>
    <row r="402">
      <c r="A402" s="5" t="n"/>
      <c r="B402" s="5" t="n"/>
      <c r="C402" s="5" t="n"/>
      <c r="D402" s="5" t="n"/>
      <c r="E402" s="8" t="n"/>
      <c r="F402" s="5" t="n"/>
      <c r="G402" s="5" t="n"/>
      <c r="H402" s="5" t="n"/>
    </row>
    <row r="403">
      <c r="A403" s="5" t="n"/>
      <c r="B403" s="5" t="n"/>
      <c r="C403" s="5" t="n"/>
      <c r="D403" s="5" t="n"/>
      <c r="E403" s="8" t="n"/>
      <c r="F403" s="5" t="n"/>
      <c r="G403" s="5" t="n"/>
      <c r="H403" s="5" t="n"/>
    </row>
    <row r="404">
      <c r="A404" s="5" t="n"/>
      <c r="B404" s="5" t="n"/>
      <c r="C404" s="5" t="n"/>
      <c r="D404" s="5" t="n"/>
      <c r="E404" s="8" t="n"/>
      <c r="F404" s="5" t="n"/>
      <c r="G404" s="5" t="n"/>
      <c r="H404" s="5" t="n"/>
    </row>
    <row r="405">
      <c r="A405" s="5" t="n"/>
      <c r="B405" s="5" t="n"/>
      <c r="C405" s="5" t="n"/>
      <c r="D405" s="5" t="n"/>
      <c r="E405" s="8" t="n"/>
      <c r="F405" s="5" t="n"/>
      <c r="G405" s="5" t="n"/>
      <c r="H405" s="5" t="n"/>
    </row>
    <row r="406">
      <c r="A406" s="5" t="n"/>
      <c r="B406" s="5" t="n"/>
      <c r="C406" s="5" t="n"/>
      <c r="D406" s="5" t="n"/>
      <c r="E406" s="8" t="n"/>
      <c r="F406" s="5" t="n"/>
      <c r="G406" s="5" t="n"/>
      <c r="H406" s="5" t="n"/>
    </row>
    <row r="407">
      <c r="A407" s="5" t="n"/>
      <c r="B407" s="5" t="n"/>
      <c r="C407" s="5" t="n"/>
      <c r="D407" s="5" t="n"/>
      <c r="E407" s="8" t="n"/>
      <c r="F407" s="5" t="n"/>
      <c r="G407" s="5" t="n"/>
      <c r="H407" s="5" t="n"/>
    </row>
    <row r="408">
      <c r="A408" s="5" t="n"/>
      <c r="B408" s="5" t="n"/>
      <c r="C408" s="5" t="n"/>
      <c r="D408" s="5" t="n"/>
      <c r="E408" s="8" t="n"/>
      <c r="F408" s="5" t="n"/>
      <c r="G408" s="5" t="n"/>
      <c r="H408" s="5" t="n"/>
    </row>
    <row r="409">
      <c r="A409" s="5" t="n"/>
      <c r="B409" s="5" t="n"/>
      <c r="C409" s="5" t="n"/>
      <c r="D409" s="5" t="n"/>
      <c r="E409" s="8" t="n"/>
      <c r="F409" s="5" t="n"/>
      <c r="G409" s="5" t="n"/>
      <c r="H409" s="5" t="n"/>
    </row>
    <row r="410">
      <c r="A410" s="5" t="n"/>
      <c r="B410" s="5" t="n"/>
      <c r="C410" s="5" t="n"/>
      <c r="D410" s="5" t="n"/>
      <c r="E410" s="8" t="n"/>
      <c r="F410" s="5" t="n"/>
      <c r="G410" s="5" t="n"/>
      <c r="H410" s="5" t="n"/>
    </row>
    <row r="411">
      <c r="A411" s="5" t="n"/>
      <c r="B411" s="5" t="n"/>
      <c r="C411" s="5" t="n"/>
      <c r="D411" s="5" t="n"/>
      <c r="E411" s="8" t="n"/>
      <c r="F411" s="5" t="n"/>
      <c r="G411" s="5" t="n"/>
      <c r="H411" s="5" t="n"/>
    </row>
    <row r="412">
      <c r="A412" s="5" t="n"/>
      <c r="B412" s="5" t="n"/>
      <c r="C412" s="5" t="n"/>
      <c r="D412" s="5" t="n"/>
      <c r="E412" s="8" t="n"/>
      <c r="F412" s="5" t="n"/>
      <c r="G412" s="5" t="n"/>
      <c r="H412" s="5" t="n"/>
    </row>
    <row r="413">
      <c r="A413" s="5" t="n"/>
      <c r="B413" s="5" t="n"/>
      <c r="C413" s="5" t="n"/>
      <c r="D413" s="5" t="n"/>
      <c r="E413" s="8" t="n"/>
      <c r="F413" s="5" t="n"/>
      <c r="G413" s="5" t="n"/>
      <c r="H413" s="5" t="n"/>
    </row>
    <row r="414">
      <c r="A414" s="5" t="n"/>
      <c r="B414" s="5" t="n"/>
      <c r="C414" s="5" t="n"/>
      <c r="D414" s="5" t="n"/>
      <c r="E414" s="8" t="n"/>
      <c r="F414" s="5" t="n"/>
      <c r="G414" s="5" t="n"/>
      <c r="H414" s="5" t="n"/>
    </row>
    <row r="415">
      <c r="A415" s="5" t="n"/>
      <c r="B415" s="5" t="n"/>
      <c r="C415" s="5" t="n"/>
      <c r="D415" s="5" t="n"/>
      <c r="E415" s="8" t="n"/>
      <c r="F415" s="5" t="n"/>
      <c r="G415" s="5" t="n"/>
      <c r="H415" s="5" t="n"/>
    </row>
    <row r="416">
      <c r="A416" s="5" t="n"/>
      <c r="B416" s="5" t="n"/>
      <c r="C416" s="5" t="n"/>
      <c r="D416" s="5" t="n"/>
      <c r="E416" s="8" t="n"/>
      <c r="F416" s="5" t="n"/>
      <c r="G416" s="5" t="n"/>
      <c r="H416" s="5" t="n"/>
    </row>
    <row r="417">
      <c r="A417" s="5" t="n"/>
      <c r="B417" s="5" t="n"/>
      <c r="C417" s="5" t="n"/>
      <c r="D417" s="5" t="n"/>
      <c r="E417" s="8" t="n"/>
      <c r="F417" s="5" t="n"/>
      <c r="G417" s="5" t="n"/>
      <c r="H417" s="5" t="n"/>
    </row>
    <row r="418">
      <c r="A418" s="5" t="n"/>
      <c r="B418" s="5" t="n"/>
      <c r="C418" s="5" t="n"/>
      <c r="D418" s="5" t="n"/>
      <c r="E418" s="8" t="n"/>
      <c r="F418" s="5" t="n"/>
      <c r="G418" s="5" t="n"/>
      <c r="H418" s="5" t="n"/>
    </row>
    <row r="419">
      <c r="A419" s="5" t="n"/>
      <c r="B419" s="5" t="n"/>
      <c r="C419" s="5" t="n"/>
      <c r="D419" s="5" t="n"/>
      <c r="E419" s="8" t="n"/>
      <c r="F419" s="5" t="n"/>
      <c r="G419" s="5" t="n"/>
      <c r="H419" s="5" t="n"/>
    </row>
    <row r="420">
      <c r="A420" s="5" t="n"/>
      <c r="B420" s="5" t="n"/>
      <c r="C420" s="5" t="n"/>
      <c r="D420" s="5" t="n"/>
      <c r="E420" s="8" t="n"/>
      <c r="F420" s="5" t="n"/>
      <c r="G420" s="5" t="n"/>
      <c r="H420" s="5" t="n"/>
    </row>
    <row r="421">
      <c r="A421" s="5" t="n"/>
      <c r="B421" s="5" t="n"/>
      <c r="C421" s="5" t="n"/>
      <c r="D421" s="5" t="n"/>
      <c r="E421" s="8" t="n"/>
      <c r="F421" s="5" t="n"/>
      <c r="G421" s="5" t="n"/>
      <c r="H421" s="5" t="n"/>
    </row>
    <row r="422">
      <c r="A422" s="5" t="n"/>
      <c r="B422" s="5" t="n"/>
      <c r="C422" s="5" t="n"/>
      <c r="D422" s="5" t="n"/>
      <c r="E422" s="8" t="n"/>
      <c r="F422" s="5" t="n"/>
      <c r="G422" s="5" t="n"/>
      <c r="H422" s="5" t="n"/>
    </row>
    <row r="423">
      <c r="A423" s="5" t="n"/>
      <c r="B423" s="5" t="n"/>
      <c r="C423" s="5" t="n"/>
      <c r="D423" s="5" t="n"/>
      <c r="E423" s="8" t="n"/>
      <c r="F423" s="5" t="n"/>
      <c r="G423" s="5" t="n"/>
      <c r="H423" s="5" t="n"/>
    </row>
    <row r="424">
      <c r="A424" s="5" t="n"/>
      <c r="B424" s="5" t="n"/>
      <c r="C424" s="5" t="n"/>
      <c r="D424" s="5" t="n"/>
      <c r="E424" s="8" t="n"/>
      <c r="F424" s="5" t="n"/>
      <c r="G424" s="5" t="n"/>
      <c r="H424" s="5" t="n"/>
    </row>
    <row r="425">
      <c r="A425" s="5" t="n"/>
      <c r="B425" s="5" t="n"/>
      <c r="C425" s="5" t="n"/>
      <c r="D425" s="5" t="n"/>
      <c r="E425" s="8" t="n"/>
      <c r="F425" s="5" t="n"/>
      <c r="G425" s="5" t="n"/>
      <c r="H425" s="5" t="n"/>
    </row>
    <row r="426">
      <c r="A426" s="5" t="n"/>
      <c r="B426" s="5" t="n"/>
      <c r="C426" s="5" t="n"/>
      <c r="D426" s="5" t="n"/>
      <c r="E426" s="8" t="n"/>
      <c r="F426" s="5" t="n"/>
      <c r="G426" s="5" t="n"/>
      <c r="H426" s="5" t="n"/>
    </row>
    <row r="427">
      <c r="A427" s="5" t="n"/>
      <c r="B427" s="5" t="n"/>
      <c r="C427" s="5" t="n"/>
      <c r="D427" s="5" t="n"/>
      <c r="E427" s="8" t="n"/>
      <c r="F427" s="5" t="n"/>
      <c r="G427" s="5" t="n"/>
      <c r="H427" s="5" t="n"/>
    </row>
    <row r="428">
      <c r="A428" s="5" t="n"/>
      <c r="B428" s="5" t="n"/>
      <c r="C428" s="5" t="n"/>
      <c r="D428" s="5" t="n"/>
      <c r="E428" s="8" t="n"/>
      <c r="F428" s="5" t="n"/>
      <c r="G428" s="5" t="n"/>
      <c r="H428" s="5" t="n"/>
    </row>
    <row r="429">
      <c r="A429" s="5" t="n"/>
      <c r="B429" s="5" t="n"/>
      <c r="C429" s="5" t="n"/>
      <c r="D429" s="5" t="n"/>
      <c r="E429" s="8" t="n"/>
      <c r="F429" s="5" t="n"/>
      <c r="G429" s="5" t="n"/>
      <c r="H429" s="5" t="n"/>
    </row>
    <row r="430">
      <c r="A430" s="5" t="n"/>
      <c r="B430" s="5" t="n"/>
      <c r="C430" s="5" t="n"/>
      <c r="D430" s="5" t="n"/>
      <c r="E430" s="8" t="n"/>
      <c r="F430" s="5" t="n"/>
      <c r="G430" s="5" t="n"/>
      <c r="H430" s="5" t="n"/>
    </row>
    <row r="431">
      <c r="A431" s="5" t="n"/>
      <c r="B431" s="5" t="n"/>
      <c r="C431" s="5" t="n"/>
      <c r="D431" s="5" t="n"/>
      <c r="E431" s="8" t="n"/>
      <c r="F431" s="5" t="n"/>
      <c r="G431" s="5" t="n"/>
      <c r="H431" s="5" t="n"/>
    </row>
    <row r="432">
      <c r="A432" s="5" t="n"/>
      <c r="B432" s="5" t="n"/>
      <c r="C432" s="5" t="n"/>
      <c r="D432" s="5" t="n"/>
      <c r="E432" s="8" t="n"/>
      <c r="F432" s="5" t="n"/>
      <c r="G432" s="5" t="n"/>
      <c r="H432" s="5" t="n"/>
    </row>
    <row r="433">
      <c r="A433" s="5" t="n"/>
      <c r="B433" s="5" t="n"/>
      <c r="C433" s="5" t="n"/>
      <c r="D433" s="5" t="n"/>
      <c r="E433" s="8" t="n"/>
      <c r="F433" s="5" t="n"/>
      <c r="G433" s="5" t="n"/>
      <c r="H433" s="5" t="n"/>
    </row>
    <row r="434">
      <c r="A434" s="5" t="n"/>
      <c r="B434" s="5" t="n"/>
      <c r="C434" s="5" t="n"/>
      <c r="D434" s="5" t="n"/>
      <c r="E434" s="8" t="n"/>
      <c r="F434" s="5" t="n"/>
      <c r="G434" s="5" t="n"/>
      <c r="H434" s="5" t="n"/>
    </row>
    <row r="435">
      <c r="A435" s="5" t="n"/>
      <c r="B435" s="5" t="n"/>
      <c r="C435" s="5" t="n"/>
      <c r="D435" s="5" t="n"/>
      <c r="E435" s="8" t="n"/>
      <c r="F435" s="5" t="n"/>
      <c r="G435" s="5" t="n"/>
      <c r="H435" s="5" t="n"/>
    </row>
    <row r="436">
      <c r="A436" s="5" t="n"/>
      <c r="B436" s="5" t="n"/>
      <c r="C436" s="5" t="n"/>
      <c r="D436" s="5" t="n"/>
      <c r="E436" s="8" t="n"/>
      <c r="F436" s="5" t="n"/>
      <c r="G436" s="5" t="n"/>
      <c r="H436" s="5" t="n"/>
    </row>
    <row r="437">
      <c r="A437" s="5" t="n"/>
      <c r="B437" s="5" t="n"/>
      <c r="C437" s="5" t="n"/>
      <c r="D437" s="5" t="n"/>
      <c r="E437" s="8" t="n"/>
      <c r="F437" s="5" t="n"/>
      <c r="G437" s="5" t="n"/>
      <c r="H437" s="5" t="n"/>
    </row>
    <row r="438">
      <c r="A438" s="5" t="n"/>
      <c r="B438" s="5" t="n"/>
      <c r="C438" s="5" t="n"/>
      <c r="D438" s="5" t="n"/>
      <c r="E438" s="8" t="n"/>
      <c r="F438" s="5" t="n"/>
      <c r="G438" s="5" t="n"/>
      <c r="H438" s="5" t="n"/>
    </row>
    <row r="439">
      <c r="A439" s="5" t="n"/>
      <c r="B439" s="5" t="n"/>
      <c r="C439" s="5" t="n"/>
      <c r="D439" s="5" t="n"/>
      <c r="E439" s="8" t="n"/>
      <c r="F439" s="5" t="n"/>
      <c r="G439" s="5" t="n"/>
      <c r="H439" s="5" t="n"/>
    </row>
    <row r="440">
      <c r="A440" s="5" t="n"/>
      <c r="B440" s="5" t="n"/>
      <c r="C440" s="5" t="n"/>
      <c r="D440" s="5" t="n"/>
      <c r="E440" s="8" t="n"/>
      <c r="F440" s="5" t="n"/>
      <c r="G440" s="5" t="n"/>
      <c r="H440" s="5" t="n"/>
    </row>
    <row r="441">
      <c r="A441" s="5" t="n"/>
      <c r="B441" s="5" t="n"/>
      <c r="C441" s="5" t="n"/>
      <c r="D441" s="5" t="n"/>
      <c r="E441" s="8" t="n"/>
      <c r="F441" s="5" t="n"/>
      <c r="G441" s="5" t="n"/>
      <c r="H441" s="5" t="n"/>
    </row>
    <row r="442">
      <c r="A442" s="5" t="n"/>
      <c r="B442" s="5" t="n"/>
      <c r="C442" s="5" t="n"/>
      <c r="D442" s="5" t="n"/>
      <c r="E442" s="8" t="n"/>
      <c r="F442" s="5" t="n"/>
      <c r="G442" s="5" t="n"/>
      <c r="H442" s="5" t="n"/>
    </row>
    <row r="443">
      <c r="A443" s="5" t="n"/>
      <c r="B443" s="5" t="n"/>
      <c r="C443" s="5" t="n"/>
      <c r="D443" s="5" t="n"/>
      <c r="E443" s="8" t="n"/>
      <c r="F443" s="5" t="n"/>
      <c r="G443" s="5" t="n"/>
      <c r="H443" s="5" t="n"/>
    </row>
    <row r="444">
      <c r="A444" s="5" t="n"/>
      <c r="B444" s="5" t="n"/>
      <c r="C444" s="5" t="n"/>
      <c r="D444" s="5" t="n"/>
      <c r="E444" s="8" t="n"/>
      <c r="F444" s="5" t="n"/>
      <c r="G444" s="5" t="n"/>
      <c r="H444" s="5" t="n"/>
    </row>
    <row r="445">
      <c r="A445" s="5" t="n"/>
      <c r="B445" s="5" t="n"/>
      <c r="C445" s="5" t="n"/>
      <c r="D445" s="5" t="n"/>
      <c r="E445" s="8" t="n"/>
      <c r="F445" s="5" t="n"/>
      <c r="G445" s="5" t="n"/>
      <c r="H445" s="5" t="n"/>
    </row>
    <row r="446">
      <c r="A446" s="5" t="n"/>
      <c r="B446" s="5" t="n"/>
      <c r="C446" s="5" t="n"/>
      <c r="D446" s="5" t="n"/>
      <c r="E446" s="8" t="n"/>
      <c r="F446" s="5" t="n"/>
      <c r="G446" s="5" t="n"/>
      <c r="H446" s="5" t="n"/>
    </row>
    <row r="447">
      <c r="A447" s="5" t="n"/>
      <c r="B447" s="5" t="n"/>
      <c r="C447" s="5" t="n"/>
      <c r="D447" s="5" t="n"/>
      <c r="E447" s="8" t="n"/>
      <c r="F447" s="5" t="n"/>
      <c r="G447" s="5" t="n"/>
      <c r="H447" s="5" t="n"/>
    </row>
    <row r="448">
      <c r="A448" s="5" t="n"/>
      <c r="B448" s="5" t="n"/>
      <c r="C448" s="5" t="n"/>
      <c r="D448" s="5" t="n"/>
      <c r="E448" s="8" t="n"/>
      <c r="F448" s="5" t="n"/>
      <c r="G448" s="5" t="n"/>
      <c r="H448" s="5" t="n"/>
    </row>
    <row r="449">
      <c r="A449" s="5" t="n"/>
      <c r="B449" s="5" t="n"/>
      <c r="C449" s="5" t="n"/>
      <c r="D449" s="5" t="n"/>
      <c r="E449" s="8" t="n"/>
      <c r="F449" s="5" t="n"/>
      <c r="G449" s="5" t="n"/>
      <c r="H449" s="5" t="n"/>
    </row>
    <row r="450">
      <c r="A450" s="5" t="n"/>
      <c r="B450" s="5" t="n"/>
      <c r="C450" s="5" t="n"/>
      <c r="D450" s="5" t="n"/>
      <c r="E450" s="8" t="n"/>
      <c r="F450" s="5" t="n"/>
      <c r="G450" s="5" t="n"/>
      <c r="H450" s="5" t="n"/>
    </row>
    <row r="451">
      <c r="A451" s="5" t="n"/>
      <c r="B451" s="5" t="n"/>
      <c r="C451" s="5" t="n"/>
      <c r="D451" s="5" t="n"/>
      <c r="E451" s="8" t="n"/>
      <c r="F451" s="5" t="n"/>
      <c r="G451" s="5" t="n"/>
      <c r="H451" s="5" t="n"/>
    </row>
    <row r="452">
      <c r="A452" s="5" t="n"/>
      <c r="B452" s="5" t="n"/>
      <c r="C452" s="5" t="n"/>
      <c r="D452" s="5" t="n"/>
      <c r="E452" s="8" t="n"/>
      <c r="F452" s="5" t="n"/>
      <c r="G452" s="5" t="n"/>
      <c r="H452" s="5" t="n"/>
    </row>
    <row r="453">
      <c r="A453" s="5" t="n"/>
      <c r="B453" s="5" t="n"/>
      <c r="C453" s="5" t="n"/>
      <c r="D453" s="5" t="n"/>
      <c r="E453" s="8" t="n"/>
      <c r="F453" s="5" t="n"/>
      <c r="G453" s="5" t="n"/>
      <c r="H453" s="5" t="n"/>
    </row>
    <row r="454">
      <c r="A454" s="5" t="n"/>
      <c r="B454" s="5" t="n"/>
      <c r="C454" s="5" t="n"/>
      <c r="D454" s="5" t="n"/>
      <c r="E454" s="8" t="n"/>
      <c r="F454" s="5" t="n"/>
      <c r="G454" s="5" t="n"/>
      <c r="H454" s="5" t="n"/>
    </row>
    <row r="455">
      <c r="A455" s="5" t="n"/>
      <c r="B455" s="5" t="n"/>
      <c r="C455" s="5" t="n"/>
      <c r="D455" s="5" t="n"/>
      <c r="E455" s="8" t="n"/>
      <c r="F455" s="5" t="n"/>
      <c r="G455" s="5" t="n"/>
      <c r="H455" s="5" t="n"/>
    </row>
    <row r="456">
      <c r="A456" s="5" t="n"/>
      <c r="B456" s="5" t="n"/>
      <c r="C456" s="5" t="n"/>
      <c r="D456" s="5" t="n"/>
      <c r="E456" s="8" t="n"/>
      <c r="F456" s="5" t="n"/>
      <c r="G456" s="5" t="n"/>
      <c r="H456" s="5" t="n"/>
    </row>
    <row r="457">
      <c r="A457" s="5" t="n"/>
      <c r="B457" s="5" t="n"/>
      <c r="C457" s="5" t="n"/>
      <c r="D457" s="5" t="n"/>
      <c r="E457" s="8" t="n"/>
      <c r="F457" s="5" t="n"/>
      <c r="G457" s="5" t="n"/>
      <c r="H457" s="5" t="n"/>
    </row>
    <row r="458">
      <c r="A458" s="5" t="n"/>
      <c r="B458" s="5" t="n"/>
      <c r="C458" s="5" t="n"/>
      <c r="D458" s="5" t="n"/>
      <c r="E458" s="8" t="n"/>
      <c r="F458" s="5" t="n"/>
      <c r="G458" s="5" t="n"/>
      <c r="H458" s="5" t="n"/>
    </row>
    <row r="459">
      <c r="A459" s="5" t="n"/>
      <c r="B459" s="5" t="n"/>
      <c r="C459" s="5" t="n"/>
      <c r="D459" s="5" t="n"/>
      <c r="E459" s="8" t="n"/>
      <c r="F459" s="5" t="n"/>
      <c r="G459" s="5" t="n"/>
      <c r="H459" s="5" t="n"/>
    </row>
    <row r="460">
      <c r="A460" s="5" t="n"/>
      <c r="B460" s="5" t="n"/>
      <c r="C460" s="5" t="n"/>
      <c r="D460" s="5" t="n"/>
      <c r="E460" s="8" t="n"/>
      <c r="F460" s="5" t="n"/>
      <c r="G460" s="5" t="n"/>
      <c r="H460" s="5" t="n"/>
    </row>
    <row r="461">
      <c r="A461" s="5" t="n"/>
      <c r="B461" s="5" t="n"/>
      <c r="C461" s="5" t="n"/>
      <c r="D461" s="5" t="n"/>
      <c r="E461" s="8" t="n"/>
      <c r="F461" s="5" t="n"/>
      <c r="G461" s="5" t="n"/>
      <c r="H461" s="5" t="n"/>
    </row>
    <row r="462">
      <c r="A462" s="5" t="n"/>
      <c r="B462" s="5" t="n"/>
      <c r="C462" s="5" t="n"/>
      <c r="D462" s="5" t="n"/>
      <c r="E462" s="8" t="n"/>
      <c r="F462" s="5" t="n"/>
      <c r="G462" s="5" t="n"/>
      <c r="H462" s="5" t="n"/>
    </row>
    <row r="463">
      <c r="A463" s="5" t="n"/>
      <c r="B463" s="5" t="n"/>
      <c r="C463" s="5" t="n"/>
      <c r="D463" s="5" t="n"/>
      <c r="E463" s="8" t="n"/>
      <c r="F463" s="5" t="n"/>
      <c r="G463" s="5" t="n"/>
      <c r="H463" s="5" t="n"/>
    </row>
    <row r="464">
      <c r="A464" s="5" t="n"/>
      <c r="B464" s="5" t="n"/>
      <c r="C464" s="5" t="n"/>
      <c r="D464" s="5" t="n"/>
      <c r="E464" s="8" t="n"/>
      <c r="F464" s="5" t="n"/>
      <c r="G464" s="5" t="n"/>
      <c r="H464" s="5" t="n"/>
    </row>
    <row r="465">
      <c r="A465" s="5" t="n"/>
      <c r="B465" s="5" t="n"/>
      <c r="C465" s="5" t="n"/>
      <c r="D465" s="5" t="n"/>
      <c r="E465" s="8" t="n"/>
      <c r="F465" s="5" t="n"/>
      <c r="G465" s="5" t="n"/>
      <c r="H465" s="5" t="n"/>
    </row>
    <row r="466">
      <c r="A466" s="5" t="n"/>
      <c r="B466" s="5" t="n"/>
      <c r="C466" s="5" t="n"/>
      <c r="D466" s="5" t="n"/>
      <c r="E466" s="8" t="n"/>
      <c r="F466" s="5" t="n"/>
      <c r="G466" s="5" t="n"/>
      <c r="H466" s="5" t="n"/>
    </row>
    <row r="467">
      <c r="A467" s="5" t="n"/>
      <c r="B467" s="5" t="n"/>
      <c r="C467" s="5" t="n"/>
      <c r="D467" s="5" t="n"/>
      <c r="E467" s="8" t="n"/>
      <c r="F467" s="5" t="n"/>
      <c r="G467" s="5" t="n"/>
      <c r="H467" s="5" t="n"/>
    </row>
    <row r="468">
      <c r="A468" s="5" t="n"/>
      <c r="B468" s="5" t="n"/>
      <c r="C468" s="5" t="n"/>
      <c r="D468" s="5" t="n"/>
      <c r="E468" s="8" t="n"/>
      <c r="F468" s="5" t="n"/>
      <c r="G468" s="5" t="n"/>
      <c r="H468" s="5" t="n"/>
    </row>
    <row r="469">
      <c r="A469" s="5" t="n"/>
      <c r="B469" s="5" t="n"/>
      <c r="C469" s="5" t="n"/>
      <c r="D469" s="5" t="n"/>
      <c r="E469" s="8" t="n"/>
      <c r="F469" s="5" t="n"/>
      <c r="G469" s="5" t="n"/>
      <c r="H469" s="5" t="n"/>
    </row>
    <row r="470">
      <c r="A470" s="5" t="n"/>
      <c r="B470" s="5" t="n"/>
      <c r="C470" s="5" t="n"/>
      <c r="D470" s="5" t="n"/>
      <c r="E470" s="8" t="n"/>
      <c r="F470" s="5" t="n"/>
      <c r="G470" s="5" t="n"/>
      <c r="H470" s="5" t="n"/>
    </row>
    <row r="471">
      <c r="A471" s="5" t="n"/>
      <c r="B471" s="5" t="n"/>
      <c r="C471" s="5" t="n"/>
      <c r="D471" s="5" t="n"/>
      <c r="E471" s="8" t="n"/>
      <c r="F471" s="5" t="n"/>
      <c r="G471" s="5" t="n"/>
      <c r="H471" s="5" t="n"/>
    </row>
    <row r="472">
      <c r="A472" s="5" t="n"/>
      <c r="B472" s="5" t="n"/>
      <c r="C472" s="5" t="n"/>
      <c r="D472" s="5" t="n"/>
      <c r="E472" s="8" t="n"/>
      <c r="F472" s="5" t="n"/>
      <c r="G472" s="5" t="n"/>
      <c r="H472" s="5" t="n"/>
    </row>
    <row r="473">
      <c r="A473" s="5" t="n"/>
      <c r="B473" s="5" t="n"/>
      <c r="C473" s="5" t="n"/>
      <c r="D473" s="5" t="n"/>
      <c r="E473" s="8" t="n"/>
      <c r="F473" s="5" t="n"/>
      <c r="G473" s="5" t="n"/>
      <c r="H473" s="5" t="n"/>
    </row>
    <row r="474">
      <c r="A474" s="5" t="n"/>
      <c r="B474" s="5" t="n"/>
      <c r="C474" s="5" t="n"/>
      <c r="D474" s="5" t="n"/>
      <c r="E474" s="8" t="n"/>
      <c r="F474" s="5" t="n"/>
      <c r="G474" s="5" t="n"/>
      <c r="H474" s="5" t="n"/>
    </row>
    <row r="475">
      <c r="A475" s="5" t="n"/>
      <c r="B475" s="5" t="n"/>
      <c r="C475" s="5" t="n"/>
      <c r="D475" s="5" t="n"/>
      <c r="E475" s="8" t="n"/>
      <c r="F475" s="5" t="n"/>
      <c r="G475" s="5" t="n"/>
      <c r="H475" s="5" t="n"/>
    </row>
    <row r="476">
      <c r="A476" s="5" t="n"/>
      <c r="B476" s="5" t="n"/>
      <c r="C476" s="5" t="n"/>
      <c r="D476" s="5" t="n"/>
      <c r="E476" s="8" t="n"/>
      <c r="F476" s="5" t="n"/>
      <c r="G476" s="5" t="n"/>
      <c r="H476" s="5" t="n"/>
    </row>
    <row r="477">
      <c r="A477" s="5" t="n"/>
      <c r="B477" s="5" t="n"/>
      <c r="C477" s="5" t="n"/>
      <c r="D477" s="5" t="n"/>
      <c r="E477" s="8" t="n"/>
      <c r="F477" s="5" t="n"/>
      <c r="G477" s="5" t="n"/>
      <c r="H477" s="5" t="n"/>
    </row>
    <row r="478">
      <c r="A478" s="5" t="n"/>
      <c r="B478" s="5" t="n"/>
      <c r="C478" s="5" t="n"/>
      <c r="D478" s="5" t="n"/>
      <c r="E478" s="8" t="n"/>
      <c r="F478" s="5" t="n"/>
      <c r="G478" s="5" t="n"/>
      <c r="H478" s="5" t="n"/>
    </row>
    <row r="479">
      <c r="A479" s="5" t="n"/>
      <c r="B479" s="5" t="n"/>
      <c r="C479" s="5" t="n"/>
      <c r="D479" s="5" t="n"/>
      <c r="E479" s="8" t="n"/>
      <c r="F479" s="5" t="n"/>
      <c r="G479" s="5" t="n"/>
      <c r="H479" s="5" t="n"/>
    </row>
    <row r="480">
      <c r="A480" s="5" t="n"/>
      <c r="B480" s="5" t="n"/>
      <c r="C480" s="5" t="n"/>
      <c r="D480" s="5" t="n"/>
      <c r="E480" s="8" t="n"/>
      <c r="F480" s="5" t="n"/>
      <c r="G480" s="5" t="n"/>
      <c r="H480" s="5" t="n"/>
    </row>
    <row r="481">
      <c r="A481" s="5" t="n"/>
      <c r="B481" s="5" t="n"/>
      <c r="C481" s="5" t="n"/>
      <c r="D481" s="5" t="n"/>
      <c r="E481" s="8" t="n"/>
      <c r="F481" s="5" t="n"/>
      <c r="G481" s="5" t="n"/>
      <c r="H481" s="5" t="n"/>
    </row>
    <row r="482">
      <c r="A482" s="5" t="n"/>
      <c r="B482" s="5" t="n"/>
      <c r="C482" s="5" t="n"/>
      <c r="D482" s="5" t="n"/>
      <c r="E482" s="8" t="n"/>
      <c r="F482" s="5" t="n"/>
      <c r="G482" s="5" t="n"/>
      <c r="H482" s="5" t="n"/>
    </row>
    <row r="483">
      <c r="A483" s="5" t="n"/>
      <c r="B483" s="5" t="n"/>
      <c r="C483" s="5" t="n"/>
      <c r="D483" s="5" t="n"/>
      <c r="E483" s="8" t="n"/>
      <c r="F483" s="5" t="n"/>
      <c r="G483" s="5" t="n"/>
      <c r="H483" s="5" t="n"/>
    </row>
    <row r="484">
      <c r="A484" s="5" t="n"/>
      <c r="B484" s="5" t="n"/>
      <c r="C484" s="5" t="n"/>
      <c r="D484" s="5" t="n"/>
      <c r="E484" s="8" t="n"/>
      <c r="F484" s="5" t="n"/>
      <c r="G484" s="5" t="n"/>
      <c r="H484" s="5" t="n"/>
    </row>
    <row r="485">
      <c r="A485" s="5" t="n"/>
      <c r="B485" s="5" t="n"/>
      <c r="C485" s="5" t="n"/>
      <c r="D485" s="5" t="n"/>
      <c r="E485" s="8" t="n"/>
      <c r="F485" s="5" t="n"/>
      <c r="G485" s="5" t="n"/>
      <c r="H485" s="5" t="n"/>
    </row>
    <row r="486">
      <c r="A486" s="5" t="n"/>
      <c r="B486" s="5" t="n"/>
      <c r="C486" s="5" t="n"/>
      <c r="D486" s="5" t="n"/>
      <c r="E486" s="8" t="n"/>
      <c r="F486" s="5" t="n"/>
      <c r="G486" s="5" t="n"/>
      <c r="H486" s="5" t="n"/>
    </row>
    <row r="487">
      <c r="A487" s="5" t="n"/>
      <c r="B487" s="5" t="n"/>
      <c r="C487" s="5" t="n"/>
      <c r="D487" s="5" t="n"/>
      <c r="E487" s="8" t="n"/>
      <c r="F487" s="5" t="n"/>
      <c r="G487" s="5" t="n"/>
      <c r="H487" s="5" t="n"/>
    </row>
    <row r="488">
      <c r="A488" s="5" t="n"/>
      <c r="B488" s="5" t="n"/>
      <c r="C488" s="5" t="n"/>
      <c r="D488" s="5" t="n"/>
      <c r="E488" s="8" t="n"/>
      <c r="F488" s="5" t="n"/>
      <c r="G488" s="5" t="n"/>
      <c r="H488" s="5" t="n"/>
    </row>
    <row r="489">
      <c r="A489" s="5" t="n"/>
      <c r="B489" s="5" t="n"/>
      <c r="C489" s="5" t="n"/>
      <c r="D489" s="5" t="n"/>
      <c r="E489" s="8" t="n"/>
      <c r="F489" s="5" t="n"/>
      <c r="G489" s="5" t="n"/>
      <c r="H489" s="5" t="n"/>
    </row>
    <row r="490">
      <c r="A490" s="5" t="n"/>
      <c r="B490" s="5" t="n"/>
      <c r="C490" s="5" t="n"/>
      <c r="D490" s="5" t="n"/>
      <c r="E490" s="8" t="n"/>
      <c r="F490" s="5" t="n"/>
      <c r="G490" s="5" t="n"/>
      <c r="H490" s="5" t="n"/>
    </row>
    <row r="491">
      <c r="A491" s="5" t="n"/>
      <c r="B491" s="5" t="n"/>
      <c r="C491" s="5" t="n"/>
      <c r="D491" s="5" t="n"/>
      <c r="E491" s="8" t="n"/>
      <c r="F491" s="5" t="n"/>
      <c r="G491" s="5" t="n"/>
      <c r="H491" s="5" t="n"/>
    </row>
    <row r="492">
      <c r="A492" s="5" t="n"/>
      <c r="B492" s="5" t="n"/>
      <c r="C492" s="5" t="n"/>
      <c r="D492" s="5" t="n"/>
      <c r="E492" s="8" t="n"/>
      <c r="F492" s="5" t="n"/>
      <c r="G492" s="5" t="n"/>
      <c r="H492" s="5" t="n"/>
    </row>
    <row r="493">
      <c r="A493" s="5" t="n"/>
      <c r="B493" s="5" t="n"/>
      <c r="C493" s="5" t="n"/>
      <c r="D493" s="5" t="n"/>
      <c r="E493" s="8" t="n"/>
      <c r="F493" s="5" t="n"/>
      <c r="G493" s="5" t="n"/>
      <c r="H493" s="5" t="n"/>
    </row>
    <row r="494">
      <c r="A494" s="5" t="n"/>
      <c r="B494" s="5" t="n"/>
      <c r="C494" s="5" t="n"/>
      <c r="D494" s="5" t="n"/>
      <c r="E494" s="8" t="n"/>
      <c r="F494" s="5" t="n"/>
      <c r="G494" s="5" t="n"/>
      <c r="H494" s="5" t="n"/>
    </row>
    <row r="495">
      <c r="A495" s="5" t="n"/>
      <c r="B495" s="5" t="n"/>
      <c r="C495" s="5" t="n"/>
      <c r="D495" s="5" t="n"/>
      <c r="E495" s="8" t="n"/>
      <c r="F495" s="5" t="n"/>
      <c r="G495" s="5" t="n"/>
      <c r="H495" s="5" t="n"/>
    </row>
    <row r="496">
      <c r="A496" s="5" t="n"/>
      <c r="B496" s="5" t="n"/>
      <c r="C496" s="5" t="n"/>
      <c r="D496" s="5" t="n"/>
      <c r="E496" s="8" t="n"/>
      <c r="F496" s="5" t="n"/>
      <c r="G496" s="5" t="n"/>
      <c r="H496" s="5" t="n"/>
    </row>
    <row r="497">
      <c r="A497" s="5" t="n"/>
      <c r="B497" s="5" t="n"/>
      <c r="C497" s="5" t="n"/>
      <c r="D497" s="5" t="n"/>
      <c r="E497" s="8" t="n"/>
      <c r="F497" s="5" t="n"/>
      <c r="G497" s="5" t="n"/>
      <c r="H497" s="5" t="n"/>
    </row>
    <row r="498">
      <c r="A498" s="5" t="n"/>
      <c r="B498" s="5" t="n"/>
      <c r="C498" s="5" t="n"/>
      <c r="D498" s="5" t="n"/>
      <c r="E498" s="8" t="n"/>
      <c r="F498" s="5" t="n"/>
      <c r="G498" s="5" t="n"/>
      <c r="H498" s="5" t="n"/>
    </row>
    <row r="499">
      <c r="A499" s="5" t="n"/>
      <c r="B499" s="5" t="n"/>
      <c r="C499" s="5" t="n"/>
      <c r="D499" s="5" t="n"/>
      <c r="E499" s="8" t="n"/>
      <c r="F499" s="5" t="n"/>
      <c r="G499" s="5" t="n"/>
      <c r="H499" s="5" t="n"/>
    </row>
    <row r="500">
      <c r="A500" s="5" t="n"/>
      <c r="B500" s="5" t="n"/>
      <c r="C500" s="5" t="n"/>
      <c r="D500" s="5" t="n"/>
      <c r="E500" s="8" t="n"/>
      <c r="F500" s="5" t="n"/>
      <c r="G500" s="5" t="n"/>
      <c r="H500" s="5" t="n"/>
    </row>
    <row r="501">
      <c r="A501" s="5" t="n"/>
      <c r="B501" s="5" t="n"/>
      <c r="C501" s="5" t="n"/>
      <c r="D501" s="5" t="n"/>
      <c r="E501" s="8" t="n"/>
      <c r="F501" s="5" t="n"/>
      <c r="G501" s="5" t="n"/>
      <c r="H501" s="5" t="n"/>
    </row>
    <row r="502">
      <c r="A502" s="5" t="n"/>
      <c r="B502" s="5" t="n"/>
      <c r="C502" s="5" t="n"/>
      <c r="D502" s="5" t="n"/>
      <c r="E502" s="8" t="n"/>
      <c r="F502" s="5" t="n"/>
      <c r="G502" s="5" t="n"/>
      <c r="H502" s="5" t="n"/>
    </row>
    <row r="503">
      <c r="A503" s="5" t="n"/>
      <c r="B503" s="5" t="n"/>
      <c r="C503" s="5" t="n"/>
      <c r="D503" s="5" t="n"/>
      <c r="E503" s="8" t="n"/>
      <c r="F503" s="5" t="n"/>
      <c r="G503" s="5" t="n"/>
      <c r="H503" s="5" t="n"/>
    </row>
    <row r="504">
      <c r="A504" s="5" t="n"/>
      <c r="B504" s="5" t="n"/>
      <c r="C504" s="5" t="n"/>
      <c r="D504" s="5" t="n"/>
      <c r="E504" s="8" t="n"/>
      <c r="F504" s="5" t="n"/>
      <c r="G504" s="5" t="n"/>
      <c r="H504" s="5" t="n"/>
    </row>
    <row r="505">
      <c r="A505" s="5" t="n"/>
      <c r="B505" s="5" t="n"/>
      <c r="C505" s="5" t="n"/>
      <c r="D505" s="5" t="n"/>
      <c r="E505" s="8" t="n"/>
      <c r="F505" s="5" t="n"/>
      <c r="G505" s="5" t="n"/>
      <c r="H505" s="5" t="n"/>
    </row>
    <row r="506">
      <c r="A506" s="5" t="n"/>
      <c r="B506" s="5" t="n"/>
      <c r="C506" s="5" t="n"/>
      <c r="D506" s="5" t="n"/>
      <c r="E506" s="8" t="n"/>
      <c r="F506" s="5" t="n"/>
      <c r="G506" s="5" t="n"/>
      <c r="H506" s="5" t="n"/>
    </row>
    <row r="507">
      <c r="A507" s="5" t="n"/>
      <c r="B507" s="5" t="n"/>
      <c r="C507" s="5" t="n"/>
      <c r="D507" s="5" t="n"/>
      <c r="E507" s="8" t="n"/>
      <c r="F507" s="5" t="n"/>
      <c r="G507" s="5" t="n"/>
      <c r="H507" s="5" t="n"/>
    </row>
    <row r="508">
      <c r="A508" s="5" t="n"/>
      <c r="B508" s="5" t="n"/>
      <c r="C508" s="5" t="n"/>
      <c r="D508" s="5" t="n"/>
      <c r="E508" s="8" t="n"/>
      <c r="F508" s="5" t="n"/>
      <c r="G508" s="5" t="n"/>
      <c r="H508" s="5" t="n"/>
    </row>
    <row r="509">
      <c r="A509" s="5" t="n"/>
      <c r="B509" s="5" t="n"/>
      <c r="C509" s="5" t="n"/>
      <c r="D509" s="5" t="n"/>
      <c r="E509" s="8" t="n"/>
      <c r="F509" s="5" t="n"/>
      <c r="G509" s="5" t="n"/>
      <c r="H509" s="5" t="n"/>
    </row>
    <row r="510">
      <c r="A510" s="5" t="n"/>
      <c r="B510" s="5" t="n"/>
      <c r="C510" s="5" t="n"/>
      <c r="D510" s="5" t="n"/>
      <c r="E510" s="8" t="n"/>
      <c r="F510" s="5" t="n"/>
      <c r="G510" s="5" t="n"/>
      <c r="H510" s="5" t="n"/>
    </row>
    <row r="511">
      <c r="A511" s="5" t="n"/>
      <c r="B511" s="5" t="n"/>
      <c r="C511" s="5" t="n"/>
      <c r="D511" s="5" t="n"/>
      <c r="E511" s="8" t="n"/>
      <c r="F511" s="5" t="n"/>
      <c r="G511" s="5" t="n"/>
      <c r="H511" s="5" t="n"/>
    </row>
    <row r="512">
      <c r="A512" s="5" t="n"/>
      <c r="B512" s="5" t="n"/>
      <c r="C512" s="5" t="n"/>
      <c r="D512" s="5" t="n"/>
      <c r="E512" s="8" t="n"/>
      <c r="F512" s="5" t="n"/>
      <c r="G512" s="5" t="n"/>
      <c r="H512" s="5" t="n"/>
    </row>
    <row r="513">
      <c r="A513" s="5" t="n"/>
      <c r="B513" s="5" t="n"/>
      <c r="C513" s="5" t="n"/>
      <c r="D513" s="5" t="n"/>
      <c r="E513" s="8" t="n"/>
      <c r="F513" s="5" t="n"/>
      <c r="G513" s="5" t="n"/>
      <c r="H513" s="5" t="n"/>
    </row>
    <row r="514">
      <c r="A514" s="5" t="n"/>
      <c r="B514" s="5" t="n"/>
      <c r="C514" s="5" t="n"/>
      <c r="D514" s="5" t="n"/>
      <c r="E514" s="8" t="n"/>
      <c r="F514" s="5" t="n"/>
      <c r="G514" s="5" t="n"/>
      <c r="H514" s="5" t="n"/>
    </row>
    <row r="515">
      <c r="A515" s="5" t="n"/>
      <c r="B515" s="5" t="n"/>
      <c r="C515" s="5" t="n"/>
      <c r="D515" s="5" t="n"/>
      <c r="E515" s="8" t="n"/>
      <c r="F515" s="5" t="n"/>
      <c r="G515" s="5" t="n"/>
      <c r="H515" s="5" t="n"/>
    </row>
    <row r="516">
      <c r="A516" s="5" t="n"/>
      <c r="B516" s="5" t="n"/>
      <c r="C516" s="5" t="n"/>
      <c r="D516" s="5" t="n"/>
      <c r="E516" s="8" t="n"/>
      <c r="F516" s="5" t="n"/>
      <c r="G516" s="5" t="n"/>
      <c r="H516" s="5" t="n"/>
    </row>
    <row r="517">
      <c r="A517" s="5" t="n"/>
      <c r="B517" s="5" t="n"/>
      <c r="C517" s="5" t="n"/>
      <c r="D517" s="5" t="n"/>
      <c r="E517" s="8" t="n"/>
      <c r="F517" s="5" t="n"/>
      <c r="G517" s="5" t="n"/>
      <c r="H517" s="5" t="n"/>
    </row>
    <row r="518">
      <c r="A518" s="5" t="n"/>
      <c r="B518" s="5" t="n"/>
      <c r="C518" s="5" t="n"/>
      <c r="D518" s="5" t="n"/>
      <c r="E518" s="8" t="n"/>
      <c r="F518" s="5" t="n"/>
      <c r="G518" s="5" t="n"/>
      <c r="H518" s="5" t="n"/>
    </row>
    <row r="519">
      <c r="A519" s="5" t="n"/>
      <c r="B519" s="5" t="n"/>
      <c r="C519" s="5" t="n"/>
      <c r="D519" s="5" t="n"/>
      <c r="E519" s="8" t="n"/>
      <c r="F519" s="5" t="n"/>
      <c r="G519" s="5" t="n"/>
      <c r="H519" s="5" t="n"/>
    </row>
    <row r="520">
      <c r="A520" s="5" t="n"/>
      <c r="B520" s="5" t="n"/>
      <c r="C520" s="5" t="n"/>
      <c r="D520" s="5" t="n"/>
      <c r="E520" s="8" t="n"/>
      <c r="F520" s="5" t="n"/>
      <c r="G520" s="5" t="n"/>
      <c r="H520" s="5" t="n"/>
    </row>
    <row r="521">
      <c r="A521" s="5" t="n"/>
      <c r="B521" s="5" t="n"/>
      <c r="C521" s="5" t="n"/>
      <c r="D521" s="5" t="n"/>
      <c r="E521" s="8" t="n"/>
      <c r="F521" s="5" t="n"/>
      <c r="G521" s="5" t="n"/>
      <c r="H521" s="5" t="n"/>
    </row>
    <row r="522">
      <c r="A522" s="5" t="n"/>
      <c r="B522" s="5" t="n"/>
      <c r="C522" s="5" t="n"/>
      <c r="D522" s="5" t="n"/>
      <c r="E522" s="8" t="n"/>
      <c r="F522" s="5" t="n"/>
      <c r="G522" s="5" t="n"/>
      <c r="H522" s="5" t="n"/>
    </row>
    <row r="523">
      <c r="A523" s="5" t="n"/>
      <c r="B523" s="5" t="n"/>
      <c r="C523" s="5" t="n"/>
      <c r="D523" s="5" t="n"/>
      <c r="E523" s="8" t="n"/>
      <c r="F523" s="5" t="n"/>
      <c r="G523" s="5" t="n"/>
      <c r="H523" s="5" t="n"/>
    </row>
    <row r="524">
      <c r="A524" s="5" t="n"/>
      <c r="B524" s="5" t="n"/>
      <c r="C524" s="5" t="n"/>
      <c r="D524" s="5" t="n"/>
      <c r="E524" s="8" t="n"/>
      <c r="F524" s="5" t="n"/>
      <c r="G524" s="5" t="n"/>
      <c r="H524" s="5" t="n"/>
    </row>
    <row r="525">
      <c r="A525" s="5" t="n"/>
      <c r="B525" s="5" t="n"/>
      <c r="C525" s="5" t="n"/>
      <c r="D525" s="5" t="n"/>
      <c r="E525" s="8" t="n"/>
      <c r="F525" s="5" t="n"/>
      <c r="G525" s="5" t="n"/>
      <c r="H525" s="5" t="n"/>
    </row>
    <row r="526">
      <c r="A526" s="5" t="n"/>
      <c r="B526" s="5" t="n"/>
      <c r="C526" s="5" t="n"/>
      <c r="D526" s="5" t="n"/>
      <c r="E526" s="8" t="n"/>
      <c r="F526" s="5" t="n"/>
      <c r="G526" s="5" t="n"/>
      <c r="H526" s="5" t="n"/>
    </row>
    <row r="527">
      <c r="A527" s="5" t="n"/>
      <c r="B527" s="5" t="n"/>
      <c r="C527" s="5" t="n"/>
      <c r="D527" s="5" t="n"/>
      <c r="E527" s="8" t="n"/>
      <c r="F527" s="5" t="n"/>
      <c r="G527" s="5" t="n"/>
      <c r="H527" s="5" t="n"/>
    </row>
    <row r="528">
      <c r="A528" s="5" t="n"/>
      <c r="B528" s="5" t="n"/>
      <c r="C528" s="5" t="n"/>
      <c r="D528" s="5" t="n"/>
      <c r="E528" s="8" t="n"/>
      <c r="F528" s="5" t="n"/>
      <c r="G528" s="5" t="n"/>
      <c r="H528" s="5" t="n"/>
    </row>
    <row r="529">
      <c r="A529" s="5" t="n"/>
      <c r="B529" s="5" t="n"/>
      <c r="C529" s="5" t="n"/>
      <c r="D529" s="5" t="n"/>
      <c r="E529" s="8" t="n"/>
      <c r="F529" s="5" t="n"/>
      <c r="G529" s="5" t="n"/>
      <c r="H529" s="5" t="n"/>
    </row>
    <row r="530">
      <c r="A530" s="5" t="n"/>
      <c r="B530" s="5" t="n"/>
      <c r="C530" s="5" t="n"/>
      <c r="D530" s="5" t="n"/>
      <c r="E530" s="8" t="n"/>
      <c r="F530" s="5" t="n"/>
      <c r="G530" s="5" t="n"/>
      <c r="H530" s="5" t="n"/>
    </row>
    <row r="531">
      <c r="A531" s="5" t="n"/>
      <c r="B531" s="5" t="n"/>
      <c r="C531" s="5" t="n"/>
      <c r="D531" s="5" t="n"/>
      <c r="E531" s="8" t="n"/>
      <c r="F531" s="5" t="n"/>
      <c r="G531" s="5" t="n"/>
      <c r="H531" s="5" t="n"/>
    </row>
    <row r="532">
      <c r="A532" s="5" t="n"/>
      <c r="B532" s="5" t="n"/>
      <c r="C532" s="5" t="n"/>
      <c r="D532" s="5" t="n"/>
      <c r="E532" s="8" t="n"/>
      <c r="F532" s="5" t="n"/>
      <c r="G532" s="5" t="n"/>
      <c r="H532" s="5" t="n"/>
    </row>
    <row r="533">
      <c r="A533" s="5" t="n"/>
      <c r="B533" s="5" t="n"/>
      <c r="C533" s="5" t="n"/>
      <c r="D533" s="5" t="n"/>
      <c r="E533" s="8" t="n"/>
      <c r="F533" s="5" t="n"/>
      <c r="G533" s="5" t="n"/>
      <c r="H533" s="5" t="n"/>
    </row>
    <row r="534">
      <c r="A534" s="5" t="n"/>
      <c r="B534" s="5" t="n"/>
      <c r="C534" s="5" t="n"/>
      <c r="D534" s="5" t="n"/>
      <c r="E534" s="8" t="n"/>
      <c r="F534" s="5" t="n"/>
      <c r="G534" s="5" t="n"/>
      <c r="H534" s="5" t="n"/>
    </row>
    <row r="535">
      <c r="A535" s="5" t="n"/>
      <c r="B535" s="5" t="n"/>
      <c r="C535" s="5" t="n"/>
      <c r="D535" s="5" t="n"/>
      <c r="E535" s="8" t="n"/>
      <c r="F535" s="5" t="n"/>
      <c r="G535" s="5" t="n"/>
      <c r="H535" s="5" t="n"/>
    </row>
    <row r="536">
      <c r="A536" s="5" t="n"/>
      <c r="B536" s="5" t="n"/>
      <c r="C536" s="5" t="n"/>
      <c r="D536" s="5" t="n"/>
      <c r="E536" s="8" t="n"/>
      <c r="F536" s="5" t="n"/>
      <c r="G536" s="5" t="n"/>
      <c r="H536" s="5" t="n"/>
    </row>
    <row r="537">
      <c r="A537" s="5" t="n"/>
      <c r="B537" s="5" t="n"/>
      <c r="C537" s="5" t="n"/>
      <c r="D537" s="5" t="n"/>
      <c r="E537" s="8" t="n"/>
      <c r="F537" s="5" t="n"/>
      <c r="G537" s="5" t="n"/>
      <c r="H537" s="5" t="n"/>
    </row>
    <row r="538">
      <c r="A538" s="5" t="n"/>
      <c r="B538" s="5" t="n"/>
      <c r="C538" s="5" t="n"/>
      <c r="D538" s="5" t="n"/>
      <c r="E538" s="8" t="n"/>
      <c r="F538" s="5" t="n"/>
      <c r="G538" s="5" t="n"/>
      <c r="H538" s="5" t="n"/>
    </row>
    <row r="539">
      <c r="A539" s="5" t="n"/>
      <c r="B539" s="5" t="n"/>
      <c r="C539" s="5" t="n"/>
      <c r="D539" s="5" t="n"/>
      <c r="E539" s="8" t="n"/>
      <c r="F539" s="5" t="n"/>
      <c r="G539" s="5" t="n"/>
      <c r="H539" s="5" t="n"/>
    </row>
    <row r="540">
      <c r="A540" s="5" t="n"/>
      <c r="B540" s="5" t="n"/>
      <c r="C540" s="5" t="n"/>
      <c r="D540" s="5" t="n"/>
      <c r="E540" s="8" t="n"/>
      <c r="F540" s="5" t="n"/>
      <c r="G540" s="5" t="n"/>
      <c r="H540" s="5" t="n"/>
    </row>
    <row r="541">
      <c r="A541" s="5" t="n"/>
      <c r="B541" s="5" t="n"/>
      <c r="C541" s="5" t="n"/>
      <c r="D541" s="5" t="n"/>
      <c r="E541" s="8" t="n"/>
      <c r="F541" s="5" t="n"/>
      <c r="G541" s="5" t="n"/>
      <c r="H541" s="5" t="n"/>
    </row>
    <row r="542">
      <c r="A542" s="5" t="n"/>
      <c r="B542" s="5" t="n"/>
      <c r="C542" s="5" t="n"/>
      <c r="D542" s="5" t="n"/>
      <c r="E542" s="8" t="n"/>
      <c r="F542" s="5" t="n"/>
      <c r="G542" s="5" t="n"/>
      <c r="H542" s="5" t="n"/>
    </row>
    <row r="543">
      <c r="A543" s="5" t="n"/>
      <c r="B543" s="5" t="n"/>
      <c r="C543" s="5" t="n"/>
      <c r="D543" s="5" t="n"/>
      <c r="E543" s="8" t="n"/>
      <c r="F543" s="5" t="n"/>
      <c r="G543" s="5" t="n"/>
      <c r="H543" s="5" t="n"/>
    </row>
    <row r="544">
      <c r="A544" s="5" t="n"/>
      <c r="B544" s="5" t="n"/>
      <c r="C544" s="5" t="n"/>
      <c r="D544" s="5" t="n"/>
      <c r="E544" s="8" t="n"/>
      <c r="F544" s="5" t="n"/>
      <c r="G544" s="5" t="n"/>
      <c r="H544" s="5" t="n"/>
    </row>
    <row r="545">
      <c r="A545" s="5" t="n"/>
      <c r="B545" s="5" t="n"/>
      <c r="C545" s="5" t="n"/>
      <c r="D545" s="5" t="n"/>
      <c r="E545" s="8" t="n"/>
      <c r="F545" s="5" t="n"/>
      <c r="G545" s="5" t="n"/>
      <c r="H545" s="5" t="n"/>
    </row>
    <row r="546">
      <c r="A546" s="5" t="n"/>
      <c r="B546" s="5" t="n"/>
      <c r="C546" s="5" t="n"/>
      <c r="D546" s="5" t="n"/>
      <c r="E546" s="8" t="n"/>
      <c r="F546" s="5" t="n"/>
      <c r="G546" s="5" t="n"/>
      <c r="H546" s="5" t="n"/>
    </row>
    <row r="547">
      <c r="A547" s="5" t="n"/>
      <c r="B547" s="5" t="n"/>
      <c r="C547" s="5" t="n"/>
      <c r="D547" s="5" t="n"/>
      <c r="E547" s="8" t="n"/>
      <c r="F547" s="5" t="n"/>
      <c r="G547" s="5" t="n"/>
      <c r="H547" s="5" t="n"/>
    </row>
    <row r="548">
      <c r="A548" s="5" t="n"/>
      <c r="B548" s="5" t="n"/>
      <c r="C548" s="5" t="n"/>
      <c r="D548" s="5" t="n"/>
      <c r="E548" s="8" t="n"/>
      <c r="F548" s="5" t="n"/>
      <c r="G548" s="5" t="n"/>
      <c r="H548" s="5" t="n"/>
    </row>
    <row r="549">
      <c r="A549" s="5" t="n"/>
      <c r="B549" s="5" t="n"/>
      <c r="C549" s="5" t="n"/>
      <c r="D549" s="5" t="n"/>
      <c r="E549" s="8" t="n"/>
      <c r="F549" s="5" t="n"/>
      <c r="G549" s="5" t="n"/>
      <c r="H549" s="5" t="n"/>
    </row>
    <row r="550">
      <c r="A550" s="5" t="n"/>
      <c r="B550" s="5" t="n"/>
      <c r="C550" s="5" t="n"/>
      <c r="D550" s="5" t="n"/>
      <c r="E550" s="8" t="n"/>
      <c r="F550" s="5" t="n"/>
      <c r="G550" s="5" t="n"/>
      <c r="H550" s="5" t="n"/>
    </row>
    <row r="551">
      <c r="A551" s="5" t="n"/>
      <c r="B551" s="5" t="n"/>
      <c r="C551" s="5" t="n"/>
      <c r="D551" s="5" t="n"/>
      <c r="E551" s="8" t="n"/>
      <c r="F551" s="5" t="n"/>
      <c r="G551" s="5" t="n"/>
      <c r="H551" s="5" t="n"/>
    </row>
    <row r="552">
      <c r="A552" s="5" t="n"/>
      <c r="B552" s="5" t="n"/>
      <c r="C552" s="5" t="n"/>
      <c r="D552" s="5" t="n"/>
      <c r="E552" s="8" t="n"/>
      <c r="F552" s="5" t="n"/>
      <c r="G552" s="5" t="n"/>
      <c r="H552" s="5" t="n"/>
    </row>
    <row r="553">
      <c r="A553" s="5" t="n"/>
      <c r="B553" s="5" t="n"/>
      <c r="C553" s="5" t="n"/>
      <c r="D553" s="5" t="n"/>
      <c r="E553" s="8" t="n"/>
      <c r="F553" s="5" t="n"/>
      <c r="G553" s="5" t="n"/>
      <c r="H553" s="5" t="n"/>
    </row>
    <row r="554">
      <c r="A554" s="5" t="n"/>
      <c r="B554" s="5" t="n"/>
      <c r="C554" s="5" t="n"/>
      <c r="D554" s="5" t="n"/>
      <c r="E554" s="8" t="n"/>
      <c r="F554" s="5" t="n"/>
      <c r="G554" s="5" t="n"/>
      <c r="H554" s="5" t="n"/>
    </row>
    <row r="555">
      <c r="A555" s="5" t="n"/>
      <c r="B555" s="5" t="n"/>
      <c r="C555" s="5" t="n"/>
      <c r="D555" s="5" t="n"/>
      <c r="E555" s="8" t="n"/>
      <c r="F555" s="5" t="n"/>
      <c r="G555" s="5" t="n"/>
      <c r="H555" s="5" t="n"/>
    </row>
    <row r="556">
      <c r="A556" s="5" t="n"/>
      <c r="B556" s="5" t="n"/>
      <c r="C556" s="5" t="n"/>
      <c r="D556" s="5" t="n"/>
      <c r="E556" s="8" t="n"/>
      <c r="F556" s="5" t="n"/>
      <c r="G556" s="5" t="n"/>
      <c r="H556" s="5" t="n"/>
    </row>
    <row r="557">
      <c r="A557" s="5" t="n"/>
      <c r="B557" s="5" t="n"/>
      <c r="C557" s="5" t="n"/>
      <c r="D557" s="5" t="n"/>
      <c r="E557" s="8" t="n"/>
      <c r="F557" s="5" t="n"/>
      <c r="G557" s="5" t="n"/>
      <c r="H557" s="5" t="n"/>
    </row>
    <row r="558">
      <c r="A558" s="5" t="n"/>
      <c r="B558" s="5" t="n"/>
      <c r="C558" s="5" t="n"/>
      <c r="D558" s="5" t="n"/>
      <c r="E558" s="8" t="n"/>
      <c r="F558" s="5" t="n"/>
      <c r="G558" s="5" t="n"/>
      <c r="H558" s="5" t="n"/>
    </row>
    <row r="559">
      <c r="A559" s="5" t="n"/>
      <c r="B559" s="5" t="n"/>
      <c r="C559" s="5" t="n"/>
      <c r="D559" s="5" t="n"/>
      <c r="E559" s="8" t="n"/>
      <c r="F559" s="5" t="n"/>
      <c r="G559" s="5" t="n"/>
      <c r="H559" s="5" t="n"/>
    </row>
    <row r="560">
      <c r="A560" s="5" t="n"/>
      <c r="B560" s="5" t="n"/>
      <c r="C560" s="5" t="n"/>
      <c r="D560" s="5" t="n"/>
      <c r="E560" s="8" t="n"/>
      <c r="F560" s="5" t="n"/>
      <c r="G560" s="5" t="n"/>
      <c r="H560" s="5" t="n"/>
    </row>
    <row r="561">
      <c r="A561" s="5" t="n"/>
      <c r="B561" s="5" t="n"/>
      <c r="C561" s="5" t="n"/>
      <c r="D561" s="5" t="n"/>
      <c r="E561" s="8" t="n"/>
      <c r="F561" s="5" t="n"/>
      <c r="G561" s="5" t="n"/>
      <c r="H561" s="5" t="n"/>
    </row>
    <row r="562">
      <c r="A562" s="5" t="n"/>
      <c r="B562" s="5" t="n"/>
      <c r="C562" s="5" t="n"/>
      <c r="D562" s="5" t="n"/>
      <c r="E562" s="8" t="n"/>
      <c r="F562" s="5" t="n"/>
      <c r="G562" s="5" t="n"/>
      <c r="H562" s="5" t="n"/>
    </row>
    <row r="563">
      <c r="A563" s="5" t="n"/>
      <c r="B563" s="5" t="n"/>
      <c r="C563" s="5" t="n"/>
      <c r="D563" s="5" t="n"/>
      <c r="E563" s="8" t="n"/>
      <c r="F563" s="5" t="n"/>
      <c r="G563" s="5" t="n"/>
      <c r="H563" s="5" t="n"/>
    </row>
    <row r="564">
      <c r="A564" s="5" t="n"/>
      <c r="B564" s="5" t="n"/>
      <c r="C564" s="5" t="n"/>
      <c r="D564" s="5" t="n"/>
      <c r="E564" s="8" t="n"/>
      <c r="F564" s="5" t="n"/>
      <c r="G564" s="5" t="n"/>
      <c r="H564" s="5" t="n"/>
    </row>
    <row r="565">
      <c r="A565" s="5" t="n"/>
      <c r="B565" s="5" t="n"/>
      <c r="C565" s="5" t="n"/>
      <c r="D565" s="5" t="n"/>
      <c r="E565" s="8" t="n"/>
      <c r="F565" s="5" t="n"/>
      <c r="G565" s="5" t="n"/>
      <c r="H565" s="5" t="n"/>
    </row>
    <row r="566">
      <c r="A566" s="5" t="n"/>
      <c r="B566" s="5" t="n"/>
      <c r="C566" s="5" t="n"/>
      <c r="D566" s="5" t="n"/>
      <c r="E566" s="8" t="n"/>
      <c r="F566" s="5" t="n"/>
      <c r="G566" s="5" t="n"/>
      <c r="H566" s="5" t="n"/>
    </row>
    <row r="567">
      <c r="A567" s="5" t="n"/>
      <c r="B567" s="5" t="n"/>
      <c r="C567" s="5" t="n"/>
      <c r="D567" s="5" t="n"/>
      <c r="E567" s="8" t="n"/>
      <c r="F567" s="5" t="n"/>
      <c r="G567" s="5" t="n"/>
      <c r="H567" s="5" t="n"/>
    </row>
    <row r="568">
      <c r="A568" s="5" t="n"/>
      <c r="B568" s="5" t="n"/>
      <c r="C568" s="5" t="n"/>
      <c r="D568" s="5" t="n"/>
      <c r="E568" s="8" t="n"/>
      <c r="F568" s="5" t="n"/>
      <c r="G568" s="5" t="n"/>
      <c r="H568" s="5" t="n"/>
    </row>
    <row r="569">
      <c r="A569" s="5" t="n"/>
      <c r="B569" s="5" t="n"/>
      <c r="C569" s="5" t="n"/>
      <c r="D569" s="5" t="n"/>
      <c r="E569" s="8" t="n"/>
      <c r="F569" s="5" t="n"/>
      <c r="G569" s="5" t="n"/>
      <c r="H569" s="5" t="n"/>
    </row>
    <row r="570">
      <c r="A570" s="5" t="n"/>
      <c r="B570" s="5" t="n"/>
      <c r="C570" s="5" t="n"/>
      <c r="D570" s="5" t="n"/>
      <c r="E570" s="8" t="n"/>
      <c r="F570" s="5" t="n"/>
      <c r="G570" s="5" t="n"/>
      <c r="H570" s="5" t="n"/>
    </row>
    <row r="571">
      <c r="A571" s="5" t="n"/>
      <c r="B571" s="5" t="n"/>
      <c r="C571" s="5" t="n"/>
      <c r="D571" s="5" t="n"/>
      <c r="E571" s="8" t="n"/>
      <c r="F571" s="5" t="n"/>
      <c r="G571" s="5" t="n"/>
      <c r="H571" s="5" t="n"/>
    </row>
    <row r="572">
      <c r="A572" s="5" t="n"/>
      <c r="B572" s="5" t="n"/>
      <c r="C572" s="5" t="n"/>
      <c r="D572" s="5" t="n"/>
      <c r="E572" s="8" t="n"/>
      <c r="F572" s="5" t="n"/>
      <c r="G572" s="5" t="n"/>
      <c r="H572" s="5" t="n"/>
    </row>
    <row r="573">
      <c r="A573" s="5" t="n"/>
      <c r="B573" s="5" t="n"/>
      <c r="C573" s="5" t="n"/>
      <c r="D573" s="5" t="n"/>
      <c r="E573" s="8" t="n"/>
      <c r="F573" s="5" t="n"/>
      <c r="G573" s="5" t="n"/>
      <c r="H573" s="5" t="n"/>
    </row>
    <row r="574">
      <c r="A574" s="5" t="n"/>
      <c r="B574" s="5" t="n"/>
      <c r="C574" s="5" t="n"/>
      <c r="D574" s="5" t="n"/>
      <c r="E574" s="8" t="n"/>
      <c r="F574" s="5" t="n"/>
      <c r="G574" s="5" t="n"/>
      <c r="H574" s="5" t="n"/>
    </row>
    <row r="575">
      <c r="A575" s="5" t="n"/>
      <c r="B575" s="5" t="n"/>
      <c r="C575" s="5" t="n"/>
      <c r="D575" s="5" t="n"/>
      <c r="E575" s="8" t="n"/>
      <c r="F575" s="5" t="n"/>
      <c r="G575" s="5" t="n"/>
      <c r="H575" s="5" t="n"/>
    </row>
    <row r="576">
      <c r="A576" s="5" t="n"/>
      <c r="B576" s="5" t="n"/>
      <c r="C576" s="5" t="n"/>
      <c r="D576" s="5" t="n"/>
      <c r="E576" s="8" t="n"/>
      <c r="F576" s="5" t="n"/>
      <c r="G576" s="5" t="n"/>
      <c r="H576" s="5" t="n"/>
    </row>
    <row r="577">
      <c r="A577" s="5" t="n"/>
      <c r="B577" s="5" t="n"/>
      <c r="C577" s="5" t="n"/>
      <c r="D577" s="5" t="n"/>
      <c r="E577" s="8" t="n"/>
      <c r="F577" s="5" t="n"/>
      <c r="G577" s="5" t="n"/>
      <c r="H577" s="5" t="n"/>
    </row>
    <row r="578">
      <c r="A578" s="5" t="n"/>
      <c r="B578" s="5" t="n"/>
      <c r="C578" s="5" t="n"/>
      <c r="D578" s="5" t="n"/>
      <c r="E578" s="8" t="n"/>
      <c r="F578" s="5" t="n"/>
      <c r="G578" s="5" t="n"/>
      <c r="H578" s="5" t="n"/>
    </row>
    <row r="579">
      <c r="A579" s="5" t="n"/>
      <c r="B579" s="5" t="n"/>
      <c r="C579" s="5" t="n"/>
      <c r="D579" s="5" t="n"/>
      <c r="E579" s="8" t="n"/>
      <c r="F579" s="5" t="n"/>
      <c r="G579" s="5" t="n"/>
      <c r="H579" s="5" t="n"/>
    </row>
    <row r="580">
      <c r="A580" s="5" t="n"/>
      <c r="B580" s="5" t="n"/>
      <c r="C580" s="5" t="n"/>
      <c r="D580" s="5" t="n"/>
      <c r="E580" s="8" t="n"/>
      <c r="F580" s="5" t="n"/>
      <c r="G580" s="5" t="n"/>
      <c r="H580" s="5" t="n"/>
    </row>
    <row r="581">
      <c r="A581" s="5" t="n"/>
      <c r="B581" s="5" t="n"/>
      <c r="C581" s="5" t="n"/>
      <c r="D581" s="5" t="n"/>
      <c r="E581" s="8" t="n"/>
      <c r="F581" s="5" t="n"/>
      <c r="G581" s="5" t="n"/>
      <c r="H581" s="5" t="n"/>
    </row>
    <row r="582">
      <c r="A582" s="5" t="n"/>
      <c r="B582" s="5" t="n"/>
      <c r="C582" s="5" t="n"/>
      <c r="D582" s="5" t="n"/>
      <c r="E582" s="8" t="n"/>
      <c r="F582" s="5" t="n"/>
      <c r="G582" s="5" t="n"/>
      <c r="H582" s="5" t="n"/>
    </row>
    <row r="583">
      <c r="A583" s="5" t="n"/>
      <c r="B583" s="5" t="n"/>
      <c r="C583" s="5" t="n"/>
      <c r="D583" s="5" t="n"/>
      <c r="E583" s="8" t="n"/>
      <c r="F583" s="5" t="n"/>
      <c r="G583" s="5" t="n"/>
      <c r="H583" s="5" t="n"/>
    </row>
    <row r="584">
      <c r="A584" s="5" t="n"/>
      <c r="B584" s="5" t="n"/>
      <c r="C584" s="5" t="n"/>
      <c r="D584" s="5" t="n"/>
      <c r="E584" s="8" t="n"/>
      <c r="F584" s="5" t="n"/>
      <c r="G584" s="5" t="n"/>
      <c r="H584" s="5" t="n"/>
    </row>
    <row r="585">
      <c r="A585" s="5" t="n"/>
      <c r="B585" s="5" t="n"/>
      <c r="C585" s="5" t="n"/>
      <c r="D585" s="5" t="n"/>
      <c r="E585" s="8" t="n"/>
      <c r="F585" s="5" t="n"/>
      <c r="G585" s="5" t="n"/>
      <c r="H585" s="5" t="n"/>
    </row>
    <row r="586">
      <c r="A586" s="5" t="n"/>
      <c r="B586" s="5" t="n"/>
      <c r="C586" s="5" t="n"/>
      <c r="D586" s="5" t="n"/>
      <c r="E586" s="8" t="n"/>
      <c r="F586" s="5" t="n"/>
      <c r="G586" s="5" t="n"/>
      <c r="H586" s="5" t="n"/>
    </row>
    <row r="587">
      <c r="A587" s="5" t="n"/>
      <c r="B587" s="5" t="n"/>
      <c r="C587" s="5" t="n"/>
      <c r="D587" s="5" t="n"/>
      <c r="E587" s="8" t="n"/>
      <c r="F587" s="5" t="n"/>
      <c r="G587" s="5" t="n"/>
      <c r="H587" s="5" t="n"/>
    </row>
    <row r="588">
      <c r="A588" s="5" t="n"/>
      <c r="B588" s="5" t="n"/>
      <c r="C588" s="5" t="n"/>
      <c r="D588" s="5" t="n"/>
      <c r="E588" s="8" t="n"/>
      <c r="F588" s="5" t="n"/>
      <c r="G588" s="5" t="n"/>
      <c r="H588" s="5" t="n"/>
    </row>
    <row r="589">
      <c r="A589" s="5" t="n"/>
      <c r="B589" s="5" t="n"/>
      <c r="C589" s="5" t="n"/>
      <c r="D589" s="5" t="n"/>
      <c r="E589" s="8" t="n"/>
      <c r="F589" s="5" t="n"/>
      <c r="G589" s="5" t="n"/>
      <c r="H589" s="5" t="n"/>
    </row>
    <row r="590">
      <c r="A590" s="5" t="n"/>
      <c r="B590" s="5" t="n"/>
      <c r="C590" s="5" t="n"/>
      <c r="D590" s="5" t="n"/>
      <c r="E590" s="8" t="n"/>
      <c r="F590" s="5" t="n"/>
      <c r="G590" s="5" t="n"/>
      <c r="H590" s="5" t="n"/>
    </row>
    <row r="591">
      <c r="A591" s="5" t="n"/>
      <c r="B591" s="5" t="n"/>
      <c r="C591" s="5" t="n"/>
      <c r="D591" s="5" t="n"/>
      <c r="E591" s="8" t="n"/>
      <c r="F591" s="5" t="n"/>
      <c r="G591" s="5" t="n"/>
      <c r="H591" s="5" t="n"/>
    </row>
    <row r="592">
      <c r="A592" s="5" t="n"/>
      <c r="B592" s="5" t="n"/>
      <c r="C592" s="5" t="n"/>
      <c r="D592" s="5" t="n"/>
      <c r="E592" s="8" t="n"/>
      <c r="F592" s="5" t="n"/>
      <c r="G592" s="5" t="n"/>
      <c r="H592" s="5" t="n"/>
    </row>
    <row r="593">
      <c r="A593" s="5" t="n"/>
      <c r="B593" s="5" t="n"/>
      <c r="C593" s="5" t="n"/>
      <c r="D593" s="5" t="n"/>
      <c r="E593" s="8" t="n"/>
      <c r="F593" s="5" t="n"/>
      <c r="G593" s="5" t="n"/>
      <c r="H593" s="5" t="n"/>
    </row>
    <row r="594">
      <c r="A594" s="5" t="n"/>
      <c r="B594" s="5" t="n"/>
      <c r="C594" s="5" t="n"/>
      <c r="D594" s="5" t="n"/>
      <c r="E594" s="8" t="n"/>
      <c r="F594" s="5" t="n"/>
      <c r="G594" s="5" t="n"/>
      <c r="H594" s="5" t="n"/>
    </row>
    <row r="595">
      <c r="A595" s="5" t="n"/>
      <c r="B595" s="5" t="n"/>
      <c r="C595" s="5" t="n"/>
      <c r="D595" s="5" t="n"/>
      <c r="E595" s="8" t="n"/>
      <c r="F595" s="5" t="n"/>
      <c r="G595" s="5" t="n"/>
      <c r="H595" s="5" t="n"/>
    </row>
    <row r="596">
      <c r="A596" s="5" t="n"/>
      <c r="B596" s="5" t="n"/>
      <c r="C596" s="5" t="n"/>
      <c r="D596" s="5" t="n"/>
      <c r="E596" s="8" t="n"/>
      <c r="F596" s="5" t="n"/>
      <c r="G596" s="5" t="n"/>
      <c r="H596" s="5" t="n"/>
    </row>
    <row r="597">
      <c r="A597" s="5" t="n"/>
      <c r="B597" s="5" t="n"/>
      <c r="C597" s="5" t="n"/>
      <c r="D597" s="5" t="n"/>
      <c r="E597" s="8" t="n"/>
      <c r="F597" s="5" t="n"/>
      <c r="G597" s="5" t="n"/>
      <c r="H597" s="5" t="n"/>
    </row>
    <row r="598">
      <c r="A598" s="5" t="n"/>
      <c r="B598" s="5" t="n"/>
      <c r="C598" s="5" t="n"/>
      <c r="D598" s="5" t="n"/>
      <c r="E598" s="8" t="n"/>
      <c r="F598" s="5" t="n"/>
      <c r="G598" s="5" t="n"/>
      <c r="H598" s="5" t="n"/>
    </row>
    <row r="599">
      <c r="A599" s="5" t="n"/>
      <c r="B599" s="5" t="n"/>
      <c r="C599" s="5" t="n"/>
      <c r="D599" s="5" t="n"/>
      <c r="E599" s="8" t="n"/>
      <c r="F599" s="5" t="n"/>
      <c r="G599" s="5" t="n"/>
      <c r="H599" s="5" t="n"/>
    </row>
    <row r="600">
      <c r="A600" s="5" t="n"/>
      <c r="B600" s="5" t="n"/>
      <c r="C600" s="5" t="n"/>
      <c r="D600" s="5" t="n"/>
      <c r="E600" s="8" t="n"/>
      <c r="F600" s="5" t="n"/>
      <c r="G600" s="5" t="n"/>
      <c r="H600" s="5" t="n"/>
    </row>
    <row r="601">
      <c r="A601" s="5" t="n"/>
      <c r="B601" s="5" t="n"/>
      <c r="C601" s="5" t="n"/>
      <c r="D601" s="5" t="n"/>
      <c r="E601" s="8" t="n"/>
      <c r="F601" s="5" t="n"/>
      <c r="G601" s="5" t="n"/>
      <c r="H601" s="5" t="n"/>
    </row>
    <row r="602">
      <c r="A602" s="5" t="n"/>
      <c r="B602" s="5" t="n"/>
      <c r="C602" s="5" t="n"/>
      <c r="D602" s="5" t="n"/>
      <c r="E602" s="8" t="n"/>
      <c r="F602" s="5" t="n"/>
      <c r="G602" s="5" t="n"/>
      <c r="H602" s="5" t="n"/>
    </row>
    <row r="603">
      <c r="A603" s="5" t="n"/>
      <c r="B603" s="5" t="n"/>
      <c r="C603" s="5" t="n"/>
      <c r="D603" s="5" t="n"/>
      <c r="E603" s="8" t="n"/>
      <c r="F603" s="5" t="n"/>
      <c r="G603" s="5" t="n"/>
      <c r="H603" s="5" t="n"/>
    </row>
    <row r="604">
      <c r="A604" s="5" t="n"/>
      <c r="B604" s="5" t="n"/>
      <c r="C604" s="5" t="n"/>
      <c r="D604" s="5" t="n"/>
      <c r="E604" s="8" t="n"/>
      <c r="F604" s="5" t="n"/>
      <c r="G604" s="5" t="n"/>
      <c r="H604" s="5" t="n"/>
    </row>
    <row r="605">
      <c r="A605" s="5" t="n"/>
      <c r="B605" s="5" t="n"/>
      <c r="C605" s="5" t="n"/>
      <c r="D605" s="5" t="n"/>
      <c r="E605" s="8" t="n"/>
      <c r="F605" s="5" t="n"/>
      <c r="G605" s="5" t="n"/>
      <c r="H605" s="5" t="n"/>
    </row>
    <row r="606">
      <c r="A606" s="5" t="n"/>
      <c r="B606" s="5" t="n"/>
      <c r="C606" s="5" t="n"/>
      <c r="D606" s="5" t="n"/>
      <c r="E606" s="8" t="n"/>
      <c r="F606" s="5" t="n"/>
      <c r="G606" s="5" t="n"/>
      <c r="H606" s="5" t="n"/>
    </row>
    <row r="607">
      <c r="A607" s="5" t="n"/>
      <c r="B607" s="5" t="n"/>
      <c r="C607" s="5" t="n"/>
      <c r="D607" s="5" t="n"/>
      <c r="E607" s="8" t="n"/>
      <c r="F607" s="5" t="n"/>
      <c r="G607" s="5" t="n"/>
      <c r="H607" s="5" t="n"/>
    </row>
    <row r="608">
      <c r="A608" s="5" t="n"/>
      <c r="B608" s="5" t="n"/>
      <c r="C608" s="5" t="n"/>
      <c r="D608" s="5" t="n"/>
      <c r="E608" s="8" t="n"/>
      <c r="F608" s="5" t="n"/>
      <c r="G608" s="5" t="n"/>
      <c r="H608" s="5" t="n"/>
    </row>
    <row r="609">
      <c r="A609" s="5" t="n"/>
      <c r="B609" s="5" t="n"/>
      <c r="C609" s="5" t="n"/>
      <c r="D609" s="5" t="n"/>
      <c r="E609" s="8" t="n"/>
      <c r="F609" s="5" t="n"/>
      <c r="G609" s="5" t="n"/>
      <c r="H609" s="5" t="n"/>
    </row>
    <row r="610">
      <c r="A610" s="5" t="n"/>
      <c r="B610" s="5" t="n"/>
      <c r="C610" s="5" t="n"/>
      <c r="D610" s="5" t="n"/>
      <c r="E610" s="8" t="n"/>
      <c r="F610" s="5" t="n"/>
      <c r="G610" s="5" t="n"/>
      <c r="H610" s="5" t="n"/>
    </row>
    <row r="611">
      <c r="A611" s="5" t="n"/>
      <c r="B611" s="5" t="n"/>
      <c r="C611" s="5" t="n"/>
      <c r="D611" s="5" t="n"/>
      <c r="E611" s="8" t="n"/>
      <c r="F611" s="5" t="n"/>
      <c r="G611" s="5" t="n"/>
      <c r="H611" s="5" t="n"/>
    </row>
    <row r="612">
      <c r="A612" s="5" t="n"/>
      <c r="B612" s="5" t="n"/>
      <c r="C612" s="5" t="n"/>
      <c r="D612" s="5" t="n"/>
      <c r="E612" s="8" t="n"/>
      <c r="F612" s="5" t="n"/>
      <c r="G612" s="5" t="n"/>
      <c r="H612" s="5" t="n"/>
    </row>
    <row r="613">
      <c r="A613" s="5" t="n"/>
      <c r="B613" s="5" t="n"/>
      <c r="C613" s="5" t="n"/>
      <c r="D613" s="5" t="n"/>
      <c r="E613" s="8" t="n"/>
      <c r="F613" s="5" t="n"/>
      <c r="G613" s="5" t="n"/>
      <c r="H613" s="5" t="n"/>
    </row>
    <row r="614">
      <c r="A614" s="5" t="n"/>
      <c r="B614" s="5" t="n"/>
      <c r="C614" s="5" t="n"/>
      <c r="D614" s="5" t="n"/>
      <c r="E614" s="8" t="n"/>
      <c r="F614" s="5" t="n"/>
      <c r="G614" s="5" t="n"/>
      <c r="H614" s="5" t="n"/>
    </row>
    <row r="615">
      <c r="A615" s="5" t="n"/>
      <c r="B615" s="5" t="n"/>
      <c r="C615" s="5" t="n"/>
      <c r="D615" s="5" t="n"/>
      <c r="E615" s="8" t="n"/>
      <c r="F615" s="5" t="n"/>
      <c r="G615" s="5" t="n"/>
      <c r="H615" s="5" t="n"/>
    </row>
    <row r="616">
      <c r="A616" s="5" t="n"/>
      <c r="B616" s="5" t="n"/>
      <c r="C616" s="5" t="n"/>
      <c r="D616" s="5" t="n"/>
      <c r="E616" s="8" t="n"/>
      <c r="F616" s="5" t="n"/>
      <c r="G616" s="5" t="n"/>
      <c r="H616" s="5" t="n"/>
    </row>
    <row r="617">
      <c r="A617" s="5" t="n"/>
      <c r="B617" s="5" t="n"/>
      <c r="C617" s="5" t="n"/>
      <c r="D617" s="5" t="n"/>
      <c r="E617" s="8" t="n"/>
      <c r="F617" s="5" t="n"/>
      <c r="G617" s="5" t="n"/>
      <c r="H617" s="5" t="n"/>
    </row>
    <row r="618">
      <c r="A618" s="5" t="n"/>
      <c r="B618" s="5" t="n"/>
      <c r="C618" s="5" t="n"/>
      <c r="D618" s="5" t="n"/>
      <c r="E618" s="8" t="n"/>
      <c r="F618" s="5" t="n"/>
      <c r="G618" s="5" t="n"/>
      <c r="H618" s="5" t="n"/>
    </row>
    <row r="619">
      <c r="A619" s="5" t="n"/>
      <c r="B619" s="5" t="n"/>
      <c r="C619" s="5" t="n"/>
      <c r="D619" s="5" t="n"/>
      <c r="E619" s="8" t="n"/>
      <c r="F619" s="5" t="n"/>
      <c r="G619" s="5" t="n"/>
      <c r="H619" s="5" t="n"/>
    </row>
    <row r="620">
      <c r="A620" s="5" t="n"/>
      <c r="B620" s="5" t="n"/>
      <c r="C620" s="5" t="n"/>
      <c r="D620" s="5" t="n"/>
      <c r="E620" s="8" t="n"/>
      <c r="F620" s="5" t="n"/>
      <c r="G620" s="5" t="n"/>
      <c r="H620" s="5" t="n"/>
    </row>
    <row r="621">
      <c r="A621" s="5" t="n"/>
      <c r="B621" s="5" t="n"/>
      <c r="C621" s="5" t="n"/>
      <c r="D621" s="5" t="n"/>
      <c r="E621" s="8" t="n"/>
      <c r="F621" s="5" t="n"/>
      <c r="G621" s="5" t="n"/>
      <c r="H621" s="5" t="n"/>
    </row>
    <row r="622">
      <c r="A622" s="5" t="n"/>
      <c r="B622" s="5" t="n"/>
      <c r="C622" s="5" t="n"/>
      <c r="D622" s="5" t="n"/>
      <c r="E622" s="8" t="n"/>
      <c r="F622" s="5" t="n"/>
      <c r="G622" s="5" t="n"/>
      <c r="H622" s="5" t="n"/>
    </row>
    <row r="623">
      <c r="A623" s="5" t="n"/>
      <c r="B623" s="5" t="n"/>
      <c r="C623" s="5" t="n"/>
      <c r="D623" s="5" t="n"/>
      <c r="E623" s="8" t="n"/>
      <c r="F623" s="5" t="n"/>
      <c r="G623" s="5" t="n"/>
      <c r="H623" s="5" t="n"/>
    </row>
    <row r="624">
      <c r="A624" s="5" t="n"/>
      <c r="B624" s="5" t="n"/>
      <c r="C624" s="5" t="n"/>
      <c r="D624" s="5" t="n"/>
      <c r="E624" s="8" t="n"/>
      <c r="F624" s="5" t="n"/>
      <c r="G624" s="5" t="n"/>
      <c r="H624" s="5" t="n"/>
    </row>
    <row r="625">
      <c r="A625" s="5" t="n"/>
      <c r="B625" s="5" t="n"/>
      <c r="C625" s="5" t="n"/>
      <c r="D625" s="5" t="n"/>
      <c r="E625" s="8" t="n"/>
      <c r="F625" s="5" t="n"/>
      <c r="G625" s="5" t="n"/>
      <c r="H625" s="5" t="n"/>
    </row>
    <row r="626">
      <c r="A626" s="5" t="n"/>
      <c r="B626" s="5" t="n"/>
      <c r="C626" s="5" t="n"/>
      <c r="D626" s="5" t="n"/>
      <c r="E626" s="8" t="n"/>
      <c r="F626" s="5" t="n"/>
      <c r="G626" s="5" t="n"/>
      <c r="H626" s="5" t="n"/>
    </row>
    <row r="627">
      <c r="A627" s="5" t="n"/>
      <c r="B627" s="5" t="n"/>
      <c r="C627" s="5" t="n"/>
      <c r="D627" s="5" t="n"/>
      <c r="E627" s="8" t="n"/>
      <c r="F627" s="5" t="n"/>
      <c r="G627" s="5" t="n"/>
      <c r="H627" s="5" t="n"/>
    </row>
    <row r="628">
      <c r="A628" s="5" t="n"/>
      <c r="B628" s="5" t="n"/>
      <c r="C628" s="5" t="n"/>
      <c r="D628" s="5" t="n"/>
      <c r="E628" s="8" t="n"/>
      <c r="F628" s="5" t="n"/>
      <c r="G628" s="5" t="n"/>
      <c r="H628" s="5" t="n"/>
    </row>
    <row r="629">
      <c r="A629" s="5" t="n"/>
      <c r="B629" s="5" t="n"/>
      <c r="C629" s="5" t="n"/>
      <c r="D629" s="5" t="n"/>
      <c r="E629" s="8" t="n"/>
      <c r="F629" s="5" t="n"/>
      <c r="G629" s="5" t="n"/>
      <c r="H629" s="5" t="n"/>
    </row>
    <row r="630">
      <c r="A630" s="5" t="n"/>
      <c r="B630" s="5" t="n"/>
      <c r="C630" s="5" t="n"/>
      <c r="D630" s="5" t="n"/>
      <c r="E630" s="8" t="n"/>
      <c r="F630" s="5" t="n"/>
      <c r="G630" s="5" t="n"/>
      <c r="H630" s="5" t="n"/>
    </row>
    <row r="631">
      <c r="A631" s="5" t="n"/>
      <c r="B631" s="5" t="n"/>
      <c r="C631" s="5" t="n"/>
      <c r="D631" s="5" t="n"/>
      <c r="E631" s="8" t="n"/>
      <c r="F631" s="5" t="n"/>
      <c r="G631" s="5" t="n"/>
      <c r="H631" s="5" t="n"/>
    </row>
    <row r="632">
      <c r="A632" s="5" t="n"/>
      <c r="B632" s="5" t="n"/>
      <c r="C632" s="5" t="n"/>
      <c r="D632" s="5" t="n"/>
      <c r="E632" s="8" t="n"/>
      <c r="F632" s="5" t="n"/>
      <c r="G632" s="5" t="n"/>
      <c r="H632" s="5" t="n"/>
    </row>
    <row r="633">
      <c r="A633" s="5" t="n"/>
      <c r="B633" s="5" t="n"/>
      <c r="C633" s="5" t="n"/>
      <c r="D633" s="5" t="n"/>
      <c r="E633" s="8" t="n"/>
      <c r="F633" s="5" t="n"/>
      <c r="G633" s="5" t="n"/>
      <c r="H633" s="5" t="n"/>
    </row>
    <row r="634">
      <c r="A634" s="5" t="n"/>
      <c r="B634" s="5" t="n"/>
      <c r="C634" s="5" t="n"/>
      <c r="D634" s="5" t="n"/>
      <c r="E634" s="8" t="n"/>
      <c r="F634" s="5" t="n"/>
      <c r="G634" s="5" t="n"/>
      <c r="H634" s="5" t="n"/>
    </row>
    <row r="635">
      <c r="A635" s="5" t="n"/>
      <c r="B635" s="5" t="n"/>
      <c r="C635" s="5" t="n"/>
      <c r="D635" s="5" t="n"/>
      <c r="E635" s="8" t="n"/>
      <c r="F635" s="5" t="n"/>
      <c r="G635" s="5" t="n"/>
      <c r="H635" s="5" t="n"/>
    </row>
    <row r="636">
      <c r="A636" s="5" t="n"/>
      <c r="B636" s="5" t="n"/>
      <c r="C636" s="5" t="n"/>
      <c r="D636" s="5" t="n"/>
      <c r="E636" s="8" t="n"/>
      <c r="F636" s="5" t="n"/>
      <c r="G636" s="5" t="n"/>
      <c r="H636" s="5" t="n"/>
    </row>
    <row r="637">
      <c r="A637" s="5" t="n"/>
      <c r="B637" s="5" t="n"/>
      <c r="C637" s="5" t="n"/>
      <c r="D637" s="5" t="n"/>
      <c r="E637" s="8" t="n"/>
      <c r="F637" s="5" t="n"/>
      <c r="G637" s="5" t="n"/>
      <c r="H637" s="5" t="n"/>
    </row>
    <row r="638">
      <c r="A638" s="5" t="n"/>
      <c r="B638" s="5" t="n"/>
      <c r="C638" s="5" t="n"/>
      <c r="D638" s="5" t="n"/>
      <c r="E638" s="8" t="n"/>
      <c r="F638" s="5" t="n"/>
      <c r="G638" s="5" t="n"/>
      <c r="H638" s="5" t="n"/>
    </row>
    <row r="639">
      <c r="A639" s="5" t="n"/>
      <c r="B639" s="5" t="n"/>
      <c r="C639" s="5" t="n"/>
      <c r="D639" s="5" t="n"/>
      <c r="E639" s="8" t="n"/>
      <c r="F639" s="5" t="n"/>
      <c r="G639" s="5" t="n"/>
      <c r="H639" s="5" t="n"/>
    </row>
    <row r="640">
      <c r="A640" s="5" t="n"/>
      <c r="B640" s="5" t="n"/>
      <c r="C640" s="5" t="n"/>
      <c r="D640" s="5" t="n"/>
      <c r="E640" s="8" t="n"/>
      <c r="F640" s="5" t="n"/>
      <c r="G640" s="5" t="n"/>
      <c r="H640" s="5" t="n"/>
    </row>
    <row r="641">
      <c r="A641" s="5" t="n"/>
      <c r="B641" s="5" t="n"/>
      <c r="C641" s="5" t="n"/>
      <c r="D641" s="5" t="n"/>
      <c r="E641" s="8" t="n"/>
      <c r="F641" s="5" t="n"/>
      <c r="G641" s="5" t="n"/>
      <c r="H641" s="5" t="n"/>
    </row>
    <row r="642">
      <c r="A642" s="5" t="n"/>
      <c r="B642" s="5" t="n"/>
      <c r="C642" s="5" t="n"/>
      <c r="D642" s="5" t="n"/>
      <c r="E642" s="8" t="n"/>
      <c r="F642" s="5" t="n"/>
      <c r="G642" s="5" t="n"/>
      <c r="H642" s="5" t="n"/>
    </row>
    <row r="643">
      <c r="A643" s="5" t="n"/>
      <c r="B643" s="5" t="n"/>
      <c r="C643" s="5" t="n"/>
      <c r="D643" s="5" t="n"/>
      <c r="E643" s="8" t="n"/>
      <c r="F643" s="5" t="n"/>
      <c r="G643" s="5" t="n"/>
      <c r="H643" s="5" t="n"/>
    </row>
    <row r="644">
      <c r="A644" s="5" t="n"/>
      <c r="B644" s="5" t="n"/>
      <c r="C644" s="5" t="n"/>
      <c r="D644" s="5" t="n"/>
      <c r="E644" s="8" t="n"/>
      <c r="F644" s="5" t="n"/>
      <c r="G644" s="5" t="n"/>
      <c r="H644" s="5" t="n"/>
    </row>
    <row r="645">
      <c r="A645" s="5" t="n"/>
      <c r="B645" s="5" t="n"/>
      <c r="C645" s="5" t="n"/>
      <c r="D645" s="5" t="n"/>
      <c r="E645" s="8" t="n"/>
      <c r="F645" s="5" t="n"/>
      <c r="G645" s="5" t="n"/>
      <c r="H645" s="5" t="n"/>
    </row>
    <row r="646">
      <c r="A646" s="5" t="n"/>
      <c r="B646" s="5" t="n"/>
      <c r="C646" s="5" t="n"/>
      <c r="D646" s="5" t="n"/>
      <c r="E646" s="8" t="n"/>
      <c r="F646" s="5" t="n"/>
      <c r="G646" s="5" t="n"/>
      <c r="H646" s="5" t="n"/>
    </row>
    <row r="647">
      <c r="A647" s="5" t="n"/>
      <c r="B647" s="5" t="n"/>
      <c r="C647" s="5" t="n"/>
      <c r="D647" s="5" t="n"/>
      <c r="E647" s="8" t="n"/>
      <c r="F647" s="5" t="n"/>
      <c r="G647" s="5" t="n"/>
      <c r="H647" s="5" t="n"/>
    </row>
    <row r="648">
      <c r="A648" s="5" t="n"/>
      <c r="B648" s="5" t="n"/>
      <c r="C648" s="5" t="n"/>
      <c r="D648" s="5" t="n"/>
      <c r="E648" s="8" t="n"/>
      <c r="F648" s="5" t="n"/>
      <c r="G648" s="5" t="n"/>
      <c r="H648" s="5" t="n"/>
    </row>
    <row r="649">
      <c r="A649" s="5" t="n"/>
      <c r="B649" s="5" t="n"/>
      <c r="C649" s="5" t="n"/>
      <c r="D649" s="5" t="n"/>
      <c r="E649" s="8" t="n"/>
      <c r="F649" s="5" t="n"/>
      <c r="G649" s="5" t="n"/>
      <c r="H649" s="5" t="n"/>
    </row>
    <row r="650">
      <c r="A650" s="5" t="n"/>
      <c r="B650" s="5" t="n"/>
      <c r="C650" s="5" t="n"/>
      <c r="D650" s="5" t="n"/>
      <c r="E650" s="8" t="n"/>
      <c r="F650" s="5" t="n"/>
      <c r="G650" s="5" t="n"/>
      <c r="H650" s="5" t="n"/>
    </row>
    <row r="651">
      <c r="A651" s="5" t="n"/>
      <c r="B651" s="5" t="n"/>
      <c r="C651" s="5" t="n"/>
      <c r="D651" s="5" t="n"/>
      <c r="E651" s="8" t="n"/>
      <c r="F651" s="5" t="n"/>
      <c r="G651" s="5" t="n"/>
      <c r="H651" s="5" t="n"/>
    </row>
    <row r="652">
      <c r="A652" s="5" t="n"/>
      <c r="B652" s="5" t="n"/>
      <c r="C652" s="5" t="n"/>
      <c r="D652" s="5" t="n"/>
      <c r="E652" s="8" t="n"/>
      <c r="F652" s="5" t="n"/>
      <c r="G652" s="5" t="n"/>
      <c r="H652" s="5" t="n"/>
    </row>
    <row r="653">
      <c r="A653" s="5" t="n"/>
      <c r="B653" s="5" t="n"/>
      <c r="C653" s="5" t="n"/>
      <c r="D653" s="5" t="n"/>
      <c r="E653" s="8" t="n"/>
      <c r="F653" s="5" t="n"/>
      <c r="G653" s="5" t="n"/>
      <c r="H653" s="5" t="n"/>
    </row>
    <row r="654">
      <c r="A654" s="5" t="n"/>
      <c r="B654" s="5" t="n"/>
      <c r="C654" s="5" t="n"/>
      <c r="D654" s="5" t="n"/>
      <c r="E654" s="8" t="n"/>
      <c r="F654" s="5" t="n"/>
      <c r="G654" s="5" t="n"/>
      <c r="H654" s="5" t="n"/>
    </row>
    <row r="655">
      <c r="A655" s="5" t="n"/>
      <c r="B655" s="5" t="n"/>
      <c r="C655" s="5" t="n"/>
      <c r="D655" s="5" t="n"/>
      <c r="E655" s="8" t="n"/>
      <c r="F655" s="5" t="n"/>
      <c r="G655" s="5" t="n"/>
      <c r="H655" s="5" t="n"/>
    </row>
    <row r="656">
      <c r="A656" s="5" t="n"/>
      <c r="B656" s="5" t="n"/>
      <c r="C656" s="5" t="n"/>
      <c r="D656" s="5" t="n"/>
      <c r="E656" s="8" t="n"/>
      <c r="F656" s="5" t="n"/>
      <c r="G656" s="5" t="n"/>
      <c r="H656" s="5" t="n"/>
    </row>
    <row r="657">
      <c r="A657" s="5" t="n"/>
      <c r="B657" s="5" t="n"/>
      <c r="C657" s="5" t="n"/>
      <c r="D657" s="5" t="n"/>
      <c r="E657" s="8" t="n"/>
      <c r="F657" s="5" t="n"/>
      <c r="G657" s="5" t="n"/>
      <c r="H657" s="5" t="n"/>
    </row>
    <row r="658">
      <c r="A658" s="5" t="n"/>
      <c r="B658" s="5" t="n"/>
      <c r="C658" s="5" t="n"/>
      <c r="D658" s="5" t="n"/>
      <c r="E658" s="8" t="n"/>
      <c r="F658" s="5" t="n"/>
      <c r="G658" s="5" t="n"/>
      <c r="H658" s="5" t="n"/>
    </row>
    <row r="659">
      <c r="A659" s="5" t="n"/>
      <c r="B659" s="5" t="n"/>
      <c r="C659" s="5" t="n"/>
      <c r="D659" s="5" t="n"/>
      <c r="E659" s="8" t="n"/>
      <c r="F659" s="5" t="n"/>
      <c r="G659" s="5" t="n"/>
      <c r="H659" s="5" t="n"/>
    </row>
    <row r="660">
      <c r="A660" s="5" t="n"/>
      <c r="B660" s="5" t="n"/>
      <c r="C660" s="5" t="n"/>
      <c r="D660" s="5" t="n"/>
      <c r="E660" s="8" t="n"/>
      <c r="F660" s="5" t="n"/>
      <c r="G660" s="5" t="n"/>
      <c r="H660" s="5" t="n"/>
    </row>
    <row r="661">
      <c r="A661" s="5" t="n"/>
      <c r="B661" s="5" t="n"/>
      <c r="C661" s="5" t="n"/>
      <c r="D661" s="5" t="n"/>
      <c r="E661" s="8" t="n"/>
      <c r="F661" s="5" t="n"/>
      <c r="G661" s="5" t="n"/>
      <c r="H661" s="5" t="n"/>
    </row>
    <row r="662">
      <c r="A662" s="5" t="n"/>
      <c r="B662" s="5" t="n"/>
      <c r="C662" s="5" t="n"/>
      <c r="D662" s="5" t="n"/>
      <c r="E662" s="8" t="n"/>
      <c r="F662" s="5" t="n"/>
      <c r="G662" s="5" t="n"/>
      <c r="H662" s="5" t="n"/>
    </row>
    <row r="663">
      <c r="A663" s="5" t="n"/>
      <c r="B663" s="5" t="n"/>
      <c r="C663" s="5" t="n"/>
      <c r="D663" s="5" t="n"/>
      <c r="E663" s="8" t="n"/>
      <c r="F663" s="5" t="n"/>
      <c r="G663" s="5" t="n"/>
      <c r="H663" s="5" t="n"/>
    </row>
    <row r="664">
      <c r="A664" s="5" t="n"/>
      <c r="B664" s="5" t="n"/>
      <c r="C664" s="5" t="n"/>
      <c r="D664" s="5" t="n"/>
      <c r="E664" s="8" t="n"/>
      <c r="F664" s="5" t="n"/>
      <c r="G664" s="5" t="n"/>
      <c r="H664" s="5" t="n"/>
    </row>
    <row r="665">
      <c r="A665" s="5" t="n"/>
      <c r="B665" s="5" t="n"/>
      <c r="C665" s="5" t="n"/>
      <c r="D665" s="5" t="n"/>
      <c r="E665" s="8" t="n"/>
      <c r="F665" s="5" t="n"/>
      <c r="G665" s="5" t="n"/>
      <c r="H665" s="5" t="n"/>
    </row>
    <row r="666">
      <c r="A666" s="5" t="n"/>
      <c r="B666" s="5" t="n"/>
      <c r="C666" s="5" t="n"/>
      <c r="D666" s="5" t="n"/>
      <c r="E666" s="8" t="n"/>
      <c r="F666" s="5" t="n"/>
      <c r="G666" s="5" t="n"/>
      <c r="H666" s="5" t="n"/>
    </row>
    <row r="667">
      <c r="A667" s="5" t="n"/>
      <c r="B667" s="5" t="n"/>
      <c r="C667" s="5" t="n"/>
      <c r="D667" s="5" t="n"/>
      <c r="E667" s="8" t="n"/>
      <c r="F667" s="5" t="n"/>
      <c r="G667" s="5" t="n"/>
      <c r="H667" s="5" t="n"/>
    </row>
    <row r="668">
      <c r="A668" s="5" t="n"/>
      <c r="B668" s="5" t="n"/>
      <c r="C668" s="5" t="n"/>
      <c r="D668" s="5" t="n"/>
      <c r="E668" s="8" t="n"/>
      <c r="F668" s="5" t="n"/>
      <c r="G668" s="5" t="n"/>
      <c r="H668" s="5" t="n"/>
    </row>
    <row r="669">
      <c r="A669" s="5" t="n"/>
      <c r="B669" s="5" t="n"/>
      <c r="C669" s="5" t="n"/>
      <c r="D669" s="5" t="n"/>
      <c r="E669" s="8" t="n"/>
      <c r="F669" s="5" t="n"/>
      <c r="G669" s="5" t="n"/>
      <c r="H669" s="5" t="n"/>
    </row>
    <row r="670">
      <c r="A670" s="5" t="n"/>
      <c r="B670" s="5" t="n"/>
      <c r="C670" s="5" t="n"/>
      <c r="D670" s="5" t="n"/>
      <c r="E670" s="8" t="n"/>
      <c r="F670" s="5" t="n"/>
      <c r="G670" s="5" t="n"/>
      <c r="H670" s="5" t="n"/>
    </row>
    <row r="671">
      <c r="A671" s="5" t="n"/>
      <c r="B671" s="5" t="n"/>
      <c r="C671" s="5" t="n"/>
      <c r="D671" s="5" t="n"/>
      <c r="E671" s="8" t="n"/>
      <c r="F671" s="5" t="n"/>
      <c r="G671" s="5" t="n"/>
      <c r="H671" s="5" t="n"/>
    </row>
    <row r="672">
      <c r="A672" s="5" t="n"/>
      <c r="B672" s="5" t="n"/>
      <c r="C672" s="5" t="n"/>
      <c r="D672" s="5" t="n"/>
      <c r="E672" s="8" t="n"/>
      <c r="F672" s="5" t="n"/>
      <c r="G672" s="5" t="n"/>
      <c r="H672" s="5" t="n"/>
    </row>
    <row r="673">
      <c r="A673" s="5" t="n"/>
      <c r="B673" s="5" t="n"/>
      <c r="C673" s="5" t="n"/>
      <c r="D673" s="5" t="n"/>
      <c r="E673" s="8" t="n"/>
      <c r="F673" s="5" t="n"/>
      <c r="G673" s="5" t="n"/>
      <c r="H673" s="5" t="n"/>
    </row>
    <row r="674">
      <c r="A674" s="5" t="n"/>
      <c r="B674" s="5" t="n"/>
      <c r="C674" s="5" t="n"/>
      <c r="D674" s="5" t="n"/>
      <c r="E674" s="8" t="n"/>
      <c r="F674" s="5" t="n"/>
      <c r="G674" s="5" t="n"/>
      <c r="H674" s="5" t="n"/>
    </row>
    <row r="675">
      <c r="A675" s="5" t="n"/>
      <c r="B675" s="5" t="n"/>
      <c r="C675" s="5" t="n"/>
      <c r="D675" s="5" t="n"/>
      <c r="E675" s="8" t="n"/>
      <c r="F675" s="5" t="n"/>
      <c r="G675" s="5" t="n"/>
      <c r="H675" s="5" t="n"/>
    </row>
    <row r="676">
      <c r="A676" s="5" t="n"/>
      <c r="B676" s="5" t="n"/>
      <c r="C676" s="5" t="n"/>
      <c r="D676" s="5" t="n"/>
      <c r="E676" s="8" t="n"/>
      <c r="F676" s="5" t="n"/>
      <c r="G676" s="5" t="n"/>
      <c r="H676" s="5" t="n"/>
    </row>
    <row r="677">
      <c r="A677" s="5" t="n"/>
      <c r="B677" s="5" t="n"/>
      <c r="C677" s="5" t="n"/>
      <c r="D677" s="5" t="n"/>
      <c r="E677" s="8" t="n"/>
      <c r="F677" s="5" t="n"/>
      <c r="G677" s="5" t="n"/>
      <c r="H677" s="5" t="n"/>
    </row>
    <row r="678">
      <c r="A678" s="5" t="n"/>
      <c r="B678" s="5" t="n"/>
      <c r="C678" s="5" t="n"/>
      <c r="D678" s="5" t="n"/>
      <c r="E678" s="8" t="n"/>
      <c r="F678" s="5" t="n"/>
      <c r="G678" s="5" t="n"/>
      <c r="H678" s="5" t="n"/>
    </row>
    <row r="679">
      <c r="A679" s="5" t="n"/>
      <c r="B679" s="5" t="n"/>
      <c r="C679" s="5" t="n"/>
      <c r="D679" s="5" t="n"/>
      <c r="E679" s="8" t="n"/>
      <c r="F679" s="5" t="n"/>
      <c r="G679" s="5" t="n"/>
      <c r="H679" s="5" t="n"/>
    </row>
    <row r="680">
      <c r="A680" s="5" t="n"/>
      <c r="B680" s="5" t="n"/>
      <c r="C680" s="5" t="n"/>
      <c r="D680" s="5" t="n"/>
      <c r="E680" s="8" t="n"/>
      <c r="F680" s="5" t="n"/>
      <c r="G680" s="5" t="n"/>
      <c r="H680" s="5" t="n"/>
    </row>
    <row r="681">
      <c r="A681" s="5" t="n"/>
      <c r="B681" s="5" t="n"/>
      <c r="C681" s="5" t="n"/>
      <c r="D681" s="5" t="n"/>
      <c r="E681" s="8" t="n"/>
      <c r="F681" s="5" t="n"/>
      <c r="G681" s="5" t="n"/>
      <c r="H681" s="5" t="n"/>
    </row>
    <row r="682">
      <c r="A682" s="5" t="n"/>
      <c r="B682" s="5" t="n"/>
      <c r="C682" s="5" t="n"/>
      <c r="D682" s="5" t="n"/>
      <c r="E682" s="8" t="n"/>
      <c r="F682" s="5" t="n"/>
      <c r="G682" s="5" t="n"/>
      <c r="H682" s="5" t="n"/>
    </row>
    <row r="683">
      <c r="A683" s="5" t="n"/>
      <c r="B683" s="5" t="n"/>
      <c r="C683" s="5" t="n"/>
      <c r="D683" s="5" t="n"/>
      <c r="E683" s="8" t="n"/>
      <c r="F683" s="5" t="n"/>
      <c r="G683" s="5" t="n"/>
      <c r="H683" s="5" t="n"/>
    </row>
    <row r="684">
      <c r="A684" s="5" t="n"/>
      <c r="B684" s="5" t="n"/>
      <c r="C684" s="5" t="n"/>
      <c r="D684" s="5" t="n"/>
      <c r="E684" s="8" t="n"/>
      <c r="F684" s="5" t="n"/>
      <c r="G684" s="5" t="n"/>
      <c r="H684" s="5" t="n"/>
    </row>
    <row r="685">
      <c r="A685" s="5" t="n"/>
      <c r="B685" s="5" t="n"/>
      <c r="C685" s="5" t="n"/>
      <c r="D685" s="5" t="n"/>
      <c r="E685" s="8" t="n"/>
      <c r="F685" s="5" t="n"/>
      <c r="G685" s="5" t="n"/>
      <c r="H685" s="5" t="n"/>
    </row>
    <row r="686">
      <c r="A686" s="5" t="n"/>
      <c r="B686" s="5" t="n"/>
      <c r="C686" s="5" t="n"/>
      <c r="D686" s="5" t="n"/>
      <c r="E686" s="8" t="n"/>
      <c r="F686" s="5" t="n"/>
      <c r="G686" s="5" t="n"/>
      <c r="H686" s="5" t="n"/>
    </row>
    <row r="687">
      <c r="A687" s="5" t="n"/>
      <c r="B687" s="5" t="n"/>
      <c r="C687" s="5" t="n"/>
      <c r="D687" s="5" t="n"/>
      <c r="E687" s="8" t="n"/>
      <c r="F687" s="5" t="n"/>
      <c r="G687" s="5" t="n"/>
      <c r="H687" s="5" t="n"/>
    </row>
    <row r="688">
      <c r="A688" s="5" t="n"/>
      <c r="B688" s="5" t="n"/>
      <c r="C688" s="5" t="n"/>
      <c r="D688" s="5" t="n"/>
      <c r="E688" s="8" t="n"/>
      <c r="F688" s="5" t="n"/>
      <c r="G688" s="5" t="n"/>
      <c r="H688" s="5" t="n"/>
    </row>
    <row r="689">
      <c r="A689" s="5" t="n"/>
      <c r="B689" s="5" t="n"/>
      <c r="C689" s="5" t="n"/>
      <c r="D689" s="5" t="n"/>
      <c r="E689" s="8" t="n"/>
      <c r="F689" s="5" t="n"/>
      <c r="G689" s="5" t="n"/>
      <c r="H689" s="5" t="n"/>
    </row>
    <row r="690">
      <c r="A690" s="5" t="n"/>
      <c r="B690" s="5" t="n"/>
      <c r="C690" s="5" t="n"/>
      <c r="D690" s="5" t="n"/>
      <c r="E690" s="8" t="n"/>
      <c r="F690" s="5" t="n"/>
      <c r="G690" s="5" t="n"/>
      <c r="H690" s="5" t="n"/>
    </row>
    <row r="691">
      <c r="A691" s="5" t="n"/>
      <c r="B691" s="5" t="n"/>
      <c r="C691" s="5" t="n"/>
      <c r="D691" s="5" t="n"/>
      <c r="E691" s="8" t="n"/>
      <c r="F691" s="5" t="n"/>
      <c r="G691" s="5" t="n"/>
      <c r="H691" s="5" t="n"/>
    </row>
    <row r="692">
      <c r="A692" s="5" t="n"/>
      <c r="B692" s="5" t="n"/>
      <c r="C692" s="5" t="n"/>
      <c r="D692" s="5" t="n"/>
      <c r="E692" s="8" t="n"/>
      <c r="F692" s="5" t="n"/>
      <c r="G692" s="5" t="n"/>
      <c r="H692" s="5" t="n"/>
    </row>
    <row r="693">
      <c r="A693" s="5" t="n"/>
      <c r="B693" s="5" t="n"/>
      <c r="C693" s="5" t="n"/>
      <c r="D693" s="5" t="n"/>
      <c r="E693" s="8" t="n"/>
      <c r="F693" s="5" t="n"/>
      <c r="G693" s="5" t="n"/>
      <c r="H693" s="5" t="n"/>
    </row>
    <row r="694">
      <c r="A694" s="5" t="n"/>
      <c r="B694" s="5" t="n"/>
      <c r="C694" s="5" t="n"/>
      <c r="D694" s="5" t="n"/>
      <c r="E694" s="8" t="n"/>
      <c r="F694" s="5" t="n"/>
      <c r="G694" s="5" t="n"/>
      <c r="H694" s="5" t="n"/>
    </row>
    <row r="695">
      <c r="A695" s="5" t="n"/>
      <c r="B695" s="5" t="n"/>
      <c r="C695" s="5" t="n"/>
      <c r="D695" s="5" t="n"/>
      <c r="E695" s="8" t="n"/>
      <c r="F695" s="5" t="n"/>
      <c r="G695" s="5" t="n"/>
      <c r="H695" s="5" t="n"/>
    </row>
    <row r="696">
      <c r="A696" s="5" t="n"/>
      <c r="B696" s="5" t="n"/>
      <c r="C696" s="5" t="n"/>
      <c r="D696" s="5" t="n"/>
      <c r="E696" s="8" t="n"/>
      <c r="F696" s="5" t="n"/>
      <c r="G696" s="5" t="n"/>
      <c r="H696" s="5" t="n"/>
    </row>
    <row r="697">
      <c r="A697" s="5" t="n"/>
      <c r="B697" s="5" t="n"/>
      <c r="C697" s="5" t="n"/>
      <c r="D697" s="5" t="n"/>
      <c r="E697" s="8" t="n"/>
      <c r="F697" s="5" t="n"/>
      <c r="G697" s="5" t="n"/>
      <c r="H697" s="5" t="n"/>
    </row>
    <row r="698">
      <c r="A698" s="5" t="n"/>
      <c r="B698" s="5" t="n"/>
      <c r="C698" s="5" t="n"/>
      <c r="D698" s="5" t="n"/>
      <c r="E698" s="8" t="n"/>
      <c r="F698" s="5" t="n"/>
      <c r="G698" s="5" t="n"/>
      <c r="H698" s="5" t="n"/>
    </row>
    <row r="699">
      <c r="A699" s="5" t="n"/>
      <c r="B699" s="5" t="n"/>
      <c r="C699" s="5" t="n"/>
      <c r="D699" s="5" t="n"/>
      <c r="E699" s="8" t="n"/>
      <c r="F699" s="5" t="n"/>
      <c r="G699" s="5" t="n"/>
      <c r="H699" s="5" t="n"/>
    </row>
    <row r="700">
      <c r="A700" s="5" t="n"/>
      <c r="B700" s="5" t="n"/>
      <c r="C700" s="5" t="n"/>
      <c r="D700" s="5" t="n"/>
      <c r="E700" s="8" t="n"/>
      <c r="F700" s="5" t="n"/>
      <c r="G700" s="5" t="n"/>
      <c r="H700" s="5" t="n"/>
    </row>
    <row r="701">
      <c r="A701" s="5" t="n"/>
      <c r="B701" s="5" t="n"/>
      <c r="C701" s="5" t="n"/>
      <c r="D701" s="5" t="n"/>
      <c r="E701" s="8" t="n"/>
      <c r="F701" s="5" t="n"/>
      <c r="G701" s="5" t="n"/>
      <c r="H701" s="5" t="n"/>
    </row>
    <row r="702">
      <c r="A702" s="5" t="n"/>
      <c r="B702" s="5" t="n"/>
      <c r="C702" s="5" t="n"/>
      <c r="D702" s="5" t="n"/>
      <c r="E702" s="8" t="n"/>
      <c r="F702" s="5" t="n"/>
      <c r="G702" s="5" t="n"/>
      <c r="H702" s="5" t="n"/>
    </row>
    <row r="703">
      <c r="A703" s="5" t="n"/>
      <c r="B703" s="5" t="n"/>
      <c r="C703" s="5" t="n"/>
      <c r="D703" s="5" t="n"/>
      <c r="E703" s="8" t="n"/>
      <c r="F703" s="5" t="n"/>
      <c r="G703" s="5" t="n"/>
      <c r="H703" s="5" t="n"/>
    </row>
    <row r="704">
      <c r="A704" s="5" t="n"/>
      <c r="B704" s="5" t="n"/>
      <c r="C704" s="5" t="n"/>
      <c r="D704" s="5" t="n"/>
      <c r="E704" s="8" t="n"/>
      <c r="F704" s="5" t="n"/>
      <c r="G704" s="5" t="n"/>
      <c r="H704" s="5" t="n"/>
    </row>
    <row r="705">
      <c r="A705" s="5" t="n"/>
      <c r="B705" s="5" t="n"/>
      <c r="C705" s="5" t="n"/>
      <c r="D705" s="5" t="n"/>
      <c r="E705" s="8" t="n"/>
      <c r="F705" s="5" t="n"/>
      <c r="G705" s="5" t="n"/>
      <c r="H705" s="5" t="n"/>
    </row>
    <row r="706">
      <c r="A706" s="5" t="n"/>
      <c r="B706" s="5" t="n"/>
      <c r="C706" s="5" t="n"/>
      <c r="D706" s="5" t="n"/>
      <c r="E706" s="8" t="n"/>
      <c r="F706" s="5" t="n"/>
      <c r="G706" s="5" t="n"/>
      <c r="H706" s="5" t="n"/>
    </row>
    <row r="707">
      <c r="A707" s="5" t="n"/>
      <c r="B707" s="5" t="n"/>
      <c r="C707" s="5" t="n"/>
      <c r="D707" s="5" t="n"/>
      <c r="E707" s="8" t="n"/>
      <c r="F707" s="5" t="n"/>
      <c r="G707" s="5" t="n"/>
      <c r="H707" s="5" t="n"/>
    </row>
    <row r="708">
      <c r="A708" s="5" t="n"/>
      <c r="B708" s="5" t="n"/>
      <c r="C708" s="5" t="n"/>
      <c r="D708" s="5" t="n"/>
      <c r="E708" s="8" t="n"/>
      <c r="F708" s="5" t="n"/>
      <c r="G708" s="5" t="n"/>
      <c r="H708" s="5" t="n"/>
    </row>
    <row r="709">
      <c r="A709" s="5" t="n"/>
      <c r="B709" s="5" t="n"/>
      <c r="C709" s="5" t="n"/>
      <c r="D709" s="5" t="n"/>
      <c r="E709" s="8" t="n"/>
      <c r="F709" s="5" t="n"/>
      <c r="G709" s="5" t="n"/>
      <c r="H709" s="5" t="n"/>
    </row>
    <row r="710">
      <c r="A710" s="5" t="n"/>
      <c r="B710" s="5" t="n"/>
      <c r="C710" s="5" t="n"/>
      <c r="D710" s="5" t="n"/>
      <c r="E710" s="8" t="n"/>
      <c r="F710" s="5" t="n"/>
      <c r="G710" s="5" t="n"/>
      <c r="H710" s="5" t="n"/>
    </row>
    <row r="711">
      <c r="A711" s="5" t="n"/>
      <c r="B711" s="5" t="n"/>
      <c r="C711" s="5" t="n"/>
      <c r="D711" s="5" t="n"/>
      <c r="E711" s="8" t="n"/>
      <c r="F711" s="5" t="n"/>
      <c r="G711" s="5" t="n"/>
      <c r="H711" s="5" t="n"/>
    </row>
    <row r="712">
      <c r="A712" s="5" t="n"/>
      <c r="B712" s="5" t="n"/>
      <c r="C712" s="5" t="n"/>
      <c r="D712" s="5" t="n"/>
      <c r="E712" s="8" t="n"/>
      <c r="F712" s="5" t="n"/>
      <c r="G712" s="5" t="n"/>
      <c r="H712" s="5" t="n"/>
    </row>
    <row r="713">
      <c r="A713" s="5" t="n"/>
      <c r="B713" s="5" t="n"/>
      <c r="C713" s="5" t="n"/>
      <c r="D713" s="5" t="n"/>
      <c r="E713" s="8" t="n"/>
      <c r="F713" s="5" t="n"/>
      <c r="G713" s="5" t="n"/>
      <c r="H713" s="5" t="n"/>
    </row>
    <row r="714">
      <c r="A714" s="5" t="n"/>
      <c r="B714" s="5" t="n"/>
      <c r="C714" s="5" t="n"/>
      <c r="D714" s="5" t="n"/>
      <c r="E714" s="8" t="n"/>
      <c r="F714" s="5" t="n"/>
      <c r="G714" s="5" t="n"/>
      <c r="H714" s="5" t="n"/>
    </row>
    <row r="715">
      <c r="A715" s="5" t="n"/>
      <c r="B715" s="5" t="n"/>
      <c r="C715" s="5" t="n"/>
      <c r="D715" s="5" t="n"/>
      <c r="E715" s="8" t="n"/>
      <c r="F715" s="5" t="n"/>
      <c r="G715" s="5" t="n"/>
      <c r="H715" s="5" t="n"/>
    </row>
    <row r="716">
      <c r="A716" s="5" t="n"/>
      <c r="B716" s="5" t="n"/>
      <c r="C716" s="5" t="n"/>
      <c r="D716" s="5" t="n"/>
      <c r="E716" s="8" t="n"/>
      <c r="F716" s="5" t="n"/>
      <c r="G716" s="5" t="n"/>
      <c r="H716" s="5" t="n"/>
    </row>
    <row r="717">
      <c r="A717" s="5" t="n"/>
      <c r="B717" s="5" t="n"/>
      <c r="C717" s="5" t="n"/>
      <c r="D717" s="5" t="n"/>
      <c r="E717" s="8" t="n"/>
      <c r="F717" s="5" t="n"/>
      <c r="G717" s="5" t="n"/>
      <c r="H717" s="5" t="n"/>
    </row>
    <row r="718">
      <c r="A718" s="5" t="n"/>
      <c r="B718" s="5" t="n"/>
      <c r="C718" s="5" t="n"/>
      <c r="D718" s="5" t="n"/>
      <c r="E718" s="8" t="n"/>
      <c r="F718" s="5" t="n"/>
      <c r="G718" s="5" t="n"/>
      <c r="H718" s="5" t="n"/>
    </row>
    <row r="719">
      <c r="A719" s="5" t="n"/>
      <c r="B719" s="5" t="n"/>
      <c r="C719" s="5" t="n"/>
      <c r="D719" s="5" t="n"/>
      <c r="E719" s="8" t="n"/>
      <c r="F719" s="5" t="n"/>
      <c r="G719" s="5" t="n"/>
      <c r="H719" s="5" t="n"/>
    </row>
    <row r="720">
      <c r="A720" s="5" t="n"/>
      <c r="B720" s="5" t="n"/>
      <c r="C720" s="5" t="n"/>
      <c r="D720" s="5" t="n"/>
      <c r="E720" s="8" t="n"/>
      <c r="F720" s="5" t="n"/>
      <c r="G720" s="5" t="n"/>
      <c r="H720" s="5" t="n"/>
    </row>
    <row r="721">
      <c r="A721" s="5" t="n"/>
      <c r="B721" s="5" t="n"/>
      <c r="C721" s="5" t="n"/>
      <c r="D721" s="5" t="n"/>
      <c r="E721" s="8" t="n"/>
      <c r="F721" s="5" t="n"/>
      <c r="G721" s="5" t="n"/>
      <c r="H721" s="5" t="n"/>
    </row>
    <row r="722">
      <c r="A722" s="5" t="n"/>
      <c r="B722" s="5" t="n"/>
      <c r="C722" s="5" t="n"/>
      <c r="D722" s="5" t="n"/>
      <c r="E722" s="8" t="n"/>
      <c r="F722" s="5" t="n"/>
      <c r="G722" s="5" t="n"/>
      <c r="H722" s="5" t="n"/>
    </row>
    <row r="723">
      <c r="A723" s="5" t="n"/>
      <c r="B723" s="5" t="n"/>
      <c r="C723" s="5" t="n"/>
      <c r="D723" s="5" t="n"/>
      <c r="E723" s="8" t="n"/>
      <c r="F723" s="5" t="n"/>
      <c r="G723" s="5" t="n"/>
      <c r="H723" s="5" t="n"/>
    </row>
    <row r="724">
      <c r="A724" s="5" t="n"/>
      <c r="B724" s="5" t="n"/>
      <c r="C724" s="5" t="n"/>
      <c r="D724" s="5" t="n"/>
      <c r="E724" s="8" t="n"/>
      <c r="F724" s="5" t="n"/>
      <c r="G724" s="5" t="n"/>
      <c r="H724" s="5" t="n"/>
    </row>
    <row r="725">
      <c r="A725" s="5" t="n"/>
      <c r="B725" s="5" t="n"/>
      <c r="C725" s="5" t="n"/>
      <c r="D725" s="5" t="n"/>
      <c r="E725" s="8" t="n"/>
      <c r="F725" s="5" t="n"/>
      <c r="G725" s="5" t="n"/>
      <c r="H725" s="5" t="n"/>
    </row>
    <row r="726">
      <c r="A726" s="5" t="n"/>
      <c r="B726" s="5" t="n"/>
      <c r="C726" s="5" t="n"/>
      <c r="D726" s="5" t="n"/>
      <c r="E726" s="8" t="n"/>
      <c r="F726" s="5" t="n"/>
      <c r="G726" s="5" t="n"/>
      <c r="H726" s="5" t="n"/>
    </row>
    <row r="727">
      <c r="A727" s="5" t="n"/>
      <c r="B727" s="5" t="n"/>
      <c r="C727" s="5" t="n"/>
      <c r="D727" s="5" t="n"/>
      <c r="E727" s="8" t="n"/>
      <c r="F727" s="5" t="n"/>
      <c r="G727" s="5" t="n"/>
      <c r="H727" s="5" t="n"/>
    </row>
    <row r="728">
      <c r="A728" s="5" t="n"/>
      <c r="B728" s="5" t="n"/>
      <c r="C728" s="5" t="n"/>
      <c r="D728" s="5" t="n"/>
      <c r="E728" s="8" t="n"/>
      <c r="F728" s="5" t="n"/>
      <c r="G728" s="5" t="n"/>
      <c r="H728" s="5" t="n"/>
    </row>
    <row r="729">
      <c r="A729" s="5" t="n"/>
      <c r="B729" s="5" t="n"/>
      <c r="C729" s="5" t="n"/>
      <c r="D729" s="5" t="n"/>
      <c r="E729" s="8" t="n"/>
      <c r="F729" s="5" t="n"/>
      <c r="G729" s="5" t="n"/>
      <c r="H729" s="5" t="n"/>
    </row>
    <row r="730">
      <c r="A730" s="5" t="n"/>
      <c r="B730" s="5" t="n"/>
      <c r="C730" s="5" t="n"/>
      <c r="D730" s="5" t="n"/>
      <c r="E730" s="8" t="n"/>
      <c r="F730" s="5" t="n"/>
      <c r="G730" s="5" t="n"/>
      <c r="H730" s="5" t="n"/>
    </row>
    <row r="731">
      <c r="A731" s="5" t="n"/>
      <c r="B731" s="5" t="n"/>
      <c r="C731" s="5" t="n"/>
      <c r="D731" s="5" t="n"/>
      <c r="E731" s="8" t="n"/>
      <c r="F731" s="5" t="n"/>
      <c r="G731" s="5" t="n"/>
      <c r="H731" s="5" t="n"/>
    </row>
    <row r="732">
      <c r="A732" s="5" t="n"/>
      <c r="B732" s="5" t="n"/>
      <c r="C732" s="5" t="n"/>
      <c r="D732" s="5" t="n"/>
      <c r="E732" s="8" t="n"/>
      <c r="F732" s="5" t="n"/>
      <c r="G732" s="5" t="n"/>
      <c r="H732" s="5" t="n"/>
    </row>
    <row r="733">
      <c r="A733" s="5" t="n"/>
      <c r="B733" s="5" t="n"/>
      <c r="C733" s="5" t="n"/>
      <c r="D733" s="5" t="n"/>
      <c r="E733" s="8" t="n"/>
      <c r="F733" s="5" t="n"/>
      <c r="G733" s="5" t="n"/>
      <c r="H733" s="5" t="n"/>
    </row>
    <row r="734">
      <c r="A734" s="5" t="n"/>
      <c r="B734" s="5" t="n"/>
      <c r="C734" s="5" t="n"/>
      <c r="D734" s="5" t="n"/>
      <c r="E734" s="8" t="n"/>
      <c r="F734" s="5" t="n"/>
      <c r="G734" s="5" t="n"/>
      <c r="H734" s="5" t="n"/>
    </row>
    <row r="735">
      <c r="A735" s="5" t="n"/>
      <c r="B735" s="5" t="n"/>
      <c r="C735" s="5" t="n"/>
      <c r="D735" s="5" t="n"/>
      <c r="E735" s="8" t="n"/>
      <c r="F735" s="5" t="n"/>
      <c r="G735" s="5" t="n"/>
      <c r="H735" s="5" t="n"/>
    </row>
    <row r="736">
      <c r="A736" s="5" t="n"/>
      <c r="B736" s="5" t="n"/>
      <c r="C736" s="5" t="n"/>
      <c r="D736" s="5" t="n"/>
      <c r="E736" s="8" t="n"/>
      <c r="F736" s="5" t="n"/>
      <c r="G736" s="5" t="n"/>
      <c r="H736" s="5" t="n"/>
    </row>
    <row r="737">
      <c r="A737" s="5" t="n"/>
      <c r="B737" s="5" t="n"/>
      <c r="C737" s="5" t="n"/>
      <c r="D737" s="5" t="n"/>
      <c r="E737" s="8" t="n"/>
      <c r="F737" s="5" t="n"/>
      <c r="G737" s="5" t="n"/>
      <c r="H737" s="5" t="n"/>
    </row>
    <row r="738">
      <c r="A738" s="5" t="n"/>
      <c r="B738" s="5" t="n"/>
      <c r="C738" s="5" t="n"/>
      <c r="D738" s="5" t="n"/>
      <c r="E738" s="8" t="n"/>
      <c r="F738" s="5" t="n"/>
      <c r="G738" s="5" t="n"/>
      <c r="H738" s="5" t="n"/>
    </row>
    <row r="739">
      <c r="A739" s="5" t="n"/>
      <c r="B739" s="5" t="n"/>
      <c r="C739" s="5" t="n"/>
      <c r="D739" s="5" t="n"/>
      <c r="E739" s="8" t="n"/>
      <c r="F739" s="5" t="n"/>
      <c r="G739" s="5" t="n"/>
      <c r="H739" s="5" t="n"/>
    </row>
    <row r="740">
      <c r="A740" s="5" t="n"/>
      <c r="B740" s="5" t="n"/>
      <c r="C740" s="5" t="n"/>
      <c r="D740" s="5" t="n"/>
      <c r="E740" s="8" t="n"/>
      <c r="F740" s="5" t="n"/>
      <c r="G740" s="5" t="n"/>
      <c r="H740" s="5" t="n"/>
    </row>
    <row r="741">
      <c r="A741" s="5" t="n"/>
      <c r="B741" s="5" t="n"/>
      <c r="C741" s="5" t="n"/>
      <c r="D741" s="5" t="n"/>
      <c r="E741" s="8" t="n"/>
      <c r="F741" s="5" t="n"/>
      <c r="G741" s="5" t="n"/>
      <c r="H741" s="5" t="n"/>
    </row>
    <row r="742">
      <c r="A742" s="5" t="n"/>
      <c r="B742" s="5" t="n"/>
      <c r="C742" s="5" t="n"/>
      <c r="D742" s="5" t="n"/>
      <c r="E742" s="8" t="n"/>
      <c r="F742" s="5" t="n"/>
      <c r="G742" s="5" t="n"/>
      <c r="H742" s="5" t="n"/>
    </row>
    <row r="743">
      <c r="A743" s="5" t="n"/>
      <c r="B743" s="5" t="n"/>
      <c r="C743" s="5" t="n"/>
      <c r="D743" s="5" t="n"/>
      <c r="E743" s="8" t="n"/>
      <c r="F743" s="5" t="n"/>
      <c r="G743" s="5" t="n"/>
      <c r="H743" s="5" t="n"/>
    </row>
    <row r="744">
      <c r="A744" s="5" t="n"/>
      <c r="B744" s="5" t="n"/>
      <c r="C744" s="5" t="n"/>
      <c r="D744" s="5" t="n"/>
      <c r="E744" s="8" t="n"/>
      <c r="F744" s="5" t="n"/>
      <c r="G744" s="5" t="n"/>
      <c r="H744" s="5" t="n"/>
    </row>
    <row r="745">
      <c r="A745" s="5" t="n"/>
      <c r="B745" s="5" t="n"/>
      <c r="C745" s="5" t="n"/>
      <c r="D745" s="5" t="n"/>
      <c r="E745" s="8" t="n"/>
      <c r="F745" s="5" t="n"/>
      <c r="G745" s="5" t="n"/>
      <c r="H745" s="5" t="n"/>
    </row>
    <row r="746">
      <c r="A746" s="5" t="n"/>
      <c r="B746" s="5" t="n"/>
      <c r="C746" s="5" t="n"/>
      <c r="D746" s="5" t="n"/>
      <c r="E746" s="8" t="n"/>
      <c r="F746" s="5" t="n"/>
      <c r="G746" s="5" t="n"/>
      <c r="H746" s="5" t="n"/>
    </row>
    <row r="747">
      <c r="A747" s="5" t="n"/>
      <c r="B747" s="5" t="n"/>
      <c r="C747" s="5" t="n"/>
      <c r="D747" s="5" t="n"/>
      <c r="E747" s="8" t="n"/>
      <c r="F747" s="5" t="n"/>
      <c r="G747" s="5" t="n"/>
      <c r="H747" s="5" t="n"/>
    </row>
    <row r="748">
      <c r="A748" s="5" t="n"/>
      <c r="B748" s="5" t="n"/>
      <c r="C748" s="5" t="n"/>
      <c r="D748" s="5" t="n"/>
      <c r="E748" s="8" t="n"/>
      <c r="F748" s="5" t="n"/>
      <c r="G748" s="5" t="n"/>
      <c r="H748" s="5" t="n"/>
    </row>
    <row r="749">
      <c r="A749" s="5" t="n"/>
      <c r="B749" s="5" t="n"/>
      <c r="C749" s="5" t="n"/>
      <c r="D749" s="5" t="n"/>
      <c r="E749" s="8" t="n"/>
      <c r="F749" s="5" t="n"/>
      <c r="G749" s="5" t="n"/>
      <c r="H749" s="5" t="n"/>
    </row>
    <row r="750">
      <c r="A750" s="5" t="n"/>
      <c r="B750" s="5" t="n"/>
      <c r="C750" s="5" t="n"/>
      <c r="D750" s="5" t="n"/>
      <c r="E750" s="8" t="n"/>
      <c r="F750" s="5" t="n"/>
      <c r="G750" s="5" t="n"/>
      <c r="H750" s="5" t="n"/>
    </row>
    <row r="751">
      <c r="A751" s="5" t="n"/>
      <c r="B751" s="5" t="n"/>
      <c r="C751" s="5" t="n"/>
      <c r="D751" s="5" t="n"/>
      <c r="E751" s="8" t="n"/>
      <c r="F751" s="5" t="n"/>
      <c r="G751" s="5" t="n"/>
      <c r="H751" s="5" t="n"/>
    </row>
    <row r="752">
      <c r="A752" s="5" t="n"/>
      <c r="B752" s="5" t="n"/>
      <c r="C752" s="5" t="n"/>
      <c r="D752" s="5" t="n"/>
      <c r="E752" s="8" t="n"/>
      <c r="F752" s="5" t="n"/>
      <c r="G752" s="5" t="n"/>
      <c r="H752" s="5" t="n"/>
    </row>
    <row r="753">
      <c r="A753" s="5" t="n"/>
      <c r="B753" s="5" t="n"/>
      <c r="C753" s="5" t="n"/>
      <c r="D753" s="5" t="n"/>
      <c r="E753" s="8" t="n"/>
      <c r="F753" s="5" t="n"/>
      <c r="G753" s="5" t="n"/>
      <c r="H753" s="5" t="n"/>
    </row>
    <row r="754">
      <c r="A754" s="5" t="n"/>
      <c r="B754" s="5" t="n"/>
      <c r="C754" s="5" t="n"/>
      <c r="D754" s="5" t="n"/>
      <c r="E754" s="8" t="n"/>
      <c r="F754" s="5" t="n"/>
      <c r="G754" s="5" t="n"/>
      <c r="H754" s="5" t="n"/>
    </row>
    <row r="755">
      <c r="A755" s="5" t="n"/>
      <c r="B755" s="5" t="n"/>
      <c r="C755" s="5" t="n"/>
      <c r="D755" s="5" t="n"/>
      <c r="E755" s="8" t="n"/>
      <c r="F755" s="5" t="n"/>
      <c r="G755" s="5" t="n"/>
      <c r="H755" s="5" t="n"/>
    </row>
    <row r="756">
      <c r="A756" s="5" t="n"/>
      <c r="B756" s="5" t="n"/>
      <c r="C756" s="5" t="n"/>
      <c r="D756" s="5" t="n"/>
      <c r="E756" s="8" t="n"/>
      <c r="F756" s="5" t="n"/>
      <c r="G756" s="5" t="n"/>
      <c r="H756" s="5" t="n"/>
    </row>
    <row r="757">
      <c r="A757" s="5" t="n"/>
      <c r="B757" s="5" t="n"/>
      <c r="C757" s="5" t="n"/>
      <c r="D757" s="5" t="n"/>
      <c r="E757" s="8" t="n"/>
      <c r="F757" s="5" t="n"/>
      <c r="G757" s="5" t="n"/>
      <c r="H757" s="5" t="n"/>
    </row>
    <row r="758">
      <c r="A758" s="5" t="n"/>
      <c r="B758" s="5" t="n"/>
      <c r="C758" s="5" t="n"/>
      <c r="D758" s="5" t="n"/>
      <c r="E758" s="8" t="n"/>
      <c r="F758" s="5" t="n"/>
      <c r="G758" s="5" t="n"/>
      <c r="H758" s="5" t="n"/>
    </row>
    <row r="759">
      <c r="A759" s="5" t="n"/>
      <c r="B759" s="5" t="n"/>
      <c r="C759" s="5" t="n"/>
      <c r="D759" s="5" t="n"/>
      <c r="E759" s="8" t="n"/>
      <c r="F759" s="5" t="n"/>
      <c r="G759" s="5" t="n"/>
      <c r="H759" s="5" t="n"/>
    </row>
    <row r="760">
      <c r="A760" s="5" t="n"/>
      <c r="B760" s="5" t="n"/>
      <c r="C760" s="5" t="n"/>
      <c r="D760" s="5" t="n"/>
      <c r="E760" s="8" t="n"/>
      <c r="F760" s="5" t="n"/>
      <c r="G760" s="5" t="n"/>
      <c r="H760" s="5" t="n"/>
    </row>
    <row r="761">
      <c r="A761" s="5" t="n"/>
      <c r="B761" s="5" t="n"/>
      <c r="C761" s="5" t="n"/>
      <c r="D761" s="5" t="n"/>
      <c r="E761" s="8" t="n"/>
      <c r="F761" s="5" t="n"/>
      <c r="G761" s="5" t="n"/>
      <c r="H761" s="5" t="n"/>
    </row>
    <row r="762">
      <c r="A762" s="5" t="n"/>
      <c r="B762" s="5" t="n"/>
      <c r="C762" s="5" t="n"/>
      <c r="D762" s="5" t="n"/>
      <c r="E762" s="8" t="n"/>
      <c r="F762" s="5" t="n"/>
      <c r="G762" s="5" t="n"/>
      <c r="H762" s="5" t="n"/>
    </row>
    <row r="763">
      <c r="A763" s="5" t="n"/>
      <c r="B763" s="5" t="n"/>
      <c r="C763" s="5" t="n"/>
      <c r="D763" s="5" t="n"/>
      <c r="E763" s="8" t="n"/>
      <c r="F763" s="5" t="n"/>
      <c r="G763" s="5" t="n"/>
      <c r="H763" s="5" t="n"/>
    </row>
    <row r="764">
      <c r="A764" s="5" t="n"/>
      <c r="B764" s="5" t="n"/>
      <c r="C764" s="5" t="n"/>
      <c r="D764" s="5" t="n"/>
      <c r="E764" s="8" t="n"/>
      <c r="F764" s="5" t="n"/>
      <c r="G764" s="5" t="n"/>
      <c r="H764" s="5" t="n"/>
    </row>
    <row r="765">
      <c r="A765" s="5" t="n"/>
      <c r="B765" s="5" t="n"/>
      <c r="C765" s="5" t="n"/>
      <c r="D765" s="5" t="n"/>
      <c r="E765" s="8" t="n"/>
      <c r="F765" s="5" t="n"/>
      <c r="G765" s="5" t="n"/>
      <c r="H765" s="5" t="n"/>
    </row>
    <row r="766">
      <c r="A766" s="5" t="n"/>
      <c r="B766" s="5" t="n"/>
      <c r="C766" s="5" t="n"/>
      <c r="D766" s="5" t="n"/>
      <c r="E766" s="8" t="n"/>
      <c r="F766" s="5" t="n"/>
      <c r="G766" s="5" t="n"/>
      <c r="H766" s="5" t="n"/>
    </row>
    <row r="767">
      <c r="A767" s="5" t="n"/>
      <c r="B767" s="5" t="n"/>
      <c r="C767" s="5" t="n"/>
      <c r="D767" s="5" t="n"/>
      <c r="E767" s="8" t="n"/>
      <c r="F767" s="5" t="n"/>
      <c r="G767" s="5" t="n"/>
      <c r="H767" s="5" t="n"/>
    </row>
    <row r="768">
      <c r="A768" s="5" t="n"/>
      <c r="B768" s="5" t="n"/>
      <c r="C768" s="5" t="n"/>
      <c r="D768" s="5" t="n"/>
      <c r="E768" s="8" t="n"/>
      <c r="F768" s="5" t="n"/>
      <c r="G768" s="5" t="n"/>
      <c r="H768" s="5" t="n"/>
    </row>
    <row r="769">
      <c r="A769" s="5" t="n"/>
      <c r="B769" s="5" t="n"/>
      <c r="C769" s="5" t="n"/>
      <c r="D769" s="5" t="n"/>
      <c r="E769" s="8" t="n"/>
      <c r="F769" s="5" t="n"/>
      <c r="G769" s="5" t="n"/>
      <c r="H769" s="5" t="n"/>
    </row>
    <row r="770">
      <c r="A770" s="5" t="n"/>
      <c r="B770" s="5" t="n"/>
      <c r="C770" s="5" t="n"/>
      <c r="D770" s="5" t="n"/>
      <c r="E770" s="8" t="n"/>
      <c r="F770" s="5" t="n"/>
      <c r="G770" s="5" t="n"/>
      <c r="H770" s="5" t="n"/>
    </row>
    <row r="771">
      <c r="A771" s="5" t="n"/>
      <c r="B771" s="5" t="n"/>
      <c r="C771" s="5" t="n"/>
      <c r="D771" s="5" t="n"/>
      <c r="E771" s="8" t="n"/>
      <c r="F771" s="5" t="n"/>
      <c r="G771" s="5" t="n"/>
      <c r="H771" s="5" t="n"/>
    </row>
    <row r="772">
      <c r="A772" s="5" t="n"/>
      <c r="B772" s="5" t="n"/>
      <c r="C772" s="5" t="n"/>
      <c r="D772" s="5" t="n"/>
      <c r="E772" s="8" t="n"/>
      <c r="F772" s="5" t="n"/>
      <c r="G772" s="5" t="n"/>
      <c r="H772" s="5" t="n"/>
    </row>
    <row r="773">
      <c r="A773" s="5" t="n"/>
      <c r="B773" s="5" t="n"/>
      <c r="C773" s="5" t="n"/>
      <c r="D773" s="5" t="n"/>
      <c r="E773" s="8" t="n"/>
      <c r="F773" s="5" t="n"/>
      <c r="G773" s="5" t="n"/>
      <c r="H773" s="5" t="n"/>
    </row>
    <row r="774">
      <c r="A774" s="5" t="n"/>
      <c r="B774" s="5" t="n"/>
      <c r="C774" s="5" t="n"/>
      <c r="D774" s="5" t="n"/>
      <c r="E774" s="8" t="n"/>
      <c r="F774" s="5" t="n"/>
      <c r="G774" s="5" t="n"/>
      <c r="H774" s="5" t="n"/>
    </row>
    <row r="775">
      <c r="A775" s="5" t="n"/>
      <c r="B775" s="5" t="n"/>
      <c r="C775" s="5" t="n"/>
      <c r="D775" s="5" t="n"/>
      <c r="E775" s="8" t="n"/>
      <c r="F775" s="5" t="n"/>
      <c r="G775" s="5" t="n"/>
      <c r="H775" s="5" t="n"/>
    </row>
    <row r="776">
      <c r="A776" s="5" t="n"/>
      <c r="B776" s="5" t="n"/>
      <c r="C776" s="5" t="n"/>
      <c r="D776" s="5" t="n"/>
      <c r="E776" s="8" t="n"/>
      <c r="F776" s="5" t="n"/>
      <c r="G776" s="5" t="n"/>
      <c r="H776" s="5" t="n"/>
    </row>
    <row r="777">
      <c r="A777" s="5" t="n"/>
      <c r="B777" s="5" t="n"/>
      <c r="C777" s="5" t="n"/>
      <c r="D777" s="5" t="n"/>
      <c r="E777" s="8" t="n"/>
      <c r="F777" s="5" t="n"/>
      <c r="G777" s="5" t="n"/>
      <c r="H777" s="5" t="n"/>
    </row>
    <row r="778">
      <c r="A778" s="5" t="n"/>
      <c r="B778" s="5" t="n"/>
      <c r="C778" s="5" t="n"/>
      <c r="D778" s="5" t="n"/>
      <c r="E778" s="8" t="n"/>
      <c r="F778" s="5" t="n"/>
      <c r="G778" s="5" t="n"/>
      <c r="H778" s="5" t="n"/>
    </row>
    <row r="779">
      <c r="A779" s="5" t="n"/>
      <c r="B779" s="5" t="n"/>
      <c r="C779" s="5" t="n"/>
      <c r="D779" s="5" t="n"/>
      <c r="E779" s="8" t="n"/>
      <c r="F779" s="5" t="n"/>
      <c r="G779" s="5" t="n"/>
      <c r="H779" s="5" t="n"/>
    </row>
    <row r="780">
      <c r="A780" s="5" t="n"/>
      <c r="B780" s="5" t="n"/>
      <c r="C780" s="5" t="n"/>
      <c r="D780" s="5" t="n"/>
      <c r="E780" s="8" t="n"/>
      <c r="F780" s="5" t="n"/>
      <c r="G780" s="5" t="n"/>
      <c r="H780" s="5" t="n"/>
    </row>
    <row r="781">
      <c r="A781" s="5" t="n"/>
      <c r="B781" s="5" t="n"/>
      <c r="C781" s="5" t="n"/>
      <c r="D781" s="5" t="n"/>
      <c r="E781" s="8" t="n"/>
      <c r="F781" s="5" t="n"/>
      <c r="G781" s="5" t="n"/>
      <c r="H781" s="5" t="n"/>
    </row>
    <row r="782">
      <c r="A782" s="5" t="n"/>
      <c r="B782" s="5" t="n"/>
      <c r="C782" s="5" t="n"/>
      <c r="D782" s="5" t="n"/>
      <c r="E782" s="8" t="n"/>
      <c r="F782" s="5" t="n"/>
      <c r="G782" s="5" t="n"/>
      <c r="H782" s="5" t="n"/>
    </row>
    <row r="783">
      <c r="A783" s="5" t="n"/>
      <c r="B783" s="5" t="n"/>
      <c r="C783" s="5" t="n"/>
      <c r="D783" s="5" t="n"/>
      <c r="E783" s="8" t="n"/>
      <c r="F783" s="5" t="n"/>
      <c r="G783" s="5" t="n"/>
      <c r="H783" s="5" t="n"/>
    </row>
    <row r="784">
      <c r="A784" s="5" t="n"/>
      <c r="B784" s="5" t="n"/>
      <c r="C784" s="5" t="n"/>
      <c r="D784" s="5" t="n"/>
      <c r="E784" s="8" t="n"/>
      <c r="F784" s="5" t="n"/>
      <c r="G784" s="5" t="n"/>
      <c r="H784" s="5" t="n"/>
    </row>
    <row r="785">
      <c r="A785" s="5" t="n"/>
      <c r="B785" s="5" t="n"/>
      <c r="C785" s="5" t="n"/>
      <c r="D785" s="5" t="n"/>
      <c r="E785" s="8" t="n"/>
      <c r="F785" s="5" t="n"/>
      <c r="G785" s="5" t="n"/>
      <c r="H785" s="5" t="n"/>
    </row>
    <row r="786">
      <c r="A786" s="5" t="n"/>
      <c r="B786" s="5" t="n"/>
      <c r="C786" s="5" t="n"/>
      <c r="D786" s="5" t="n"/>
      <c r="E786" s="8" t="n"/>
      <c r="F786" s="5" t="n"/>
      <c r="G786" s="5" t="n"/>
      <c r="H786" s="5" t="n"/>
    </row>
    <row r="787">
      <c r="A787" s="5" t="n"/>
      <c r="B787" s="5" t="n"/>
      <c r="C787" s="5" t="n"/>
      <c r="D787" s="5" t="n"/>
      <c r="E787" s="8" t="n"/>
      <c r="F787" s="5" t="n"/>
      <c r="G787" s="5" t="n"/>
      <c r="H787" s="5" t="n"/>
    </row>
    <row r="788">
      <c r="A788" s="5" t="n"/>
      <c r="B788" s="5" t="n"/>
      <c r="C788" s="5" t="n"/>
      <c r="D788" s="5" t="n"/>
      <c r="E788" s="8" t="n"/>
      <c r="F788" s="5" t="n"/>
      <c r="G788" s="5" t="n"/>
      <c r="H788" s="5" t="n"/>
    </row>
    <row r="789">
      <c r="A789" s="5" t="n"/>
      <c r="B789" s="5" t="n"/>
      <c r="C789" s="5" t="n"/>
      <c r="D789" s="5" t="n"/>
      <c r="E789" s="8" t="n"/>
      <c r="F789" s="5" t="n"/>
      <c r="G789" s="5" t="n"/>
      <c r="H789" s="5" t="n"/>
    </row>
    <row r="790">
      <c r="A790" s="5" t="n"/>
      <c r="B790" s="5" t="n"/>
      <c r="C790" s="5" t="n"/>
      <c r="D790" s="5" t="n"/>
      <c r="E790" s="8" t="n"/>
      <c r="F790" s="5" t="n"/>
      <c r="G790" s="5" t="n"/>
      <c r="H790" s="5" t="n"/>
    </row>
    <row r="791">
      <c r="A791" s="5" t="n"/>
      <c r="B791" s="5" t="n"/>
      <c r="C791" s="5" t="n"/>
      <c r="D791" s="5" t="n"/>
      <c r="E791" s="8" t="n"/>
      <c r="F791" s="5" t="n"/>
      <c r="G791" s="5" t="n"/>
      <c r="H791" s="5" t="n"/>
    </row>
    <row r="792">
      <c r="A792" s="5" t="n"/>
      <c r="B792" s="5" t="n"/>
      <c r="C792" s="5" t="n"/>
      <c r="D792" s="5" t="n"/>
      <c r="E792" s="8" t="n"/>
      <c r="F792" s="5" t="n"/>
      <c r="G792" s="5" t="n"/>
      <c r="H792" s="5" t="n"/>
    </row>
    <row r="793">
      <c r="A793" s="5" t="n"/>
      <c r="B793" s="5" t="n"/>
      <c r="C793" s="5" t="n"/>
      <c r="D793" s="5" t="n"/>
      <c r="E793" s="8" t="n"/>
      <c r="F793" s="5" t="n"/>
      <c r="G793" s="5" t="n"/>
      <c r="H793" s="5" t="n"/>
    </row>
    <row r="794">
      <c r="A794" s="5" t="n"/>
      <c r="B794" s="5" t="n"/>
      <c r="C794" s="5" t="n"/>
      <c r="D794" s="5" t="n"/>
      <c r="E794" s="8" t="n"/>
      <c r="F794" s="5" t="n"/>
      <c r="G794" s="5" t="n"/>
      <c r="H794" s="5" t="n"/>
    </row>
    <row r="795">
      <c r="A795" s="5" t="n"/>
      <c r="B795" s="5" t="n"/>
      <c r="C795" s="5" t="n"/>
      <c r="D795" s="5" t="n"/>
      <c r="E795" s="8" t="n"/>
      <c r="F795" s="5" t="n"/>
      <c r="G795" s="5" t="n"/>
      <c r="H795" s="5" t="n"/>
    </row>
    <row r="796">
      <c r="A796" s="5" t="n"/>
      <c r="B796" s="5" t="n"/>
      <c r="C796" s="5" t="n"/>
      <c r="D796" s="5" t="n"/>
      <c r="E796" s="8" t="n"/>
      <c r="F796" s="5" t="n"/>
      <c r="G796" s="5" t="n"/>
      <c r="H796" s="5" t="n"/>
    </row>
    <row r="797">
      <c r="A797" s="5" t="n"/>
      <c r="B797" s="5" t="n"/>
      <c r="C797" s="5" t="n"/>
      <c r="D797" s="5" t="n"/>
      <c r="E797" s="8" t="n"/>
      <c r="F797" s="5" t="n"/>
      <c r="G797" s="5" t="n"/>
      <c r="H797" s="5" t="n"/>
    </row>
    <row r="798">
      <c r="A798" s="5" t="n"/>
      <c r="B798" s="5" t="n"/>
      <c r="C798" s="5" t="n"/>
      <c r="D798" s="5" t="n"/>
      <c r="E798" s="8" t="n"/>
      <c r="F798" s="5" t="n"/>
      <c r="G798" s="5" t="n"/>
      <c r="H798" s="5" t="n"/>
    </row>
    <row r="799">
      <c r="A799" s="5" t="n"/>
      <c r="B799" s="5" t="n"/>
      <c r="C799" s="5" t="n"/>
      <c r="D799" s="5" t="n"/>
      <c r="E799" s="8" t="n"/>
      <c r="F799" s="5" t="n"/>
      <c r="G799" s="5" t="n"/>
      <c r="H799" s="5" t="n"/>
    </row>
    <row r="800">
      <c r="A800" s="5" t="n"/>
      <c r="B800" s="5" t="n"/>
      <c r="C800" s="5" t="n"/>
      <c r="D800" s="5" t="n"/>
      <c r="E800" s="8" t="n"/>
      <c r="F800" s="5" t="n"/>
      <c r="G800" s="5" t="n"/>
      <c r="H800" s="5" t="n"/>
    </row>
    <row r="801">
      <c r="A801" s="5" t="n"/>
      <c r="B801" s="5" t="n"/>
      <c r="C801" s="5" t="n"/>
      <c r="D801" s="5" t="n"/>
      <c r="E801" s="8" t="n"/>
      <c r="F801" s="5" t="n"/>
      <c r="G801" s="5" t="n"/>
      <c r="H801" s="5" t="n"/>
    </row>
    <row r="802">
      <c r="A802" s="5" t="n"/>
      <c r="B802" s="5" t="n"/>
      <c r="C802" s="5" t="n"/>
      <c r="D802" s="5" t="n"/>
      <c r="E802" s="8" t="n"/>
      <c r="F802" s="5" t="n"/>
      <c r="G802" s="5" t="n"/>
      <c r="H802" s="5" t="n"/>
    </row>
    <row r="803">
      <c r="A803" s="5" t="n"/>
      <c r="B803" s="5" t="n"/>
      <c r="C803" s="5" t="n"/>
      <c r="D803" s="5" t="n"/>
      <c r="E803" s="8" t="n"/>
      <c r="F803" s="5" t="n"/>
      <c r="G803" s="5" t="n"/>
      <c r="H803" s="5" t="n"/>
    </row>
    <row r="804">
      <c r="A804" s="5" t="n"/>
      <c r="B804" s="5" t="n"/>
      <c r="C804" s="5" t="n"/>
      <c r="D804" s="5" t="n"/>
      <c r="E804" s="8" t="n"/>
      <c r="F804" s="5" t="n"/>
      <c r="G804" s="5" t="n"/>
      <c r="H804" s="5" t="n"/>
    </row>
    <row r="805">
      <c r="A805" s="5" t="n"/>
      <c r="B805" s="5" t="n"/>
      <c r="C805" s="5" t="n"/>
      <c r="D805" s="5" t="n"/>
      <c r="E805" s="8" t="n"/>
      <c r="F805" s="5" t="n"/>
      <c r="G805" s="5" t="n"/>
      <c r="H805" s="5" t="n"/>
    </row>
    <row r="806">
      <c r="A806" s="5" t="n"/>
      <c r="B806" s="5" t="n"/>
      <c r="C806" s="5" t="n"/>
      <c r="D806" s="5" t="n"/>
      <c r="E806" s="8" t="n"/>
      <c r="F806" s="5" t="n"/>
      <c r="G806" s="5" t="n"/>
      <c r="H806" s="5" t="n"/>
    </row>
    <row r="807">
      <c r="A807" s="5" t="n"/>
      <c r="B807" s="5" t="n"/>
      <c r="C807" s="5" t="n"/>
      <c r="D807" s="5" t="n"/>
      <c r="E807" s="8" t="n"/>
      <c r="F807" s="5" t="n"/>
      <c r="G807" s="5" t="n"/>
      <c r="H807" s="5" t="n"/>
    </row>
    <row r="808">
      <c r="A808" s="5" t="n"/>
      <c r="B808" s="5" t="n"/>
      <c r="C808" s="5" t="n"/>
      <c r="D808" s="5" t="n"/>
      <c r="E808" s="8" t="n"/>
      <c r="F808" s="5" t="n"/>
      <c r="G808" s="5" t="n"/>
      <c r="H808" s="5" t="n"/>
    </row>
    <row r="809">
      <c r="A809" s="5" t="n"/>
      <c r="B809" s="5" t="n"/>
      <c r="C809" s="5" t="n"/>
      <c r="D809" s="5" t="n"/>
      <c r="E809" s="8" t="n"/>
      <c r="F809" s="5" t="n"/>
      <c r="G809" s="5" t="n"/>
      <c r="H809" s="5" t="n"/>
    </row>
    <row r="810">
      <c r="A810" s="5" t="n"/>
      <c r="B810" s="5" t="n"/>
      <c r="C810" s="5" t="n"/>
      <c r="D810" s="5" t="n"/>
      <c r="E810" s="8" t="n"/>
      <c r="F810" s="5" t="n"/>
      <c r="G810" s="5" t="n"/>
      <c r="H810" s="5" t="n"/>
    </row>
    <row r="811">
      <c r="A811" s="5" t="n"/>
      <c r="B811" s="5" t="n"/>
      <c r="C811" s="5" t="n"/>
      <c r="D811" s="5" t="n"/>
      <c r="E811" s="8" t="n"/>
      <c r="F811" s="5" t="n"/>
      <c r="G811" s="5" t="n"/>
      <c r="H811" s="5" t="n"/>
    </row>
    <row r="812">
      <c r="A812" s="5" t="n"/>
      <c r="B812" s="5" t="n"/>
      <c r="C812" s="5" t="n"/>
      <c r="D812" s="5" t="n"/>
      <c r="E812" s="8" t="n"/>
      <c r="F812" s="5" t="n"/>
      <c r="G812" s="5" t="n"/>
      <c r="H812" s="5" t="n"/>
    </row>
    <row r="813">
      <c r="A813" s="5" t="n"/>
      <c r="B813" s="5" t="n"/>
      <c r="C813" s="5" t="n"/>
      <c r="D813" s="5" t="n"/>
      <c r="E813" s="8" t="n"/>
      <c r="F813" s="5" t="n"/>
      <c r="G813" s="5" t="n"/>
      <c r="H813" s="5" t="n"/>
    </row>
    <row r="814">
      <c r="A814" s="5" t="n"/>
      <c r="B814" s="5" t="n"/>
      <c r="C814" s="5" t="n"/>
      <c r="D814" s="5" t="n"/>
      <c r="E814" s="8" t="n"/>
      <c r="F814" s="5" t="n"/>
      <c r="G814" s="5" t="n"/>
      <c r="H814" s="5" t="n"/>
    </row>
    <row r="815">
      <c r="A815" s="5" t="n"/>
      <c r="B815" s="5" t="n"/>
      <c r="C815" s="5" t="n"/>
      <c r="D815" s="5" t="n"/>
      <c r="E815" s="8" t="n"/>
      <c r="F815" s="5" t="n"/>
      <c r="G815" s="5" t="n"/>
      <c r="H815" s="5" t="n"/>
    </row>
    <row r="816">
      <c r="A816" s="5" t="n"/>
      <c r="B816" s="5" t="n"/>
      <c r="C816" s="5" t="n"/>
      <c r="D816" s="5" t="n"/>
      <c r="E816" s="8" t="n"/>
      <c r="F816" s="5" t="n"/>
      <c r="G816" s="5" t="n"/>
      <c r="H816" s="5" t="n"/>
    </row>
    <row r="817">
      <c r="A817" s="5" t="n"/>
      <c r="B817" s="5" t="n"/>
      <c r="C817" s="5" t="n"/>
      <c r="D817" s="5" t="n"/>
      <c r="E817" s="8" t="n"/>
      <c r="F817" s="5" t="n"/>
      <c r="G817" s="5" t="n"/>
      <c r="H817" s="5" t="n"/>
    </row>
    <row r="818">
      <c r="A818" s="5" t="n"/>
      <c r="B818" s="5" t="n"/>
      <c r="C818" s="5" t="n"/>
      <c r="D818" s="5" t="n"/>
      <c r="E818" s="8" t="n"/>
      <c r="F818" s="5" t="n"/>
      <c r="G818" s="5" t="n"/>
      <c r="H818" s="5" t="n"/>
    </row>
    <row r="819">
      <c r="A819" s="5" t="n"/>
      <c r="B819" s="5" t="n"/>
      <c r="C819" s="5" t="n"/>
      <c r="D819" s="5" t="n"/>
      <c r="E819" s="8" t="n"/>
      <c r="F819" s="5" t="n"/>
      <c r="G819" s="5" t="n"/>
      <c r="H819" s="5" t="n"/>
    </row>
    <row r="820">
      <c r="A820" s="5" t="n"/>
      <c r="B820" s="5" t="n"/>
      <c r="C820" s="5" t="n"/>
      <c r="D820" s="5" t="n"/>
      <c r="E820" s="8" t="n"/>
      <c r="F820" s="5" t="n"/>
      <c r="G820" s="5" t="n"/>
      <c r="H820" s="5" t="n"/>
    </row>
    <row r="821">
      <c r="A821" s="5" t="n"/>
      <c r="B821" s="5" t="n"/>
      <c r="C821" s="5" t="n"/>
      <c r="D821" s="5" t="n"/>
      <c r="E821" s="8" t="n"/>
      <c r="F821" s="5" t="n"/>
      <c r="G821" s="5" t="n"/>
      <c r="H821" s="5" t="n"/>
    </row>
    <row r="822">
      <c r="A822" s="5" t="n"/>
      <c r="B822" s="5" t="n"/>
      <c r="C822" s="5" t="n"/>
      <c r="D822" s="5" t="n"/>
      <c r="E822" s="8" t="n"/>
      <c r="F822" s="5" t="n"/>
      <c r="G822" s="5" t="n"/>
      <c r="H822" s="5" t="n"/>
    </row>
    <row r="823">
      <c r="A823" s="5" t="n"/>
      <c r="B823" s="5" t="n"/>
      <c r="C823" s="5" t="n"/>
      <c r="D823" s="5" t="n"/>
      <c r="E823" s="8" t="n"/>
      <c r="F823" s="5" t="n"/>
      <c r="G823" s="5" t="n"/>
      <c r="H823" s="5" t="n"/>
    </row>
    <row r="824">
      <c r="A824" s="5" t="n"/>
      <c r="B824" s="5" t="n"/>
      <c r="C824" s="5" t="n"/>
      <c r="D824" s="5" t="n"/>
      <c r="E824" s="8" t="n"/>
      <c r="F824" s="5" t="n"/>
      <c r="G824" s="5" t="n"/>
      <c r="H824" s="5" t="n"/>
    </row>
    <row r="825">
      <c r="A825" s="5" t="n"/>
      <c r="B825" s="5" t="n"/>
      <c r="C825" s="5" t="n"/>
      <c r="D825" s="5" t="n"/>
      <c r="E825" s="8" t="n"/>
      <c r="F825" s="5" t="n"/>
      <c r="G825" s="5" t="n"/>
      <c r="H825" s="5" t="n"/>
    </row>
    <row r="826">
      <c r="A826" s="5" t="n"/>
      <c r="B826" s="5" t="n"/>
      <c r="C826" s="5" t="n"/>
      <c r="D826" s="5" t="n"/>
      <c r="E826" s="8" t="n"/>
      <c r="F826" s="5" t="n"/>
      <c r="G826" s="5" t="n"/>
      <c r="H826" s="5" t="n"/>
    </row>
    <row r="827">
      <c r="A827" s="5" t="n"/>
      <c r="B827" s="5" t="n"/>
      <c r="C827" s="5" t="n"/>
      <c r="D827" s="5" t="n"/>
      <c r="E827" s="8" t="n"/>
      <c r="F827" s="5" t="n"/>
      <c r="G827" s="5" t="n"/>
      <c r="H827" s="5" t="n"/>
    </row>
    <row r="828">
      <c r="A828" s="5" t="n"/>
      <c r="B828" s="5" t="n"/>
      <c r="C828" s="5" t="n"/>
      <c r="D828" s="5" t="n"/>
      <c r="E828" s="8" t="n"/>
      <c r="F828" s="5" t="n"/>
      <c r="G828" s="5" t="n"/>
      <c r="H828" s="5" t="n"/>
    </row>
    <row r="829">
      <c r="A829" s="5" t="n"/>
      <c r="B829" s="5" t="n"/>
      <c r="C829" s="5" t="n"/>
      <c r="D829" s="5" t="n"/>
      <c r="E829" s="8" t="n"/>
      <c r="F829" s="5" t="n"/>
      <c r="G829" s="5" t="n"/>
      <c r="H829" s="5" t="n"/>
    </row>
    <row r="830">
      <c r="A830" s="5" t="n"/>
      <c r="B830" s="5" t="n"/>
      <c r="C830" s="5" t="n"/>
      <c r="D830" s="5" t="n"/>
      <c r="E830" s="8" t="n"/>
      <c r="F830" s="5" t="n"/>
      <c r="G830" s="5" t="n"/>
      <c r="H830" s="5" t="n"/>
    </row>
    <row r="831">
      <c r="A831" s="5" t="n"/>
      <c r="B831" s="5" t="n"/>
      <c r="C831" s="5" t="n"/>
      <c r="D831" s="5" t="n"/>
      <c r="E831" s="8" t="n"/>
      <c r="F831" s="5" t="n"/>
      <c r="G831" s="5" t="n"/>
      <c r="H831" s="5" t="n"/>
    </row>
    <row r="832">
      <c r="A832" s="5" t="n"/>
      <c r="B832" s="5" t="n"/>
      <c r="C832" s="5" t="n"/>
      <c r="D832" s="5" t="n"/>
      <c r="E832" s="8" t="n"/>
      <c r="F832" s="5" t="n"/>
      <c r="G832" s="5" t="n"/>
      <c r="H832" s="5" t="n"/>
    </row>
    <row r="833">
      <c r="A833" s="5" t="n"/>
      <c r="B833" s="5" t="n"/>
      <c r="C833" s="5" t="n"/>
      <c r="D833" s="5" t="n"/>
      <c r="E833" s="8" t="n"/>
      <c r="F833" s="5" t="n"/>
      <c r="G833" s="5" t="n"/>
      <c r="H833" s="5" t="n"/>
    </row>
    <row r="834">
      <c r="A834" s="5" t="n"/>
      <c r="B834" s="5" t="n"/>
      <c r="C834" s="5" t="n"/>
      <c r="D834" s="5" t="n"/>
      <c r="E834" s="8" t="n"/>
      <c r="F834" s="5" t="n"/>
      <c r="G834" s="5" t="n"/>
      <c r="H834" s="5" t="n"/>
    </row>
    <row r="835">
      <c r="A835" s="5" t="n"/>
      <c r="B835" s="5" t="n"/>
      <c r="C835" s="5" t="n"/>
      <c r="D835" s="5" t="n"/>
      <c r="E835" s="8" t="n"/>
      <c r="F835" s="5" t="n"/>
      <c r="G835" s="5" t="n"/>
      <c r="H835" s="5" t="n"/>
    </row>
    <row r="836">
      <c r="A836" s="5" t="n"/>
      <c r="B836" s="5" t="n"/>
      <c r="C836" s="5" t="n"/>
      <c r="D836" s="5" t="n"/>
      <c r="E836" s="8" t="n"/>
      <c r="F836" s="5" t="n"/>
      <c r="G836" s="5" t="n"/>
      <c r="H836" s="5" t="n"/>
    </row>
    <row r="837">
      <c r="A837" s="5" t="n"/>
      <c r="B837" s="5" t="n"/>
      <c r="C837" s="5" t="n"/>
      <c r="D837" s="5" t="n"/>
      <c r="E837" s="8" t="n"/>
      <c r="F837" s="5" t="n"/>
      <c r="G837" s="5" t="n"/>
      <c r="H837" s="5" t="n"/>
    </row>
    <row r="838">
      <c r="A838" s="5" t="n"/>
      <c r="B838" s="5" t="n"/>
      <c r="C838" s="5" t="n"/>
      <c r="D838" s="5" t="n"/>
      <c r="E838" s="8" t="n"/>
      <c r="F838" s="5" t="n"/>
      <c r="G838" s="5" t="n"/>
      <c r="H838" s="5" t="n"/>
    </row>
    <row r="839">
      <c r="A839" s="5" t="n"/>
      <c r="B839" s="5" t="n"/>
      <c r="C839" s="5" t="n"/>
      <c r="D839" s="5" t="n"/>
      <c r="E839" s="8" t="n"/>
      <c r="F839" s="5" t="n"/>
      <c r="G839" s="5" t="n"/>
      <c r="H839" s="5" t="n"/>
    </row>
    <row r="840">
      <c r="A840" s="5" t="n"/>
      <c r="B840" s="5" t="n"/>
      <c r="C840" s="5" t="n"/>
      <c r="D840" s="5" t="n"/>
      <c r="E840" s="8" t="n"/>
      <c r="F840" s="5" t="n"/>
      <c r="G840" s="5" t="n"/>
      <c r="H840" s="5" t="n"/>
    </row>
    <row r="841">
      <c r="A841" s="5" t="n"/>
      <c r="B841" s="5" t="n"/>
      <c r="C841" s="5" t="n"/>
      <c r="D841" s="5" t="n"/>
      <c r="E841" s="8" t="n"/>
      <c r="F841" s="5" t="n"/>
      <c r="G841" s="5" t="n"/>
      <c r="H841" s="5" t="n"/>
    </row>
    <row r="842">
      <c r="A842" s="5" t="n"/>
      <c r="B842" s="5" t="n"/>
      <c r="C842" s="5" t="n"/>
      <c r="D842" s="5" t="n"/>
      <c r="E842" s="8" t="n"/>
      <c r="F842" s="5" t="n"/>
      <c r="G842" s="5" t="n"/>
      <c r="H842" s="5" t="n"/>
    </row>
    <row r="843">
      <c r="A843" s="5" t="n"/>
      <c r="B843" s="5" t="n"/>
      <c r="C843" s="5" t="n"/>
      <c r="D843" s="5" t="n"/>
      <c r="E843" s="8" t="n"/>
      <c r="F843" s="5" t="n"/>
      <c r="G843" s="5" t="n"/>
      <c r="H843" s="5" t="n"/>
    </row>
    <row r="844">
      <c r="A844" s="5" t="n"/>
      <c r="B844" s="5" t="n"/>
      <c r="C844" s="5" t="n"/>
      <c r="D844" s="5" t="n"/>
      <c r="E844" s="8" t="n"/>
      <c r="F844" s="5" t="n"/>
      <c r="G844" s="5" t="n"/>
      <c r="H844" s="5" t="n"/>
    </row>
    <row r="845">
      <c r="A845" s="5" t="n"/>
      <c r="B845" s="5" t="n"/>
      <c r="C845" s="5" t="n"/>
      <c r="D845" s="5" t="n"/>
      <c r="E845" s="8" t="n"/>
      <c r="F845" s="5" t="n"/>
      <c r="G845" s="5" t="n"/>
      <c r="H845" s="5" t="n"/>
    </row>
    <row r="846">
      <c r="A846" s="5" t="n"/>
      <c r="B846" s="5" t="n"/>
      <c r="C846" s="5" t="n"/>
      <c r="D846" s="5" t="n"/>
      <c r="E846" s="8" t="n"/>
      <c r="F846" s="5" t="n"/>
      <c r="G846" s="5" t="n"/>
      <c r="H846" s="5" t="n"/>
    </row>
    <row r="847">
      <c r="A847" s="5" t="n"/>
      <c r="B847" s="5" t="n"/>
      <c r="C847" s="5" t="n"/>
      <c r="D847" s="5" t="n"/>
      <c r="E847" s="8" t="n"/>
      <c r="F847" s="5" t="n"/>
      <c r="G847" s="5" t="n"/>
      <c r="H847" s="5" t="n"/>
    </row>
    <row r="848">
      <c r="A848" s="5" t="n"/>
      <c r="B848" s="5" t="n"/>
      <c r="C848" s="5" t="n"/>
      <c r="D848" s="5" t="n"/>
      <c r="E848" s="8" t="n"/>
      <c r="F848" s="5" t="n"/>
      <c r="G848" s="5" t="n"/>
      <c r="H848" s="5" t="n"/>
    </row>
    <row r="849">
      <c r="A849" s="5" t="n"/>
      <c r="B849" s="5" t="n"/>
      <c r="C849" s="5" t="n"/>
      <c r="D849" s="5" t="n"/>
      <c r="E849" s="8" t="n"/>
      <c r="F849" s="5" t="n"/>
      <c r="G849" s="5" t="n"/>
      <c r="H849" s="5" t="n"/>
    </row>
    <row r="850">
      <c r="A850" s="5" t="n"/>
      <c r="B850" s="5" t="n"/>
      <c r="C850" s="5" t="n"/>
      <c r="D850" s="5" t="n"/>
      <c r="E850" s="8" t="n"/>
      <c r="F850" s="5" t="n"/>
      <c r="G850" s="5" t="n"/>
      <c r="H850" s="5" t="n"/>
    </row>
    <row r="851">
      <c r="A851" s="5" t="n"/>
      <c r="B851" s="5" t="n"/>
      <c r="C851" s="5" t="n"/>
      <c r="D851" s="5" t="n"/>
      <c r="E851" s="8" t="n"/>
      <c r="F851" s="5" t="n"/>
      <c r="G851" s="5" t="n"/>
      <c r="H851" s="5" t="n"/>
    </row>
    <row r="852">
      <c r="A852" s="5" t="n"/>
      <c r="B852" s="5" t="n"/>
      <c r="C852" s="5" t="n"/>
      <c r="D852" s="5" t="n"/>
      <c r="E852" s="8" t="n"/>
      <c r="F852" s="5" t="n"/>
      <c r="G852" s="5" t="n"/>
      <c r="H852" s="5" t="n"/>
    </row>
    <row r="853">
      <c r="A853" s="5" t="n"/>
      <c r="B853" s="5" t="n"/>
      <c r="C853" s="5" t="n"/>
      <c r="D853" s="5" t="n"/>
      <c r="E853" s="8" t="n"/>
      <c r="F853" s="5" t="n"/>
      <c r="G853" s="5" t="n"/>
      <c r="H853" s="5" t="n"/>
    </row>
    <row r="854">
      <c r="A854" s="5" t="n"/>
      <c r="B854" s="5" t="n"/>
      <c r="C854" s="5" t="n"/>
      <c r="D854" s="5" t="n"/>
      <c r="E854" s="8" t="n"/>
      <c r="F854" s="5" t="n"/>
      <c r="G854" s="5" t="n"/>
      <c r="H854" s="5" t="n"/>
    </row>
    <row r="855">
      <c r="A855" s="5" t="n"/>
      <c r="B855" s="5" t="n"/>
      <c r="C855" s="5" t="n"/>
      <c r="D855" s="5" t="n"/>
      <c r="E855" s="8" t="n"/>
      <c r="F855" s="5" t="n"/>
      <c r="G855" s="5" t="n"/>
      <c r="H855" s="5" t="n"/>
    </row>
    <row r="856">
      <c r="A856" s="5" t="n"/>
      <c r="B856" s="5" t="n"/>
      <c r="C856" s="5" t="n"/>
      <c r="D856" s="5" t="n"/>
      <c r="E856" s="8" t="n"/>
      <c r="F856" s="5" t="n"/>
      <c r="G856" s="5" t="n"/>
      <c r="H856" s="5" t="n"/>
    </row>
    <row r="857">
      <c r="A857" s="5" t="n"/>
      <c r="B857" s="5" t="n"/>
      <c r="C857" s="5" t="n"/>
      <c r="D857" s="5" t="n"/>
      <c r="E857" s="8" t="n"/>
      <c r="F857" s="5" t="n"/>
      <c r="G857" s="5" t="n"/>
      <c r="H857" s="5" t="n"/>
    </row>
    <row r="858">
      <c r="A858" s="5" t="n"/>
      <c r="B858" s="5" t="n"/>
      <c r="C858" s="5" t="n"/>
      <c r="D858" s="5" t="n"/>
      <c r="E858" s="8" t="n"/>
      <c r="F858" s="5" t="n"/>
      <c r="G858" s="5" t="n"/>
      <c r="H858" s="5" t="n"/>
    </row>
    <row r="859">
      <c r="A859" s="5" t="n"/>
      <c r="B859" s="5" t="n"/>
      <c r="C859" s="5" t="n"/>
      <c r="D859" s="5" t="n"/>
      <c r="E859" s="8" t="n"/>
      <c r="F859" s="5" t="n"/>
      <c r="G859" s="5" t="n"/>
      <c r="H859" s="5" t="n"/>
    </row>
    <row r="860">
      <c r="A860" s="5" t="n"/>
      <c r="B860" s="5" t="n"/>
      <c r="C860" s="5" t="n"/>
      <c r="D860" s="5" t="n"/>
      <c r="E860" s="8" t="n"/>
      <c r="F860" s="5" t="n"/>
      <c r="G860" s="5" t="n"/>
      <c r="H860" s="5" t="n"/>
    </row>
    <row r="861">
      <c r="A861" s="5" t="n"/>
      <c r="B861" s="5" t="n"/>
      <c r="C861" s="5" t="n"/>
      <c r="D861" s="5" t="n"/>
      <c r="E861" s="8" t="n"/>
      <c r="F861" s="5" t="n"/>
      <c r="G861" s="5" t="n"/>
      <c r="H861" s="5" t="n"/>
    </row>
    <row r="862">
      <c r="A862" s="5" t="n"/>
      <c r="B862" s="5" t="n"/>
      <c r="C862" s="5" t="n"/>
      <c r="D862" s="5" t="n"/>
      <c r="E862" s="8" t="n"/>
      <c r="F862" s="5" t="n"/>
      <c r="G862" s="5" t="n"/>
      <c r="H862" s="5" t="n"/>
    </row>
    <row r="863">
      <c r="A863" s="5" t="n"/>
      <c r="B863" s="5" t="n"/>
      <c r="C863" s="5" t="n"/>
      <c r="D863" s="5" t="n"/>
      <c r="E863" s="8" t="n"/>
      <c r="F863" s="5" t="n"/>
      <c r="G863" s="5" t="n"/>
      <c r="H863" s="5" t="n"/>
    </row>
    <row r="864">
      <c r="A864" s="5" t="n"/>
      <c r="B864" s="5" t="n"/>
      <c r="C864" s="5" t="n"/>
      <c r="D864" s="5" t="n"/>
      <c r="E864" s="8" t="n"/>
      <c r="F864" s="5" t="n"/>
      <c r="G864" s="5" t="n"/>
      <c r="H864" s="5" t="n"/>
    </row>
    <row r="865">
      <c r="A865" s="5" t="n"/>
      <c r="B865" s="5" t="n"/>
      <c r="C865" s="5" t="n"/>
      <c r="D865" s="5" t="n"/>
      <c r="E865" s="8" t="n"/>
      <c r="F865" s="5" t="n"/>
      <c r="G865" s="5" t="n"/>
      <c r="H865" s="5" t="n"/>
    </row>
    <row r="866">
      <c r="A866" s="5" t="n"/>
      <c r="B866" s="5" t="n"/>
      <c r="C866" s="5" t="n"/>
      <c r="D866" s="5" t="n"/>
      <c r="E866" s="8" t="n"/>
      <c r="F866" s="5" t="n"/>
      <c r="G866" s="5" t="n"/>
      <c r="H866" s="5" t="n"/>
    </row>
    <row r="867">
      <c r="A867" s="5" t="n"/>
      <c r="B867" s="5" t="n"/>
      <c r="C867" s="5" t="n"/>
      <c r="D867" s="5" t="n"/>
      <c r="E867" s="8" t="n"/>
      <c r="F867" s="5" t="n"/>
      <c r="G867" s="5" t="n"/>
      <c r="H867" s="5" t="n"/>
    </row>
    <row r="868">
      <c r="A868" s="5" t="n"/>
      <c r="B868" s="5" t="n"/>
      <c r="C868" s="5" t="n"/>
      <c r="D868" s="5" t="n"/>
      <c r="E868" s="8" t="n"/>
      <c r="F868" s="5" t="n"/>
      <c r="G868" s="5" t="n"/>
      <c r="H868" s="5" t="n"/>
    </row>
    <row r="869">
      <c r="A869" s="5" t="n"/>
      <c r="B869" s="5" t="n"/>
      <c r="C869" s="5" t="n"/>
      <c r="D869" s="5" t="n"/>
      <c r="E869" s="8" t="n"/>
      <c r="F869" s="5" t="n"/>
      <c r="G869" s="5" t="n"/>
      <c r="H869" s="5" t="n"/>
    </row>
    <row r="870">
      <c r="A870" s="5" t="n"/>
      <c r="B870" s="5" t="n"/>
      <c r="C870" s="5" t="n"/>
      <c r="D870" s="5" t="n"/>
      <c r="E870" s="8" t="n"/>
      <c r="F870" s="5" t="n"/>
      <c r="G870" s="5" t="n"/>
      <c r="H870" s="5" t="n"/>
    </row>
    <row r="871">
      <c r="A871" s="5" t="n"/>
      <c r="B871" s="5" t="n"/>
      <c r="C871" s="5" t="n"/>
      <c r="D871" s="5" t="n"/>
      <c r="E871" s="8" t="n"/>
      <c r="F871" s="5" t="n"/>
      <c r="G871" s="5" t="n"/>
      <c r="H871" s="5" t="n"/>
    </row>
    <row r="872">
      <c r="A872" s="5" t="n"/>
      <c r="B872" s="5" t="n"/>
      <c r="C872" s="5" t="n"/>
      <c r="D872" s="5" t="n"/>
      <c r="E872" s="8" t="n"/>
      <c r="F872" s="5" t="n"/>
      <c r="G872" s="5" t="n"/>
      <c r="H872" s="5" t="n"/>
    </row>
    <row r="873">
      <c r="A873" s="5" t="n"/>
      <c r="B873" s="5" t="n"/>
      <c r="C873" s="5" t="n"/>
      <c r="D873" s="5" t="n"/>
      <c r="E873" s="8" t="n"/>
      <c r="F873" s="5" t="n"/>
      <c r="G873" s="5" t="n"/>
      <c r="H873" s="5" t="n"/>
    </row>
    <row r="874">
      <c r="A874" s="5" t="n"/>
      <c r="B874" s="5" t="n"/>
      <c r="C874" s="5" t="n"/>
      <c r="D874" s="5" t="n"/>
      <c r="E874" s="8" t="n"/>
      <c r="F874" s="5" t="n"/>
      <c r="G874" s="5" t="n"/>
      <c r="H874" s="5" t="n"/>
    </row>
    <row r="875">
      <c r="A875" s="5" t="n"/>
      <c r="B875" s="5" t="n"/>
      <c r="C875" s="5" t="n"/>
      <c r="D875" s="5" t="n"/>
      <c r="E875" s="8" t="n"/>
      <c r="F875" s="5" t="n"/>
      <c r="G875" s="5" t="n"/>
      <c r="H875" s="5" t="n"/>
    </row>
    <row r="876">
      <c r="A876" s="5" t="n"/>
      <c r="B876" s="5" t="n"/>
      <c r="C876" s="5" t="n"/>
      <c r="D876" s="5" t="n"/>
      <c r="E876" s="8" t="n"/>
      <c r="F876" s="5" t="n"/>
      <c r="G876" s="5" t="n"/>
      <c r="H876" s="5" t="n"/>
    </row>
    <row r="877">
      <c r="A877" s="5" t="n"/>
      <c r="B877" s="5" t="n"/>
      <c r="C877" s="5" t="n"/>
      <c r="D877" s="5" t="n"/>
      <c r="E877" s="8" t="n"/>
      <c r="F877" s="5" t="n"/>
      <c r="G877" s="5" t="n"/>
      <c r="H877" s="5" t="n"/>
    </row>
    <row r="878">
      <c r="A878" s="5" t="n"/>
      <c r="B878" s="5" t="n"/>
      <c r="C878" s="5" t="n"/>
      <c r="D878" s="5" t="n"/>
      <c r="E878" s="8" t="n"/>
      <c r="F878" s="5" t="n"/>
      <c r="G878" s="5" t="n"/>
      <c r="H878" s="5" t="n"/>
    </row>
    <row r="879">
      <c r="A879" s="5" t="n"/>
      <c r="B879" s="5" t="n"/>
      <c r="C879" s="5" t="n"/>
      <c r="D879" s="5" t="n"/>
      <c r="E879" s="8" t="n"/>
      <c r="F879" s="5" t="n"/>
      <c r="G879" s="5" t="n"/>
      <c r="H879" s="5" t="n"/>
    </row>
    <row r="880">
      <c r="A880" s="5" t="n"/>
      <c r="B880" s="5" t="n"/>
      <c r="C880" s="5" t="n"/>
      <c r="D880" s="5" t="n"/>
      <c r="E880" s="8" t="n"/>
      <c r="F880" s="5" t="n"/>
      <c r="G880" s="5" t="n"/>
      <c r="H880" s="5" t="n"/>
    </row>
    <row r="881">
      <c r="A881" s="5" t="n"/>
      <c r="B881" s="5" t="n"/>
      <c r="C881" s="5" t="n"/>
      <c r="D881" s="5" t="n"/>
      <c r="E881" s="8" t="n"/>
      <c r="F881" s="5" t="n"/>
      <c r="G881" s="5" t="n"/>
      <c r="H881" s="5" t="n"/>
    </row>
    <row r="882">
      <c r="A882" s="5" t="n"/>
      <c r="B882" s="5" t="n"/>
      <c r="C882" s="5" t="n"/>
      <c r="D882" s="5" t="n"/>
      <c r="E882" s="8" t="n"/>
      <c r="F882" s="5" t="n"/>
      <c r="G882" s="5" t="n"/>
      <c r="H882" s="5" t="n"/>
    </row>
    <row r="883">
      <c r="A883" s="5" t="n"/>
      <c r="B883" s="5" t="n"/>
      <c r="C883" s="5" t="n"/>
      <c r="D883" s="5" t="n"/>
      <c r="E883" s="8" t="n"/>
      <c r="F883" s="5" t="n"/>
      <c r="G883" s="5" t="n"/>
      <c r="H883" s="5" t="n"/>
    </row>
    <row r="884">
      <c r="A884" s="5" t="n"/>
      <c r="B884" s="5" t="n"/>
      <c r="C884" s="5" t="n"/>
      <c r="D884" s="5" t="n"/>
      <c r="E884" s="8" t="n"/>
      <c r="F884" s="5" t="n"/>
      <c r="G884" s="5" t="n"/>
      <c r="H884" s="5" t="n"/>
    </row>
    <row r="885">
      <c r="A885" s="5" t="n"/>
      <c r="B885" s="5" t="n"/>
      <c r="C885" s="5" t="n"/>
      <c r="D885" s="5" t="n"/>
      <c r="E885" s="8" t="n"/>
      <c r="F885" s="5" t="n"/>
      <c r="G885" s="5" t="n"/>
      <c r="H885" s="5" t="n"/>
    </row>
    <row r="886">
      <c r="A886" s="5" t="n"/>
      <c r="B886" s="5" t="n"/>
      <c r="C886" s="5" t="n"/>
      <c r="D886" s="5" t="n"/>
      <c r="E886" s="8" t="n"/>
      <c r="F886" s="5" t="n"/>
      <c r="G886" s="5" t="n"/>
      <c r="H886" s="5" t="n"/>
    </row>
    <row r="887">
      <c r="A887" s="5" t="n"/>
      <c r="B887" s="5" t="n"/>
      <c r="C887" s="5" t="n"/>
      <c r="D887" s="5" t="n"/>
      <c r="E887" s="8" t="n"/>
      <c r="F887" s="5" t="n"/>
      <c r="G887" s="5" t="n"/>
      <c r="H887" s="5" t="n"/>
    </row>
    <row r="888">
      <c r="A888" s="5" t="n"/>
      <c r="B888" s="5" t="n"/>
      <c r="C888" s="5" t="n"/>
      <c r="D888" s="5" t="n"/>
      <c r="E888" s="8" t="n"/>
      <c r="F888" s="5" t="n"/>
      <c r="G888" s="5" t="n"/>
      <c r="H888" s="5" t="n"/>
    </row>
    <row r="889">
      <c r="A889" s="5" t="n"/>
      <c r="B889" s="5" t="n"/>
      <c r="C889" s="5" t="n"/>
      <c r="D889" s="5" t="n"/>
      <c r="E889" s="8" t="n"/>
      <c r="F889" s="5" t="n"/>
      <c r="G889" s="5" t="n"/>
      <c r="H889" s="5" t="n"/>
    </row>
    <row r="890">
      <c r="A890" s="5" t="n"/>
      <c r="B890" s="5" t="n"/>
      <c r="C890" s="5" t="n"/>
      <c r="D890" s="5" t="n"/>
      <c r="E890" s="8" t="n"/>
      <c r="F890" s="5" t="n"/>
      <c r="G890" s="5" t="n"/>
      <c r="H890" s="5" t="n"/>
    </row>
    <row r="891">
      <c r="A891" s="5" t="n"/>
      <c r="B891" s="5" t="n"/>
      <c r="C891" s="5" t="n"/>
      <c r="D891" s="5" t="n"/>
      <c r="E891" s="8" t="n"/>
      <c r="F891" s="5" t="n"/>
      <c r="G891" s="5" t="n"/>
      <c r="H891" s="5" t="n"/>
    </row>
    <row r="892">
      <c r="A892" s="5" t="n"/>
      <c r="B892" s="5" t="n"/>
      <c r="C892" s="5" t="n"/>
      <c r="D892" s="5" t="n"/>
      <c r="E892" s="8" t="n"/>
      <c r="F892" s="5" t="n"/>
      <c r="G892" s="5" t="n"/>
      <c r="H892" s="5" t="n"/>
    </row>
    <row r="893">
      <c r="A893" s="5" t="n"/>
      <c r="B893" s="5" t="n"/>
      <c r="C893" s="5" t="n"/>
      <c r="D893" s="5" t="n"/>
      <c r="E893" s="8" t="n"/>
      <c r="F893" s="5" t="n"/>
      <c r="G893" s="5" t="n"/>
      <c r="H893" s="5" t="n"/>
    </row>
    <row r="894">
      <c r="A894" s="5" t="n"/>
      <c r="B894" s="5" t="n"/>
      <c r="C894" s="5" t="n"/>
      <c r="D894" s="5" t="n"/>
      <c r="E894" s="8" t="n"/>
      <c r="F894" s="5" t="n"/>
      <c r="G894" s="5" t="n"/>
      <c r="H894" s="5" t="n"/>
    </row>
    <row r="895">
      <c r="A895" s="5" t="n"/>
      <c r="B895" s="5" t="n"/>
      <c r="C895" s="5" t="n"/>
      <c r="D895" s="5" t="n"/>
      <c r="E895" s="8" t="n"/>
      <c r="F895" s="5" t="n"/>
      <c r="G895" s="5" t="n"/>
      <c r="H895" s="5" t="n"/>
    </row>
    <row r="896">
      <c r="A896" s="5" t="n"/>
      <c r="B896" s="5" t="n"/>
      <c r="C896" s="5" t="n"/>
      <c r="D896" s="5" t="n"/>
      <c r="E896" s="8" t="n"/>
      <c r="F896" s="5" t="n"/>
      <c r="G896" s="5" t="n"/>
      <c r="H896" s="5" t="n"/>
    </row>
    <row r="897">
      <c r="A897" s="5" t="n"/>
      <c r="B897" s="5" t="n"/>
      <c r="C897" s="5" t="n"/>
      <c r="D897" s="5" t="n"/>
      <c r="E897" s="8" t="n"/>
      <c r="F897" s="5" t="n"/>
      <c r="G897" s="5" t="n"/>
      <c r="H897" s="5" t="n"/>
    </row>
    <row r="898">
      <c r="A898" s="5" t="n"/>
      <c r="B898" s="5" t="n"/>
      <c r="C898" s="5" t="n"/>
      <c r="D898" s="5" t="n"/>
      <c r="E898" s="8" t="n"/>
      <c r="F898" s="5" t="n"/>
      <c r="G898" s="5" t="n"/>
      <c r="H898" s="5" t="n"/>
    </row>
    <row r="899">
      <c r="A899" s="5" t="n"/>
      <c r="B899" s="5" t="n"/>
      <c r="C899" s="5" t="n"/>
      <c r="D899" s="5" t="n"/>
      <c r="E899" s="8" t="n"/>
      <c r="F899" s="5" t="n"/>
      <c r="G899" s="5" t="n"/>
      <c r="H899" s="5" t="n"/>
    </row>
    <row r="900">
      <c r="A900" s="5" t="n"/>
      <c r="B900" s="5" t="n"/>
      <c r="C900" s="5" t="n"/>
      <c r="D900" s="5" t="n"/>
      <c r="E900" s="8" t="n"/>
      <c r="F900" s="5" t="n"/>
      <c r="G900" s="5" t="n"/>
      <c r="H900" s="5" t="n"/>
    </row>
    <row r="901">
      <c r="A901" s="5" t="n"/>
      <c r="B901" s="5" t="n"/>
      <c r="C901" s="5" t="n"/>
      <c r="D901" s="5" t="n"/>
      <c r="E901" s="8" t="n"/>
      <c r="F901" s="5" t="n"/>
      <c r="G901" s="5" t="n"/>
      <c r="H901" s="5" t="n"/>
    </row>
    <row r="902">
      <c r="A902" s="5" t="n"/>
      <c r="B902" s="5" t="n"/>
      <c r="C902" s="5" t="n"/>
      <c r="D902" s="5" t="n"/>
      <c r="E902" s="8" t="n"/>
      <c r="F902" s="5" t="n"/>
      <c r="G902" s="5" t="n"/>
      <c r="H902" s="5" t="n"/>
    </row>
    <row r="903">
      <c r="A903" s="5" t="n"/>
      <c r="B903" s="5" t="n"/>
      <c r="C903" s="5" t="n"/>
      <c r="D903" s="5" t="n"/>
      <c r="E903" s="8" t="n"/>
      <c r="F903" s="5" t="n"/>
      <c r="G903" s="5" t="n"/>
      <c r="H903" s="5" t="n"/>
    </row>
    <row r="904">
      <c r="A904" s="5" t="n"/>
      <c r="B904" s="5" t="n"/>
      <c r="C904" s="5" t="n"/>
      <c r="D904" s="5" t="n"/>
      <c r="E904" s="8" t="n"/>
      <c r="F904" s="5" t="n"/>
      <c r="G904" s="5" t="n"/>
      <c r="H904" s="5" t="n"/>
    </row>
    <row r="905">
      <c r="A905" s="5" t="n"/>
      <c r="B905" s="5" t="n"/>
      <c r="C905" s="5" t="n"/>
      <c r="D905" s="5" t="n"/>
      <c r="E905" s="8" t="n"/>
      <c r="F905" s="5" t="n"/>
      <c r="G905" s="5" t="n"/>
      <c r="H905" s="5" t="n"/>
    </row>
    <row r="906">
      <c r="A906" s="5" t="n"/>
      <c r="B906" s="5" t="n"/>
      <c r="C906" s="5" t="n"/>
      <c r="D906" s="5" t="n"/>
      <c r="E906" s="8" t="n"/>
      <c r="F906" s="5" t="n"/>
      <c r="G906" s="5" t="n"/>
      <c r="H906" s="5" t="n"/>
    </row>
    <row r="907">
      <c r="A907" s="5" t="n"/>
      <c r="B907" s="5" t="n"/>
      <c r="C907" s="5" t="n"/>
      <c r="D907" s="5" t="n"/>
      <c r="E907" s="8" t="n"/>
      <c r="F907" s="5" t="n"/>
      <c r="G907" s="5" t="n"/>
      <c r="H907" s="5" t="n"/>
    </row>
    <row r="908">
      <c r="A908" s="5" t="n"/>
      <c r="B908" s="5" t="n"/>
      <c r="C908" s="5" t="n"/>
      <c r="D908" s="5" t="n"/>
      <c r="E908" s="8" t="n"/>
      <c r="F908" s="5" t="n"/>
      <c r="G908" s="5" t="n"/>
      <c r="H908" s="5" t="n"/>
    </row>
    <row r="909">
      <c r="A909" s="5" t="n"/>
      <c r="B909" s="5" t="n"/>
      <c r="C909" s="5" t="n"/>
      <c r="D909" s="5" t="n"/>
      <c r="E909" s="8" t="n"/>
      <c r="F909" s="5" t="n"/>
      <c r="G909" s="5" t="n"/>
      <c r="H909" s="5" t="n"/>
    </row>
    <row r="910">
      <c r="A910" s="5" t="n"/>
      <c r="B910" s="5" t="n"/>
      <c r="C910" s="5" t="n"/>
      <c r="D910" s="5" t="n"/>
      <c r="E910" s="8" t="n"/>
      <c r="F910" s="5" t="n"/>
      <c r="G910" s="5" t="n"/>
      <c r="H910" s="5" t="n"/>
    </row>
    <row r="911">
      <c r="A911" s="5" t="n"/>
      <c r="B911" s="5" t="n"/>
      <c r="C911" s="5" t="n"/>
      <c r="D911" s="5" t="n"/>
      <c r="E911" s="8" t="n"/>
      <c r="F911" s="5" t="n"/>
      <c r="G911" s="5" t="n"/>
      <c r="H911" s="5" t="n"/>
    </row>
    <row r="912">
      <c r="A912" s="5" t="n"/>
      <c r="B912" s="5" t="n"/>
      <c r="C912" s="5" t="n"/>
      <c r="D912" s="5" t="n"/>
      <c r="E912" s="8" t="n"/>
      <c r="F912" s="5" t="n"/>
      <c r="G912" s="5" t="n"/>
      <c r="H912" s="5" t="n"/>
    </row>
    <row r="913">
      <c r="A913" s="5" t="n"/>
      <c r="B913" s="5" t="n"/>
      <c r="C913" s="5" t="n"/>
      <c r="D913" s="5" t="n"/>
      <c r="E913" s="8" t="n"/>
      <c r="F913" s="5" t="n"/>
      <c r="G913" s="5" t="n"/>
      <c r="H913" s="5" t="n"/>
    </row>
    <row r="914">
      <c r="A914" s="5" t="n"/>
      <c r="B914" s="5" t="n"/>
      <c r="C914" s="5" t="n"/>
      <c r="D914" s="5" t="n"/>
      <c r="E914" s="8" t="n"/>
      <c r="F914" s="5" t="n"/>
      <c r="G914" s="5" t="n"/>
      <c r="H914" s="5" t="n"/>
    </row>
    <row r="915">
      <c r="A915" s="5" t="n"/>
      <c r="B915" s="5" t="n"/>
      <c r="C915" s="5" t="n"/>
      <c r="D915" s="5" t="n"/>
      <c r="E915" s="8" t="n"/>
      <c r="F915" s="5" t="n"/>
      <c r="G915" s="5" t="n"/>
      <c r="H915" s="5" t="n"/>
    </row>
    <row r="916">
      <c r="A916" s="5" t="n"/>
      <c r="B916" s="5" t="n"/>
      <c r="C916" s="5" t="n"/>
      <c r="D916" s="5" t="n"/>
      <c r="E916" s="8" t="n"/>
      <c r="F916" s="5" t="n"/>
      <c r="G916" s="5" t="n"/>
      <c r="H916" s="5" t="n"/>
    </row>
    <row r="917">
      <c r="A917" s="5" t="n"/>
      <c r="B917" s="5" t="n"/>
      <c r="C917" s="5" t="n"/>
      <c r="D917" s="5" t="n"/>
      <c r="E917" s="8" t="n"/>
      <c r="F917" s="5" t="n"/>
      <c r="G917" s="5" t="n"/>
      <c r="H917" s="5" t="n"/>
    </row>
    <row r="918">
      <c r="A918" s="5" t="n"/>
      <c r="B918" s="5" t="n"/>
      <c r="C918" s="5" t="n"/>
      <c r="D918" s="5" t="n"/>
      <c r="E918" s="8" t="n"/>
      <c r="F918" s="5" t="n"/>
      <c r="G918" s="5" t="n"/>
      <c r="H918" s="5" t="n"/>
    </row>
    <row r="919">
      <c r="A919" s="5" t="n"/>
      <c r="B919" s="5" t="n"/>
      <c r="C919" s="5" t="n"/>
      <c r="D919" s="5" t="n"/>
      <c r="E919" s="8" t="n"/>
      <c r="F919" s="5" t="n"/>
      <c r="G919" s="5" t="n"/>
      <c r="H919" s="5" t="n"/>
    </row>
    <row r="920">
      <c r="A920" s="5" t="n"/>
      <c r="B920" s="5" t="n"/>
      <c r="C920" s="5" t="n"/>
      <c r="D920" s="5" t="n"/>
      <c r="E920" s="8" t="n"/>
      <c r="F920" s="5" t="n"/>
      <c r="G920" s="5" t="n"/>
      <c r="H920" s="5" t="n"/>
    </row>
    <row r="921">
      <c r="A921" s="5" t="n"/>
      <c r="B921" s="5" t="n"/>
      <c r="C921" s="5" t="n"/>
      <c r="D921" s="5" t="n"/>
      <c r="E921" s="8" t="n"/>
      <c r="F921" s="5" t="n"/>
      <c r="G921" s="5" t="n"/>
      <c r="H921" s="5" t="n"/>
    </row>
    <row r="922">
      <c r="A922" s="5" t="n"/>
      <c r="B922" s="5" t="n"/>
      <c r="C922" s="5" t="n"/>
      <c r="D922" s="5" t="n"/>
      <c r="E922" s="8" t="n"/>
      <c r="F922" s="5" t="n"/>
      <c r="G922" s="5" t="n"/>
      <c r="H922" s="5" t="n"/>
    </row>
    <row r="923">
      <c r="A923" s="5" t="n"/>
      <c r="B923" s="5" t="n"/>
      <c r="C923" s="5" t="n"/>
      <c r="D923" s="5" t="n"/>
      <c r="E923" s="8" t="n"/>
      <c r="F923" s="5" t="n"/>
      <c r="G923" s="5" t="n"/>
      <c r="H923" s="5" t="n"/>
    </row>
    <row r="924">
      <c r="A924" s="5" t="n"/>
      <c r="B924" s="5" t="n"/>
      <c r="C924" s="5" t="n"/>
      <c r="D924" s="5" t="n"/>
      <c r="E924" s="8" t="n"/>
      <c r="F924" s="5" t="n"/>
      <c r="G924" s="5" t="n"/>
      <c r="H924" s="5" t="n"/>
    </row>
    <row r="925">
      <c r="A925" s="5" t="n"/>
      <c r="B925" s="5" t="n"/>
      <c r="C925" s="5" t="n"/>
      <c r="D925" s="5" t="n"/>
      <c r="E925" s="8" t="n"/>
      <c r="F925" s="5" t="n"/>
      <c r="G925" s="5" t="n"/>
      <c r="H925" s="5" t="n"/>
    </row>
    <row r="926">
      <c r="A926" s="5" t="n"/>
      <c r="B926" s="5" t="n"/>
      <c r="C926" s="5" t="n"/>
      <c r="D926" s="5" t="n"/>
      <c r="E926" s="8" t="n"/>
      <c r="F926" s="5" t="n"/>
      <c r="G926" s="5" t="n"/>
      <c r="H926" s="5" t="n"/>
    </row>
    <row r="927">
      <c r="A927" s="5" t="n"/>
      <c r="B927" s="5" t="n"/>
      <c r="C927" s="5" t="n"/>
      <c r="D927" s="5" t="n"/>
      <c r="E927" s="8" t="n"/>
      <c r="F927" s="5" t="n"/>
      <c r="G927" s="5" t="n"/>
      <c r="H927" s="5" t="n"/>
    </row>
    <row r="928">
      <c r="A928" s="5" t="n"/>
      <c r="B928" s="5" t="n"/>
      <c r="C928" s="5" t="n"/>
      <c r="D928" s="5" t="n"/>
      <c r="E928" s="8" t="n"/>
      <c r="F928" s="5" t="n"/>
      <c r="G928" s="5" t="n"/>
      <c r="H928" s="5" t="n"/>
    </row>
    <row r="929">
      <c r="A929" s="5" t="n"/>
      <c r="B929" s="5" t="n"/>
      <c r="C929" s="5" t="n"/>
      <c r="D929" s="5" t="n"/>
      <c r="E929" s="8" t="n"/>
      <c r="F929" s="5" t="n"/>
      <c r="G929" s="5" t="n"/>
      <c r="H929" s="5" t="n"/>
    </row>
    <row r="930">
      <c r="A930" s="5" t="n"/>
      <c r="B930" s="5" t="n"/>
      <c r="C930" s="5" t="n"/>
      <c r="D930" s="5" t="n"/>
      <c r="E930" s="8" t="n"/>
      <c r="F930" s="5" t="n"/>
      <c r="G930" s="5" t="n"/>
      <c r="H930" s="5" t="n"/>
    </row>
    <row r="931">
      <c r="A931" s="5" t="n"/>
      <c r="B931" s="5" t="n"/>
      <c r="C931" s="5" t="n"/>
      <c r="D931" s="5" t="n"/>
      <c r="E931" s="8" t="n"/>
      <c r="F931" s="5" t="n"/>
      <c r="G931" s="5" t="n"/>
      <c r="H931" s="5" t="n"/>
    </row>
    <row r="932">
      <c r="A932" s="5" t="n"/>
      <c r="B932" s="5" t="n"/>
      <c r="C932" s="5" t="n"/>
      <c r="D932" s="5" t="n"/>
      <c r="E932" s="8" t="n"/>
      <c r="F932" s="5" t="n"/>
      <c r="G932" s="5" t="n"/>
      <c r="H932" s="5" t="n"/>
    </row>
    <row r="933">
      <c r="A933" s="5" t="n"/>
      <c r="B933" s="5" t="n"/>
      <c r="C933" s="5" t="n"/>
      <c r="D933" s="5" t="n"/>
      <c r="E933" s="8" t="n"/>
      <c r="F933" s="5" t="n"/>
      <c r="G933" s="5" t="n"/>
      <c r="H933" s="5" t="n"/>
    </row>
    <row r="934">
      <c r="A934" s="5" t="n"/>
      <c r="B934" s="5" t="n"/>
      <c r="C934" s="5" t="n"/>
      <c r="D934" s="5" t="n"/>
      <c r="E934" s="8" t="n"/>
      <c r="F934" s="5" t="n"/>
      <c r="G934" s="5" t="n"/>
      <c r="H934" s="5" t="n"/>
    </row>
    <row r="935">
      <c r="A935" s="5" t="n"/>
      <c r="B935" s="5" t="n"/>
      <c r="C935" s="5" t="n"/>
      <c r="D935" s="5" t="n"/>
      <c r="E935" s="8" t="n"/>
      <c r="F935" s="5" t="n"/>
      <c r="G935" s="5" t="n"/>
      <c r="H935" s="5" t="n"/>
    </row>
    <row r="936">
      <c r="A936" s="5" t="n"/>
      <c r="B936" s="5" t="n"/>
      <c r="C936" s="5" t="n"/>
      <c r="D936" s="5" t="n"/>
      <c r="E936" s="8" t="n"/>
      <c r="F936" s="5" t="n"/>
      <c r="G936" s="5" t="n"/>
      <c r="H936" s="5" t="n"/>
    </row>
    <row r="937">
      <c r="A937" s="5" t="n"/>
      <c r="B937" s="5" t="n"/>
      <c r="C937" s="5" t="n"/>
      <c r="D937" s="5" t="n"/>
      <c r="E937" s="8" t="n"/>
      <c r="F937" s="5" t="n"/>
      <c r="G937" s="5" t="n"/>
      <c r="H937" s="5" t="n"/>
    </row>
    <row r="938">
      <c r="A938" s="5" t="n"/>
      <c r="B938" s="5" t="n"/>
      <c r="C938" s="5" t="n"/>
      <c r="D938" s="5" t="n"/>
      <c r="E938" s="8" t="n"/>
      <c r="F938" s="5" t="n"/>
      <c r="G938" s="5" t="n"/>
      <c r="H938" s="5" t="n"/>
    </row>
    <row r="939">
      <c r="A939" s="5" t="n"/>
      <c r="B939" s="5" t="n"/>
      <c r="C939" s="5" t="n"/>
      <c r="D939" s="5" t="n"/>
      <c r="E939" s="8" t="n"/>
      <c r="F939" s="5" t="n"/>
      <c r="G939" s="5" t="n"/>
      <c r="H939" s="5" t="n"/>
    </row>
    <row r="940">
      <c r="A940" s="5" t="n"/>
      <c r="B940" s="5" t="n"/>
      <c r="C940" s="5" t="n"/>
      <c r="D940" s="5" t="n"/>
      <c r="E940" s="8" t="n"/>
      <c r="F940" s="5" t="n"/>
      <c r="G940" s="5" t="n"/>
      <c r="H940" s="5" t="n"/>
    </row>
    <row r="941">
      <c r="A941" s="5" t="n"/>
      <c r="B941" s="5" t="n"/>
      <c r="C941" s="5" t="n"/>
      <c r="D941" s="5" t="n"/>
      <c r="E941" s="8" t="n"/>
      <c r="F941" s="5" t="n"/>
      <c r="G941" s="5" t="n"/>
      <c r="H941" s="5" t="n"/>
    </row>
    <row r="942">
      <c r="A942" s="5" t="n"/>
      <c r="B942" s="5" t="n"/>
      <c r="C942" s="5" t="n"/>
      <c r="D942" s="5" t="n"/>
      <c r="E942" s="8" t="n"/>
      <c r="F942" s="5" t="n"/>
      <c r="G942" s="5" t="n"/>
      <c r="H942" s="5" t="n"/>
    </row>
    <row r="943">
      <c r="A943" s="5" t="n"/>
      <c r="B943" s="5" t="n"/>
      <c r="C943" s="5" t="n"/>
      <c r="D943" s="5" t="n"/>
      <c r="E943" s="8" t="n"/>
      <c r="F943" s="5" t="n"/>
      <c r="G943" s="5" t="n"/>
      <c r="H943" s="5" t="n"/>
    </row>
    <row r="944">
      <c r="A944" s="5" t="n"/>
      <c r="B944" s="5" t="n"/>
      <c r="C944" s="5" t="n"/>
      <c r="D944" s="5" t="n"/>
      <c r="E944" s="8" t="n"/>
      <c r="F944" s="5" t="n"/>
      <c r="G944" s="5" t="n"/>
      <c r="H944" s="5" t="n"/>
    </row>
    <row r="945">
      <c r="A945" s="5" t="n"/>
      <c r="B945" s="5" t="n"/>
      <c r="C945" s="5" t="n"/>
      <c r="D945" s="5" t="n"/>
      <c r="E945" s="8" t="n"/>
      <c r="F945" s="5" t="n"/>
      <c r="G945" s="5" t="n"/>
      <c r="H945" s="5" t="n"/>
    </row>
    <row r="946">
      <c r="A946" s="5" t="n"/>
      <c r="B946" s="5" t="n"/>
      <c r="C946" s="5" t="n"/>
      <c r="D946" s="5" t="n"/>
      <c r="E946" s="8" t="n"/>
      <c r="F946" s="5" t="n"/>
      <c r="G946" s="5" t="n"/>
      <c r="H946" s="5" t="n"/>
    </row>
    <row r="947">
      <c r="A947" s="5" t="n"/>
      <c r="B947" s="5" t="n"/>
      <c r="C947" s="5" t="n"/>
      <c r="D947" s="5" t="n"/>
      <c r="E947" s="8" t="n"/>
      <c r="F947" s="5" t="n"/>
      <c r="G947" s="5" t="n"/>
      <c r="H947" s="5" t="n"/>
    </row>
    <row r="948">
      <c r="A948" s="5" t="n"/>
      <c r="B948" s="5" t="n"/>
      <c r="C948" s="5" t="n"/>
      <c r="D948" s="5" t="n"/>
      <c r="E948" s="8" t="n"/>
      <c r="F948" s="5" t="n"/>
      <c r="G948" s="5" t="n"/>
      <c r="H948" s="5" t="n"/>
    </row>
    <row r="949">
      <c r="A949" s="5" t="n"/>
      <c r="B949" s="5" t="n"/>
      <c r="C949" s="5" t="n"/>
      <c r="D949" s="5" t="n"/>
      <c r="E949" s="8" t="n"/>
      <c r="F949" s="5" t="n"/>
      <c r="G949" s="5" t="n"/>
      <c r="H949" s="5" t="n"/>
    </row>
    <row r="950">
      <c r="A950" s="5" t="n"/>
      <c r="B950" s="5" t="n"/>
      <c r="C950" s="5" t="n"/>
      <c r="D950" s="5" t="n"/>
      <c r="E950" s="8" t="n"/>
      <c r="F950" s="5" t="n"/>
      <c r="G950" s="5" t="n"/>
      <c r="H950" s="5" t="n"/>
    </row>
    <row r="951">
      <c r="A951" s="5" t="n"/>
      <c r="B951" s="5" t="n"/>
      <c r="C951" s="5" t="n"/>
      <c r="D951" s="5" t="n"/>
      <c r="E951" s="8" t="n"/>
      <c r="F951" s="5" t="n"/>
      <c r="G951" s="5" t="n"/>
      <c r="H951" s="5" t="n"/>
    </row>
    <row r="952">
      <c r="A952" s="5" t="n"/>
      <c r="B952" s="5" t="n"/>
      <c r="C952" s="5" t="n"/>
      <c r="D952" s="5" t="n"/>
      <c r="E952" s="8" t="n"/>
      <c r="F952" s="5" t="n"/>
      <c r="G952" s="5" t="n"/>
      <c r="H952" s="5" t="n"/>
    </row>
    <row r="953">
      <c r="A953" s="5" t="n"/>
      <c r="B953" s="5" t="n"/>
      <c r="C953" s="5" t="n"/>
      <c r="D953" s="5" t="n"/>
      <c r="E953" s="8" t="n"/>
      <c r="F953" s="5" t="n"/>
      <c r="G953" s="5" t="n"/>
      <c r="H953" s="5" t="n"/>
    </row>
    <row r="954">
      <c r="A954" s="5" t="n"/>
      <c r="B954" s="5" t="n"/>
      <c r="C954" s="5" t="n"/>
      <c r="D954" s="5" t="n"/>
      <c r="E954" s="8" t="n"/>
      <c r="F954" s="5" t="n"/>
      <c r="G954" s="5" t="n"/>
      <c r="H954" s="5" t="n"/>
    </row>
    <row r="955">
      <c r="A955" s="5" t="n"/>
      <c r="B955" s="5" t="n"/>
      <c r="C955" s="5" t="n"/>
      <c r="D955" s="5" t="n"/>
      <c r="E955" s="8" t="n"/>
      <c r="F955" s="5" t="n"/>
      <c r="G955" s="5" t="n"/>
      <c r="H955" s="5" t="n"/>
    </row>
    <row r="956">
      <c r="A956" s="5" t="n"/>
      <c r="B956" s="5" t="n"/>
      <c r="C956" s="5" t="n"/>
      <c r="D956" s="5" t="n"/>
      <c r="E956" s="8" t="n"/>
      <c r="F956" s="5" t="n"/>
      <c r="G956" s="5" t="n"/>
      <c r="H956" s="5" t="n"/>
    </row>
    <row r="957">
      <c r="A957" s="5" t="n"/>
      <c r="B957" s="5" t="n"/>
      <c r="C957" s="5" t="n"/>
      <c r="D957" s="5" t="n"/>
      <c r="E957" s="8" t="n"/>
      <c r="F957" s="5" t="n"/>
      <c r="G957" s="5" t="n"/>
      <c r="H957" s="5" t="n"/>
    </row>
    <row r="958">
      <c r="A958" s="5" t="n"/>
      <c r="B958" s="5" t="n"/>
      <c r="C958" s="5" t="n"/>
      <c r="D958" s="5" t="n"/>
      <c r="E958" s="8" t="n"/>
      <c r="F958" s="5" t="n"/>
      <c r="G958" s="5" t="n"/>
      <c r="H958" s="5" t="n"/>
    </row>
    <row r="959">
      <c r="A959" s="5" t="n"/>
      <c r="B959" s="5" t="n"/>
      <c r="C959" s="5" t="n"/>
      <c r="D959" s="5" t="n"/>
      <c r="E959" s="8" t="n"/>
      <c r="F959" s="5" t="n"/>
      <c r="G959" s="5" t="n"/>
      <c r="H959" s="5" t="n"/>
    </row>
    <row r="960">
      <c r="A960" s="5" t="n"/>
      <c r="B960" s="5" t="n"/>
      <c r="C960" s="5" t="n"/>
      <c r="D960" s="5" t="n"/>
      <c r="E960" s="8" t="n"/>
      <c r="F960" s="5" t="n"/>
      <c r="G960" s="5" t="n"/>
      <c r="H960" s="5" t="n"/>
    </row>
    <row r="961">
      <c r="A961" s="5" t="n"/>
      <c r="B961" s="5" t="n"/>
      <c r="C961" s="5" t="n"/>
      <c r="D961" s="5" t="n"/>
      <c r="E961" s="8" t="n"/>
      <c r="F961" s="5" t="n"/>
      <c r="G961" s="5" t="n"/>
      <c r="H961" s="5" t="n"/>
    </row>
    <row r="962">
      <c r="A962" s="5" t="n"/>
      <c r="B962" s="5" t="n"/>
      <c r="C962" s="5" t="n"/>
      <c r="D962" s="5" t="n"/>
      <c r="E962" s="8" t="n"/>
      <c r="F962" s="5" t="n"/>
      <c r="G962" s="5" t="n"/>
      <c r="H962" s="5" t="n"/>
    </row>
    <row r="963">
      <c r="A963" s="5" t="n"/>
      <c r="B963" s="5" t="n"/>
      <c r="C963" s="5" t="n"/>
      <c r="D963" s="5" t="n"/>
      <c r="E963" s="8" t="n"/>
      <c r="F963" s="5" t="n"/>
      <c r="G963" s="5" t="n"/>
      <c r="H963" s="5" t="n"/>
    </row>
    <row r="964">
      <c r="A964" s="5" t="n"/>
      <c r="B964" s="5" t="n"/>
      <c r="C964" s="5" t="n"/>
      <c r="D964" s="5" t="n"/>
      <c r="E964" s="8" t="n"/>
      <c r="F964" s="5" t="n"/>
      <c r="G964" s="5" t="n"/>
      <c r="H964" s="5" t="n"/>
    </row>
    <row r="965">
      <c r="A965" s="5" t="n"/>
      <c r="B965" s="5" t="n"/>
      <c r="C965" s="5" t="n"/>
      <c r="D965" s="5" t="n"/>
      <c r="E965" s="8" t="n"/>
      <c r="F965" s="5" t="n"/>
      <c r="G965" s="5" t="n"/>
      <c r="H965" s="5" t="n"/>
    </row>
    <row r="966">
      <c r="A966" s="5" t="n"/>
      <c r="B966" s="5" t="n"/>
      <c r="C966" s="5" t="n"/>
      <c r="D966" s="5" t="n"/>
      <c r="E966" s="8" t="n"/>
      <c r="F966" s="5" t="n"/>
      <c r="G966" s="5" t="n"/>
      <c r="H966" s="5" t="n"/>
    </row>
    <row r="967">
      <c r="A967" s="5" t="n"/>
      <c r="B967" s="5" t="n"/>
      <c r="C967" s="5" t="n"/>
      <c r="D967" s="5" t="n"/>
      <c r="E967" s="8" t="n"/>
      <c r="F967" s="5" t="n"/>
      <c r="G967" s="5" t="n"/>
      <c r="H967" s="5" t="n"/>
    </row>
    <row r="968">
      <c r="A968" s="5" t="n"/>
      <c r="B968" s="5" t="n"/>
      <c r="C968" s="5" t="n"/>
      <c r="D968" s="5" t="n"/>
      <c r="E968" s="8" t="n"/>
      <c r="F968" s="5" t="n"/>
      <c r="G968" s="5" t="n"/>
      <c r="H968" s="5" t="n"/>
    </row>
    <row r="969">
      <c r="A969" s="5" t="n"/>
      <c r="B969" s="5" t="n"/>
      <c r="C969" s="5" t="n"/>
      <c r="D969" s="5" t="n"/>
      <c r="E969" s="8" t="n"/>
      <c r="F969" s="5" t="n"/>
      <c r="G969" s="5" t="n"/>
      <c r="H969" s="5" t="n"/>
    </row>
    <row r="970">
      <c r="A970" s="5" t="n"/>
      <c r="B970" s="5" t="n"/>
      <c r="C970" s="5" t="n"/>
      <c r="D970" s="5" t="n"/>
      <c r="E970" s="8" t="n"/>
      <c r="F970" s="5" t="n"/>
      <c r="G970" s="5" t="n"/>
      <c r="H970" s="5" t="n"/>
    </row>
    <row r="971">
      <c r="A971" s="5" t="n"/>
      <c r="B971" s="5" t="n"/>
      <c r="C971" s="5" t="n"/>
      <c r="D971" s="5" t="n"/>
      <c r="E971" s="8" t="n"/>
      <c r="F971" s="5" t="n"/>
      <c r="G971" s="5" t="n"/>
      <c r="H971" s="5" t="n"/>
    </row>
    <row r="972">
      <c r="A972" s="5" t="n"/>
      <c r="B972" s="5" t="n"/>
      <c r="C972" s="5" t="n"/>
      <c r="D972" s="5" t="n"/>
      <c r="E972" s="8" t="n"/>
      <c r="F972" s="5" t="n"/>
      <c r="G972" s="5" t="n"/>
      <c r="H972" s="5" t="n"/>
    </row>
    <row r="973">
      <c r="A973" s="5" t="n"/>
      <c r="B973" s="5" t="n"/>
      <c r="C973" s="5" t="n"/>
      <c r="D973" s="5" t="n"/>
      <c r="E973" s="8" t="n"/>
      <c r="F973" s="5" t="n"/>
      <c r="G973" s="5" t="n"/>
      <c r="H973" s="5" t="n"/>
    </row>
    <row r="974">
      <c r="A974" s="5" t="n"/>
      <c r="B974" s="5" t="n"/>
      <c r="C974" s="5" t="n"/>
      <c r="D974" s="5" t="n"/>
      <c r="E974" s="8" t="n"/>
      <c r="F974" s="5" t="n"/>
      <c r="G974" s="5" t="n"/>
      <c r="H974" s="5" t="n"/>
    </row>
    <row r="975">
      <c r="A975" s="5" t="n"/>
      <c r="B975" s="5" t="n"/>
      <c r="C975" s="5" t="n"/>
      <c r="D975" s="5" t="n"/>
      <c r="E975" s="8" t="n"/>
      <c r="F975" s="5" t="n"/>
      <c r="G975" s="5" t="n"/>
      <c r="H975" s="5" t="n"/>
    </row>
    <row r="976">
      <c r="A976" s="5" t="n"/>
      <c r="B976" s="5" t="n"/>
      <c r="C976" s="5" t="n"/>
      <c r="D976" s="5" t="n"/>
      <c r="E976" s="8" t="n"/>
      <c r="F976" s="5" t="n"/>
      <c r="G976" s="5" t="n"/>
      <c r="H976" s="5" t="n"/>
    </row>
    <row r="977">
      <c r="A977" s="5" t="n"/>
      <c r="B977" s="5" t="n"/>
      <c r="C977" s="5" t="n"/>
      <c r="D977" s="5" t="n"/>
      <c r="E977" s="8" t="n"/>
      <c r="F977" s="5" t="n"/>
      <c r="G977" s="5" t="n"/>
      <c r="H977" s="5" t="n"/>
    </row>
    <row r="978">
      <c r="A978" s="5" t="n"/>
      <c r="B978" s="5" t="n"/>
      <c r="C978" s="5" t="n"/>
      <c r="D978" s="5" t="n"/>
      <c r="E978" s="8" t="n"/>
      <c r="F978" s="5" t="n"/>
      <c r="G978" s="5" t="n"/>
      <c r="H978" s="5" t="n"/>
    </row>
    <row r="979">
      <c r="A979" s="5" t="n"/>
      <c r="B979" s="5" t="n"/>
      <c r="C979" s="5" t="n"/>
      <c r="D979" s="5" t="n"/>
      <c r="E979" s="8" t="n"/>
      <c r="F979" s="5" t="n"/>
      <c r="G979" s="5" t="n"/>
      <c r="H979" s="5" t="n"/>
    </row>
    <row r="980">
      <c r="A980" s="5" t="n"/>
      <c r="B980" s="5" t="n"/>
      <c r="C980" s="5" t="n"/>
      <c r="D980" s="5" t="n"/>
      <c r="E980" s="8" t="n"/>
      <c r="F980" s="5" t="n"/>
      <c r="G980" s="5" t="n"/>
      <c r="H980" s="5" t="n"/>
    </row>
    <row r="981">
      <c r="A981" s="5" t="n"/>
      <c r="B981" s="5" t="n"/>
      <c r="C981" s="5" t="n"/>
      <c r="D981" s="5" t="n"/>
      <c r="E981" s="8" t="n"/>
      <c r="F981" s="5" t="n"/>
      <c r="G981" s="5" t="n"/>
      <c r="H981" s="5" t="n"/>
    </row>
    <row r="982">
      <c r="A982" s="5" t="n"/>
      <c r="B982" s="5" t="n"/>
      <c r="C982" s="5" t="n"/>
      <c r="D982" s="5" t="n"/>
      <c r="E982" s="8" t="n"/>
      <c r="F982" s="5" t="n"/>
      <c r="G982" s="5" t="n"/>
      <c r="H982" s="5" t="n"/>
    </row>
    <row r="983">
      <c r="A983" s="5" t="n"/>
      <c r="B983" s="5" t="n"/>
      <c r="C983" s="5" t="n"/>
      <c r="D983" s="5" t="n"/>
      <c r="E983" s="8" t="n"/>
      <c r="F983" s="5" t="n"/>
      <c r="G983" s="5" t="n"/>
      <c r="H983" s="5" t="n"/>
    </row>
    <row r="984">
      <c r="A984" s="5" t="n"/>
      <c r="B984" s="5" t="n"/>
      <c r="C984" s="5" t="n"/>
      <c r="D984" s="5" t="n"/>
      <c r="E984" s="8" t="n"/>
      <c r="F984" s="5" t="n"/>
      <c r="G984" s="5" t="n"/>
      <c r="H984" s="5" t="n"/>
    </row>
    <row r="985">
      <c r="A985" s="5" t="n"/>
      <c r="B985" s="5" t="n"/>
      <c r="C985" s="5" t="n"/>
      <c r="D985" s="5" t="n"/>
      <c r="E985" s="8" t="n"/>
      <c r="F985" s="5" t="n"/>
      <c r="G985" s="5" t="n"/>
      <c r="H985" s="5" t="n"/>
    </row>
    <row r="986">
      <c r="A986" s="5" t="n"/>
      <c r="B986" s="5" t="n"/>
      <c r="C986" s="5" t="n"/>
      <c r="D986" s="5" t="n"/>
      <c r="E986" s="8" t="n"/>
      <c r="F986" s="5" t="n"/>
      <c r="G986" s="5" t="n"/>
      <c r="H986" s="5" t="n"/>
    </row>
    <row r="987">
      <c r="A987" s="5" t="n"/>
      <c r="B987" s="5" t="n"/>
      <c r="C987" s="5" t="n"/>
      <c r="D987" s="5" t="n"/>
      <c r="E987" s="8" t="n"/>
      <c r="F987" s="5" t="n"/>
      <c r="G987" s="5" t="n"/>
      <c r="H987" s="5" t="n"/>
    </row>
    <row r="988">
      <c r="A988" s="5" t="n"/>
      <c r="B988" s="5" t="n"/>
      <c r="C988" s="5" t="n"/>
      <c r="D988" s="5" t="n"/>
      <c r="E988" s="8" t="n"/>
      <c r="F988" s="5" t="n"/>
      <c r="G988" s="5" t="n"/>
      <c r="H988" s="5" t="n"/>
    </row>
    <row r="989">
      <c r="A989" s="5" t="n"/>
      <c r="B989" s="5" t="n"/>
      <c r="C989" s="5" t="n"/>
      <c r="D989" s="5" t="n"/>
      <c r="E989" s="8" t="n"/>
      <c r="F989" s="5" t="n"/>
      <c r="G989" s="5" t="n"/>
      <c r="H989" s="5" t="n"/>
    </row>
    <row r="990">
      <c r="A990" s="5" t="n"/>
      <c r="B990" s="5" t="n"/>
      <c r="C990" s="5" t="n"/>
      <c r="D990" s="5" t="n"/>
      <c r="E990" s="8" t="n"/>
      <c r="F990" s="5" t="n"/>
      <c r="G990" s="5" t="n"/>
      <c r="H990" s="5" t="n"/>
    </row>
    <row r="991">
      <c r="A991" s="5" t="n"/>
      <c r="B991" s="5" t="n"/>
      <c r="C991" s="5" t="n"/>
      <c r="D991" s="5" t="n"/>
      <c r="E991" s="8" t="n"/>
      <c r="F991" s="5" t="n"/>
      <c r="G991" s="5" t="n"/>
      <c r="H991" s="5" t="n"/>
    </row>
    <row r="992">
      <c r="A992" s="5" t="n"/>
      <c r="B992" s="5" t="n"/>
      <c r="C992" s="5" t="n"/>
      <c r="D992" s="5" t="n"/>
      <c r="E992" s="8" t="n"/>
      <c r="F992" s="5" t="n"/>
      <c r="G992" s="5" t="n"/>
      <c r="H992" s="5" t="n"/>
    </row>
    <row r="993">
      <c r="A993" s="5" t="n"/>
      <c r="B993" s="5" t="n"/>
      <c r="C993" s="5" t="n"/>
      <c r="D993" s="5" t="n"/>
      <c r="E993" s="8" t="n"/>
      <c r="F993" s="5" t="n"/>
      <c r="G993" s="5" t="n"/>
      <c r="H993" s="5" t="n"/>
    </row>
    <row r="994">
      <c r="A994" s="5" t="n"/>
      <c r="B994" s="5" t="n"/>
      <c r="C994" s="5" t="n"/>
      <c r="D994" s="5" t="n"/>
      <c r="E994" s="8" t="n"/>
      <c r="F994" s="5" t="n"/>
      <c r="G994" s="5" t="n"/>
      <c r="H994" s="5" t="n"/>
    </row>
    <row r="995">
      <c r="A995" s="5" t="n"/>
      <c r="B995" s="5" t="n"/>
      <c r="C995" s="5" t="n"/>
      <c r="D995" s="5" t="n"/>
      <c r="E995" s="8" t="n"/>
      <c r="F995" s="5" t="n"/>
      <c r="G995" s="5" t="n"/>
      <c r="H995" s="5" t="n"/>
    </row>
    <row r="996">
      <c r="A996" s="5" t="n"/>
      <c r="B996" s="5" t="n"/>
      <c r="C996" s="5" t="n"/>
      <c r="D996" s="5" t="n"/>
      <c r="E996" s="8" t="n"/>
      <c r="F996" s="5" t="n"/>
      <c r="G996" s="5" t="n"/>
      <c r="H996" s="5" t="n"/>
    </row>
    <row r="997">
      <c r="A997" s="5" t="n"/>
      <c r="B997" s="5" t="n"/>
      <c r="C997" s="5" t="n"/>
      <c r="D997" s="5" t="n"/>
      <c r="E997" s="8" t="n"/>
      <c r="F997" s="5" t="n"/>
      <c r="G997" s="5" t="n"/>
      <c r="H997" s="5" t="n"/>
    </row>
    <row r="998">
      <c r="A998" s="5" t="n"/>
      <c r="B998" s="5" t="n"/>
      <c r="C998" s="5" t="n"/>
      <c r="D998" s="5" t="n"/>
      <c r="E998" s="8" t="n"/>
      <c r="F998" s="5" t="n"/>
      <c r="G998" s="5" t="n"/>
      <c r="H998" s="5" t="n"/>
    </row>
    <row r="999">
      <c r="A999" s="5" t="n"/>
      <c r="B999" s="5" t="n"/>
      <c r="C999" s="5" t="n"/>
      <c r="D999" s="5" t="n"/>
      <c r="E999" s="8" t="n"/>
      <c r="F999" s="5" t="n"/>
      <c r="G999" s="5" t="n"/>
      <c r="H999" s="5" t="n"/>
    </row>
    <row r="1000">
      <c r="A1000" s="5" t="n"/>
      <c r="B1000" s="5" t="n"/>
      <c r="C1000" s="5" t="n"/>
      <c r="D1000" s="5" t="n"/>
      <c r="E1000" s="8" t="n"/>
      <c r="F1000" s="5" t="n"/>
      <c r="G1000" s="5" t="n"/>
      <c r="H1000" s="5" t="n"/>
    </row>
    <row r="1001">
      <c r="A1001" s="5" t="n"/>
      <c r="B1001" s="5" t="n"/>
      <c r="C1001" s="5" t="n"/>
      <c r="D1001" s="5" t="n"/>
      <c r="E1001" s="8" t="n"/>
      <c r="F1001" s="5" t="n"/>
      <c r="G1001" s="5" t="n"/>
      <c r="H1001" s="5" t="n"/>
    </row>
    <row r="1002">
      <c r="A1002" s="5" t="n"/>
      <c r="B1002" s="5" t="n"/>
      <c r="C1002" s="5" t="n"/>
      <c r="D1002" s="5" t="n"/>
      <c r="E1002" s="8" t="n"/>
      <c r="F1002" s="5" t="n"/>
      <c r="G1002" s="5" t="n"/>
      <c r="H1002" s="5" t="n"/>
    </row>
    <row r="1003">
      <c r="A1003" s="5" t="n"/>
      <c r="B1003" s="5" t="n"/>
      <c r="C1003" s="5" t="n"/>
      <c r="D1003" s="5" t="n"/>
      <c r="E1003" s="8" t="n"/>
      <c r="F1003" s="5" t="n"/>
      <c r="G1003" s="5" t="n"/>
      <c r="H1003" s="5" t="n"/>
    </row>
    <row r="1004">
      <c r="A1004" s="5" t="n"/>
      <c r="B1004" s="5" t="n"/>
      <c r="C1004" s="5" t="n"/>
      <c r="D1004" s="5" t="n"/>
      <c r="E1004" s="8" t="n"/>
      <c r="F1004" s="5" t="n"/>
      <c r="G1004" s="5" t="n"/>
      <c r="H1004" s="5" t="n"/>
    </row>
    <row r="1005">
      <c r="A1005" s="5" t="n"/>
      <c r="B1005" s="5" t="n"/>
      <c r="C1005" s="5" t="n"/>
      <c r="D1005" s="5" t="n"/>
      <c r="E1005" s="8" t="n"/>
      <c r="F1005" s="5" t="n"/>
      <c r="G1005" s="5" t="n"/>
      <c r="H1005" s="5" t="n"/>
    </row>
    <row r="1006">
      <c r="A1006" s="5" t="n"/>
      <c r="B1006" s="5" t="n"/>
      <c r="C1006" s="5" t="n"/>
      <c r="D1006" s="5" t="n"/>
      <c r="E1006" s="8" t="n"/>
      <c r="F1006" s="5" t="n"/>
      <c r="G1006" s="5" t="n"/>
      <c r="H1006" s="5" t="n"/>
    </row>
    <row r="1007">
      <c r="A1007" s="5" t="n"/>
      <c r="B1007" s="5" t="n"/>
      <c r="C1007" s="5" t="n"/>
      <c r="D1007" s="5" t="n"/>
      <c r="E1007" s="8" t="n"/>
      <c r="F1007" s="5" t="n"/>
      <c r="G1007" s="5" t="n"/>
      <c r="H1007" s="5" t="n"/>
    </row>
    <row r="1008">
      <c r="A1008" s="5" t="n"/>
      <c r="B1008" s="5" t="n"/>
      <c r="C1008" s="5" t="n"/>
      <c r="D1008" s="5" t="n"/>
      <c r="E1008" s="8" t="n"/>
      <c r="F1008" s="5" t="n"/>
      <c r="G1008" s="5" t="n"/>
      <c r="H1008" s="5" t="n"/>
    </row>
    <row r="1009">
      <c r="A1009" s="5" t="n"/>
      <c r="B1009" s="5" t="n"/>
      <c r="C1009" s="5" t="n"/>
      <c r="D1009" s="5" t="n"/>
      <c r="E1009" s="8" t="n"/>
      <c r="F1009" s="5" t="n"/>
      <c r="G1009" s="5" t="n"/>
      <c r="H1009" s="5" t="n"/>
    </row>
    <row r="1010">
      <c r="A1010" s="5" t="n"/>
      <c r="B1010" s="5" t="n"/>
      <c r="C1010" s="5" t="n"/>
      <c r="D1010" s="5" t="n"/>
      <c r="E1010" s="8" t="n"/>
      <c r="F1010" s="5" t="n"/>
      <c r="G1010" s="5" t="n"/>
      <c r="H1010" s="5" t="n"/>
    </row>
    <row r="1011">
      <c r="A1011" s="5" t="n"/>
      <c r="B1011" s="5" t="n"/>
      <c r="C1011" s="5" t="n"/>
      <c r="D1011" s="5" t="n"/>
      <c r="E1011" s="8" t="n"/>
      <c r="F1011" s="5" t="n"/>
      <c r="G1011" s="5" t="n"/>
      <c r="H1011" s="5" t="n"/>
    </row>
    <row r="1012">
      <c r="A1012" s="5" t="n"/>
      <c r="B1012" s="5" t="n"/>
      <c r="C1012" s="5" t="n"/>
      <c r="D1012" s="5" t="n"/>
      <c r="E1012" s="8" t="n"/>
      <c r="F1012" s="5" t="n"/>
      <c r="G1012" s="5" t="n"/>
      <c r="H1012" s="5" t="n"/>
    </row>
    <row r="1013">
      <c r="A1013" s="5" t="n"/>
      <c r="B1013" s="5" t="n"/>
      <c r="C1013" s="5" t="n"/>
      <c r="D1013" s="5" t="n"/>
      <c r="E1013" s="8" t="n"/>
      <c r="F1013" s="5" t="n"/>
      <c r="G1013" s="5" t="n"/>
      <c r="H1013" s="5" t="n"/>
    </row>
    <row r="1014">
      <c r="A1014" s="5" t="n"/>
      <c r="B1014" s="5" t="n"/>
      <c r="C1014" s="5" t="n"/>
      <c r="D1014" s="5" t="n"/>
      <c r="E1014" s="8" t="n"/>
      <c r="F1014" s="5" t="n"/>
      <c r="G1014" s="5" t="n"/>
      <c r="H1014" s="5" t="n"/>
    </row>
    <row r="1015">
      <c r="A1015" s="5" t="n"/>
      <c r="B1015" s="5" t="n"/>
      <c r="C1015" s="5" t="n"/>
      <c r="D1015" s="5" t="n"/>
      <c r="E1015" s="8" t="n"/>
      <c r="F1015" s="5" t="n"/>
      <c r="G1015" s="5" t="n"/>
      <c r="H1015" s="5" t="n"/>
    </row>
    <row r="1016">
      <c r="A1016" s="5" t="n"/>
      <c r="B1016" s="5" t="n"/>
      <c r="C1016" s="5" t="n"/>
      <c r="D1016" s="5" t="n"/>
      <c r="E1016" s="8" t="n"/>
      <c r="F1016" s="5" t="n"/>
      <c r="G1016" s="5" t="n"/>
      <c r="H1016" s="5" t="n"/>
    </row>
    <row r="1017">
      <c r="A1017" s="5" t="n"/>
      <c r="B1017" s="5" t="n"/>
      <c r="C1017" s="5" t="n"/>
      <c r="D1017" s="5" t="n"/>
      <c r="E1017" s="8" t="n"/>
      <c r="F1017" s="5" t="n"/>
      <c r="G1017" s="5" t="n"/>
      <c r="H1017" s="5" t="n"/>
    </row>
    <row r="1018">
      <c r="A1018" s="5" t="n"/>
      <c r="B1018" s="5" t="n"/>
      <c r="C1018" s="5" t="n"/>
      <c r="D1018" s="5" t="n"/>
      <c r="E1018" s="8" t="n"/>
      <c r="F1018" s="5" t="n"/>
      <c r="G1018" s="5" t="n"/>
      <c r="H1018" s="5" t="n"/>
    </row>
    <row r="1019">
      <c r="A1019" s="5" t="n"/>
      <c r="B1019" s="5" t="n"/>
      <c r="C1019" s="5" t="n"/>
      <c r="D1019" s="5" t="n"/>
      <c r="E1019" s="8" t="n"/>
      <c r="F1019" s="5" t="n"/>
      <c r="G1019" s="5" t="n"/>
      <c r="H1019" s="5" t="n"/>
    </row>
    <row r="1020">
      <c r="A1020" s="5" t="n"/>
      <c r="B1020" s="5" t="n"/>
      <c r="C1020" s="5" t="n"/>
      <c r="D1020" s="5" t="n"/>
      <c r="E1020" s="8" t="n"/>
      <c r="F1020" s="5" t="n"/>
      <c r="G1020" s="5" t="n"/>
      <c r="H1020" s="5" t="n"/>
    </row>
    <row r="1021">
      <c r="A1021" s="5" t="n"/>
      <c r="B1021" s="5" t="n"/>
      <c r="C1021" s="5" t="n"/>
      <c r="D1021" s="5" t="n"/>
      <c r="E1021" s="8" t="n"/>
      <c r="F1021" s="5" t="n"/>
      <c r="G1021" s="5" t="n"/>
      <c r="H1021" s="5" t="n"/>
    </row>
    <row r="1022">
      <c r="A1022" s="5" t="n"/>
      <c r="B1022" s="5" t="n"/>
      <c r="C1022" s="5" t="n"/>
      <c r="D1022" s="5" t="n"/>
      <c r="E1022" s="8" t="n"/>
      <c r="F1022" s="5" t="n"/>
      <c r="G1022" s="5" t="n"/>
      <c r="H1022" s="5" t="n"/>
    </row>
    <row r="1023">
      <c r="A1023" s="5" t="n"/>
      <c r="B1023" s="5" t="n"/>
      <c r="C1023" s="5" t="n"/>
      <c r="D1023" s="5" t="n"/>
      <c r="E1023" s="8" t="n"/>
      <c r="F1023" s="5" t="n"/>
      <c r="G1023" s="5" t="n"/>
      <c r="H1023" s="5" t="n"/>
    </row>
    <row r="1024">
      <c r="A1024" s="5" t="n"/>
      <c r="B1024" s="5" t="n"/>
      <c r="C1024" s="5" t="n"/>
      <c r="D1024" s="5" t="n"/>
      <c r="E1024" s="8" t="n"/>
      <c r="F1024" s="5" t="n"/>
      <c r="G1024" s="5" t="n"/>
      <c r="H1024" s="5" t="n"/>
    </row>
    <row r="1025">
      <c r="A1025" s="5" t="n"/>
      <c r="B1025" s="5" t="n"/>
      <c r="C1025" s="5" t="n"/>
      <c r="D1025" s="5" t="n"/>
      <c r="E1025" s="8" t="n"/>
      <c r="F1025" s="5" t="n"/>
      <c r="G1025" s="5" t="n"/>
      <c r="H1025" s="5" t="n"/>
    </row>
    <row r="1026">
      <c r="A1026" s="5" t="n"/>
      <c r="B1026" s="5" t="n"/>
      <c r="C1026" s="5" t="n"/>
      <c r="D1026" s="5" t="n"/>
      <c r="E1026" s="8" t="n"/>
      <c r="F1026" s="5" t="n"/>
      <c r="G1026" s="5" t="n"/>
      <c r="H1026" s="5" t="n"/>
    </row>
    <row r="1027">
      <c r="A1027" s="5" t="n"/>
      <c r="B1027" s="5" t="n"/>
      <c r="C1027" s="5" t="n"/>
      <c r="D1027" s="5" t="n"/>
      <c r="E1027" s="8" t="n"/>
      <c r="F1027" s="5" t="n"/>
      <c r="G1027" s="5" t="n"/>
      <c r="H1027" s="5" t="n"/>
    </row>
    <row r="1028">
      <c r="A1028" s="5" t="n"/>
      <c r="B1028" s="5" t="n"/>
      <c r="C1028" s="5" t="n"/>
      <c r="D1028" s="5" t="n"/>
      <c r="E1028" s="8" t="n"/>
      <c r="F1028" s="5" t="n"/>
      <c r="G1028" s="5" t="n"/>
      <c r="H1028" s="5" t="n"/>
    </row>
    <row r="1029">
      <c r="A1029" s="5" t="n"/>
      <c r="B1029" s="5" t="n"/>
      <c r="C1029" s="5" t="n"/>
      <c r="D1029" s="5" t="n"/>
      <c r="E1029" s="8" t="n"/>
      <c r="F1029" s="5" t="n"/>
      <c r="G1029" s="5" t="n"/>
      <c r="H1029" s="5" t="n"/>
    </row>
    <row r="1030">
      <c r="A1030" s="5" t="n"/>
      <c r="B1030" s="5" t="n"/>
      <c r="C1030" s="5" t="n"/>
      <c r="D1030" s="5" t="n"/>
      <c r="E1030" s="8" t="n"/>
      <c r="F1030" s="5" t="n"/>
      <c r="G1030" s="5" t="n"/>
      <c r="H1030" s="5" t="n"/>
    </row>
    <row r="1031">
      <c r="A1031" s="5" t="n"/>
      <c r="B1031" s="5" t="n"/>
      <c r="C1031" s="5" t="n"/>
      <c r="D1031" s="5" t="n"/>
      <c r="E1031" s="8" t="n"/>
      <c r="F1031" s="5" t="n"/>
      <c r="G1031" s="5" t="n"/>
      <c r="H1031" s="5" t="n"/>
    </row>
    <row r="1032">
      <c r="A1032" s="5" t="n"/>
      <c r="B1032" s="5" t="n"/>
      <c r="C1032" s="5" t="n"/>
      <c r="D1032" s="5" t="n"/>
      <c r="E1032" s="8" t="n"/>
      <c r="F1032" s="5" t="n"/>
      <c r="G1032" s="5" t="n"/>
      <c r="H1032" s="5" t="n"/>
    </row>
    <row r="1033">
      <c r="A1033" s="5" t="n"/>
      <c r="B1033" s="5" t="n"/>
      <c r="C1033" s="5" t="n"/>
      <c r="D1033" s="5" t="n"/>
      <c r="E1033" s="8" t="n"/>
      <c r="F1033" s="5" t="n"/>
      <c r="G1033" s="5" t="n"/>
      <c r="H1033" s="5" t="n"/>
    </row>
    <row r="1034">
      <c r="A1034" s="5" t="n"/>
      <c r="B1034" s="5" t="n"/>
      <c r="C1034" s="5" t="n"/>
      <c r="D1034" s="5" t="n"/>
      <c r="E1034" s="8" t="n"/>
      <c r="F1034" s="5" t="n"/>
      <c r="G1034" s="5" t="n"/>
      <c r="H1034" s="5" t="n"/>
    </row>
    <row r="1035">
      <c r="A1035" s="5" t="n"/>
      <c r="B1035" s="5" t="n"/>
      <c r="C1035" s="5" t="n"/>
      <c r="D1035" s="5" t="n"/>
      <c r="E1035" s="8" t="n"/>
      <c r="F1035" s="5" t="n"/>
      <c r="G1035" s="5" t="n"/>
      <c r="H1035" s="5" t="n"/>
    </row>
    <row r="1036">
      <c r="A1036" s="5" t="n"/>
      <c r="B1036" s="5" t="n"/>
      <c r="C1036" s="5" t="n"/>
      <c r="D1036" s="5" t="n"/>
      <c r="E1036" s="8" t="n"/>
      <c r="F1036" s="5" t="n"/>
      <c r="G1036" s="5" t="n"/>
      <c r="H1036" s="5" t="n"/>
    </row>
    <row r="1037">
      <c r="A1037" s="5" t="n"/>
      <c r="B1037" s="5" t="n"/>
      <c r="C1037" s="5" t="n"/>
      <c r="D1037" s="5" t="n"/>
      <c r="E1037" s="8" t="n"/>
      <c r="F1037" s="5" t="n"/>
      <c r="G1037" s="5" t="n"/>
      <c r="H1037" s="5" t="n"/>
    </row>
    <row r="1038">
      <c r="A1038" s="5" t="n"/>
      <c r="B1038" s="5" t="n"/>
      <c r="C1038" s="5" t="n"/>
      <c r="D1038" s="5" t="n"/>
      <c r="E1038" s="8" t="n"/>
      <c r="F1038" s="5" t="n"/>
      <c r="G1038" s="5" t="n"/>
      <c r="H1038" s="5" t="n"/>
    </row>
    <row r="1039">
      <c r="A1039" s="5" t="n"/>
      <c r="B1039" s="5" t="n"/>
      <c r="C1039" s="5" t="n"/>
      <c r="D1039" s="5" t="n"/>
      <c r="E1039" s="8" t="n"/>
      <c r="F1039" s="5" t="n"/>
      <c r="G1039" s="5" t="n"/>
      <c r="H1039" s="5" t="n"/>
    </row>
    <row r="1040">
      <c r="A1040" s="5" t="n"/>
      <c r="B1040" s="5" t="n"/>
      <c r="C1040" s="5" t="n"/>
      <c r="D1040" s="5" t="n"/>
      <c r="E1040" s="8" t="n"/>
      <c r="F1040" s="5" t="n"/>
      <c r="G1040" s="5" t="n"/>
      <c r="H1040" s="5" t="n"/>
    </row>
    <row r="1041">
      <c r="A1041" s="5" t="n"/>
      <c r="B1041" s="5" t="n"/>
      <c r="C1041" s="5" t="n"/>
      <c r="D1041" s="5" t="n"/>
      <c r="E1041" s="8" t="n"/>
      <c r="F1041" s="5" t="n"/>
      <c r="G1041" s="5" t="n"/>
      <c r="H1041" s="5" t="n"/>
    </row>
    <row r="1042">
      <c r="A1042" s="5" t="n"/>
      <c r="B1042" s="5" t="n"/>
      <c r="C1042" s="5" t="n"/>
      <c r="D1042" s="5" t="n"/>
      <c r="E1042" s="8" t="n"/>
      <c r="F1042" s="5" t="n"/>
      <c r="G1042" s="5" t="n"/>
      <c r="H1042" s="5" t="n"/>
    </row>
    <row r="1043">
      <c r="A1043" s="5" t="n"/>
      <c r="B1043" s="5" t="n"/>
      <c r="C1043" s="5" t="n"/>
      <c r="D1043" s="5" t="n"/>
      <c r="E1043" s="8" t="n"/>
      <c r="F1043" s="5" t="n"/>
      <c r="G1043" s="5" t="n"/>
      <c r="H1043" s="5" t="n"/>
    </row>
    <row r="1044">
      <c r="A1044" s="5" t="n"/>
      <c r="B1044" s="5" t="n"/>
      <c r="C1044" s="5" t="n"/>
      <c r="D1044" s="5" t="n"/>
      <c r="E1044" s="8" t="n"/>
      <c r="F1044" s="5" t="n"/>
      <c r="G1044" s="5" t="n"/>
      <c r="H1044" s="5" t="n"/>
    </row>
    <row r="1045">
      <c r="A1045" s="5" t="n"/>
      <c r="B1045" s="5" t="n"/>
      <c r="C1045" s="5" t="n"/>
      <c r="D1045" s="5" t="n"/>
      <c r="E1045" s="8" t="n"/>
      <c r="F1045" s="5" t="n"/>
      <c r="G1045" s="5" t="n"/>
      <c r="H1045" s="5" t="n"/>
    </row>
    <row r="1046">
      <c r="A1046" s="5" t="n"/>
      <c r="B1046" s="5" t="n"/>
      <c r="C1046" s="5" t="n"/>
      <c r="D1046" s="5" t="n"/>
      <c r="E1046" s="8" t="n"/>
      <c r="F1046" s="5" t="n"/>
      <c r="G1046" s="5" t="n"/>
      <c r="H1046" s="5" t="n"/>
    </row>
    <row r="1047">
      <c r="A1047" s="5" t="n"/>
      <c r="B1047" s="5" t="n"/>
      <c r="C1047" s="5" t="n"/>
      <c r="D1047" s="5" t="n"/>
      <c r="E1047" s="8" t="n"/>
      <c r="F1047" s="5" t="n"/>
      <c r="G1047" s="5" t="n"/>
      <c r="H1047" s="5" t="n"/>
    </row>
    <row r="1048">
      <c r="A1048" s="5" t="n"/>
      <c r="B1048" s="5" t="n"/>
      <c r="C1048" s="5" t="n"/>
      <c r="D1048" s="5" t="n"/>
      <c r="E1048" s="8" t="n"/>
      <c r="F1048" s="5" t="n"/>
      <c r="G1048" s="5" t="n"/>
      <c r="H1048" s="5" t="n"/>
    </row>
    <row r="1049">
      <c r="A1049" s="5" t="n"/>
      <c r="B1049" s="5" t="n"/>
      <c r="C1049" s="5" t="n"/>
      <c r="D1049" s="5" t="n"/>
      <c r="E1049" s="8" t="n"/>
      <c r="F1049" s="5" t="n"/>
      <c r="G1049" s="5" t="n"/>
      <c r="H1049" s="5" t="n"/>
    </row>
    <row r="1050">
      <c r="A1050" s="5" t="n"/>
      <c r="B1050" s="5" t="n"/>
      <c r="C1050" s="5" t="n"/>
      <c r="D1050" s="5" t="n"/>
      <c r="E1050" s="8" t="n"/>
      <c r="F1050" s="5" t="n"/>
      <c r="G1050" s="5" t="n"/>
      <c r="H1050" s="5" t="n"/>
    </row>
    <row r="1051">
      <c r="A1051" s="5" t="n"/>
      <c r="B1051" s="5" t="n"/>
      <c r="C1051" s="5" t="n"/>
      <c r="D1051" s="5" t="n"/>
      <c r="E1051" s="8" t="n"/>
      <c r="F1051" s="5" t="n"/>
      <c r="G1051" s="5" t="n"/>
      <c r="H1051" s="5" t="n"/>
    </row>
    <row r="1052">
      <c r="A1052" s="5" t="n"/>
      <c r="B1052" s="5" t="n"/>
      <c r="C1052" s="5" t="n"/>
      <c r="D1052" s="5" t="n"/>
      <c r="E1052" s="8" t="n"/>
      <c r="F1052" s="5" t="n"/>
      <c r="G1052" s="5" t="n"/>
      <c r="H1052" s="5" t="n"/>
    </row>
    <row r="1053">
      <c r="A1053" s="5" t="n"/>
      <c r="B1053" s="5" t="n"/>
      <c r="C1053" s="5" t="n"/>
      <c r="D1053" s="5" t="n"/>
      <c r="E1053" s="8" t="n"/>
      <c r="F1053" s="5" t="n"/>
      <c r="G1053" s="5" t="n"/>
      <c r="H1053" s="5" t="n"/>
    </row>
    <row r="1054">
      <c r="A1054" s="5" t="n"/>
      <c r="B1054" s="5" t="n"/>
      <c r="C1054" s="5" t="n"/>
      <c r="D1054" s="5" t="n"/>
      <c r="E1054" s="8" t="n"/>
      <c r="F1054" s="5" t="n"/>
      <c r="G1054" s="5" t="n"/>
      <c r="H1054" s="5" t="n"/>
    </row>
    <row r="1055">
      <c r="A1055" s="5" t="n"/>
      <c r="B1055" s="5" t="n"/>
      <c r="C1055" s="5" t="n"/>
      <c r="D1055" s="5" t="n"/>
      <c r="E1055" s="8" t="n"/>
      <c r="F1055" s="5" t="n"/>
      <c r="G1055" s="5" t="n"/>
      <c r="H1055" s="5" t="n"/>
    </row>
    <row r="1056">
      <c r="A1056" s="5" t="n"/>
      <c r="B1056" s="5" t="n"/>
      <c r="C1056" s="5" t="n"/>
      <c r="D1056" s="5" t="n"/>
      <c r="E1056" s="8" t="n"/>
      <c r="F1056" s="5" t="n"/>
      <c r="G1056" s="5" t="n"/>
      <c r="H1056" s="5" t="n"/>
    </row>
    <row r="1057">
      <c r="A1057" s="5" t="n"/>
      <c r="B1057" s="5" t="n"/>
      <c r="C1057" s="5" t="n"/>
      <c r="D1057" s="5" t="n"/>
      <c r="E1057" s="8" t="n"/>
      <c r="F1057" s="5" t="n"/>
      <c r="G1057" s="5" t="n"/>
      <c r="H1057" s="5" t="n"/>
    </row>
    <row r="1058">
      <c r="A1058" s="5" t="n"/>
      <c r="B1058" s="5" t="n"/>
      <c r="C1058" s="5" t="n"/>
      <c r="D1058" s="5" t="n"/>
      <c r="E1058" s="8" t="n"/>
      <c r="F1058" s="5" t="n"/>
      <c r="G1058" s="5" t="n"/>
      <c r="H1058" s="5" t="n"/>
    </row>
    <row r="1059">
      <c r="A1059" s="5" t="n"/>
      <c r="B1059" s="5" t="n"/>
      <c r="C1059" s="5" t="n"/>
      <c r="D1059" s="5" t="n"/>
      <c r="E1059" s="8" t="n"/>
      <c r="F1059" s="5" t="n"/>
      <c r="G1059" s="5" t="n"/>
      <c r="H1059" s="5" t="n"/>
    </row>
    <row r="1060">
      <c r="A1060" s="5" t="n"/>
      <c r="B1060" s="5" t="n"/>
      <c r="C1060" s="5" t="n"/>
      <c r="D1060" s="5" t="n"/>
      <c r="E1060" s="8" t="n"/>
      <c r="F1060" s="5" t="n"/>
      <c r="G1060" s="5" t="n"/>
      <c r="H1060" s="5" t="n"/>
    </row>
    <row r="1061">
      <c r="A1061" s="5" t="n"/>
      <c r="B1061" s="5" t="n"/>
      <c r="C1061" s="5" t="n"/>
      <c r="D1061" s="5" t="n"/>
      <c r="E1061" s="8" t="n"/>
      <c r="F1061" s="5" t="n"/>
      <c r="G1061" s="5" t="n"/>
      <c r="H1061" s="5" t="n"/>
    </row>
    <row r="1062">
      <c r="A1062" s="5" t="n"/>
      <c r="B1062" s="5" t="n"/>
      <c r="C1062" s="5" t="n"/>
      <c r="D1062" s="5" t="n"/>
      <c r="E1062" s="8" t="n"/>
      <c r="F1062" s="5" t="n"/>
      <c r="G1062" s="5" t="n"/>
      <c r="H1062" s="5" t="n"/>
    </row>
    <row r="1063">
      <c r="A1063" s="5" t="n"/>
      <c r="B1063" s="5" t="n"/>
      <c r="C1063" s="5" t="n"/>
      <c r="D1063" s="5" t="n"/>
      <c r="E1063" s="8" t="n"/>
      <c r="F1063" s="5" t="n"/>
      <c r="G1063" s="5" t="n"/>
      <c r="H1063" s="5" t="n"/>
    </row>
    <row r="1064">
      <c r="A1064" s="5" t="n"/>
      <c r="B1064" s="5" t="n"/>
      <c r="C1064" s="5" t="n"/>
      <c r="D1064" s="5" t="n"/>
      <c r="E1064" s="8" t="n"/>
      <c r="F1064" s="5" t="n"/>
      <c r="G1064" s="5" t="n"/>
      <c r="H1064" s="5" t="n"/>
    </row>
    <row r="1065">
      <c r="A1065" s="5" t="n"/>
      <c r="B1065" s="5" t="n"/>
      <c r="C1065" s="5" t="n"/>
      <c r="D1065" s="5" t="n"/>
      <c r="E1065" s="8" t="n"/>
      <c r="F1065" s="5" t="n"/>
      <c r="G1065" s="5" t="n"/>
      <c r="H1065" s="5" t="n"/>
    </row>
    <row r="1066">
      <c r="A1066" s="5" t="n"/>
      <c r="B1066" s="5" t="n"/>
      <c r="C1066" s="5" t="n"/>
      <c r="D1066" s="5" t="n"/>
      <c r="E1066" s="8" t="n"/>
      <c r="F1066" s="5" t="n"/>
      <c r="G1066" s="5" t="n"/>
      <c r="H1066" s="5" t="n"/>
    </row>
    <row r="1067">
      <c r="A1067" s="5" t="n"/>
      <c r="B1067" s="5" t="n"/>
      <c r="C1067" s="5" t="n"/>
      <c r="D1067" s="5" t="n"/>
      <c r="E1067" s="8" t="n"/>
      <c r="F1067" s="5" t="n"/>
      <c r="G1067" s="5" t="n"/>
      <c r="H1067" s="5" t="n"/>
    </row>
    <row r="1068">
      <c r="A1068" s="5" t="n"/>
      <c r="B1068" s="5" t="n"/>
      <c r="C1068" s="5" t="n"/>
      <c r="D1068" s="5" t="n"/>
      <c r="E1068" s="8" t="n"/>
      <c r="F1068" s="5" t="n"/>
      <c r="G1068" s="5" t="n"/>
      <c r="H1068" s="5" t="n"/>
    </row>
    <row r="1069">
      <c r="A1069" s="5" t="n"/>
      <c r="B1069" s="5" t="n"/>
      <c r="C1069" s="5" t="n"/>
      <c r="D1069" s="5" t="n"/>
      <c r="E1069" s="8" t="n"/>
      <c r="F1069" s="5" t="n"/>
      <c r="G1069" s="5" t="n"/>
      <c r="H1069" s="5" t="n"/>
    </row>
    <row r="1070">
      <c r="A1070" s="5" t="n"/>
      <c r="B1070" s="5" t="n"/>
      <c r="C1070" s="5" t="n"/>
      <c r="D1070" s="5" t="n"/>
      <c r="E1070" s="8" t="n"/>
      <c r="F1070" s="5" t="n"/>
      <c r="G1070" s="5" t="n"/>
      <c r="H1070" s="5" t="n"/>
    </row>
    <row r="1071">
      <c r="A1071" s="5" t="n"/>
      <c r="B1071" s="5" t="n"/>
      <c r="C1071" s="5" t="n"/>
      <c r="D1071" s="5" t="n"/>
      <c r="E1071" s="8" t="n"/>
      <c r="F1071" s="5" t="n"/>
      <c r="G1071" s="5" t="n"/>
      <c r="H1071" s="5" t="n"/>
    </row>
    <row r="1072">
      <c r="A1072" s="5" t="n"/>
      <c r="B1072" s="5" t="n"/>
      <c r="C1072" s="5" t="n"/>
      <c r="D1072" s="5" t="n"/>
      <c r="E1072" s="8" t="n"/>
      <c r="F1072" s="5" t="n"/>
      <c r="G1072" s="5" t="n"/>
      <c r="H1072" s="5" t="n"/>
    </row>
    <row r="1073">
      <c r="A1073" s="5" t="n"/>
      <c r="B1073" s="5" t="n"/>
      <c r="C1073" s="5" t="n"/>
      <c r="D1073" s="5" t="n"/>
      <c r="E1073" s="8" t="n"/>
      <c r="F1073" s="5" t="n"/>
      <c r="G1073" s="5" t="n"/>
      <c r="H1073" s="5" t="n"/>
    </row>
    <row r="1074">
      <c r="A1074" s="5" t="n"/>
      <c r="B1074" s="5" t="n"/>
      <c r="C1074" s="5" t="n"/>
      <c r="D1074" s="5" t="n"/>
      <c r="E1074" s="8" t="n"/>
      <c r="F1074" s="5" t="n"/>
      <c r="G1074" s="5" t="n"/>
      <c r="H1074" s="5" t="n"/>
    </row>
    <row r="1075">
      <c r="A1075" s="5" t="n"/>
      <c r="B1075" s="5" t="n"/>
      <c r="C1075" s="5" t="n"/>
      <c r="D1075" s="5" t="n"/>
      <c r="E1075" s="8" t="n"/>
      <c r="F1075" s="5" t="n"/>
      <c r="G1075" s="5" t="n"/>
      <c r="H1075" s="5" t="n"/>
    </row>
    <row r="1076">
      <c r="A1076" s="5" t="n"/>
      <c r="B1076" s="5" t="n"/>
      <c r="C1076" s="5" t="n"/>
      <c r="D1076" s="5" t="n"/>
      <c r="E1076" s="8" t="n"/>
      <c r="F1076" s="5" t="n"/>
      <c r="G1076" s="5" t="n"/>
      <c r="H1076" s="5" t="n"/>
    </row>
    <row r="1077">
      <c r="A1077" s="5" t="n"/>
      <c r="B1077" s="5" t="n"/>
      <c r="C1077" s="5" t="n"/>
      <c r="D1077" s="5" t="n"/>
      <c r="E1077" s="8" t="n"/>
      <c r="F1077" s="5" t="n"/>
      <c r="G1077" s="5" t="n"/>
      <c r="H1077" s="5" t="n"/>
    </row>
    <row r="1078">
      <c r="A1078" s="5" t="n"/>
      <c r="B1078" s="5" t="n"/>
      <c r="C1078" s="5" t="n"/>
      <c r="D1078" s="5" t="n"/>
      <c r="E1078" s="8" t="n"/>
      <c r="F1078" s="5" t="n"/>
      <c r="G1078" s="5" t="n"/>
      <c r="H1078" s="5" t="n"/>
    </row>
    <row r="1079">
      <c r="A1079" s="5" t="n"/>
      <c r="B1079" s="5" t="n"/>
      <c r="C1079" s="5" t="n"/>
      <c r="D1079" s="5" t="n"/>
      <c r="E1079" s="8" t="n"/>
      <c r="F1079" s="5" t="n"/>
      <c r="G1079" s="5" t="n"/>
      <c r="H1079" s="5" t="n"/>
    </row>
    <row r="1080">
      <c r="A1080" s="5" t="n"/>
      <c r="B1080" s="5" t="n"/>
      <c r="C1080" s="5" t="n"/>
      <c r="D1080" s="5" t="n"/>
      <c r="E1080" s="8" t="n"/>
      <c r="F1080" s="5" t="n"/>
      <c r="G1080" s="5" t="n"/>
      <c r="H1080" s="5" t="n"/>
    </row>
    <row r="1081">
      <c r="A1081" s="5" t="n"/>
      <c r="B1081" s="5" t="n"/>
      <c r="C1081" s="5" t="n"/>
      <c r="D1081" s="5" t="n"/>
      <c r="E1081" s="8" t="n"/>
      <c r="F1081" s="5" t="n"/>
      <c r="G1081" s="5" t="n"/>
      <c r="H1081" s="5" t="n"/>
    </row>
    <row r="1082">
      <c r="A1082" s="5" t="n"/>
      <c r="B1082" s="5" t="n"/>
      <c r="C1082" s="5" t="n"/>
      <c r="D1082" s="5" t="n"/>
      <c r="E1082" s="8" t="n"/>
      <c r="F1082" s="5" t="n"/>
      <c r="G1082" s="5" t="n"/>
      <c r="H1082" s="5" t="n"/>
    </row>
    <row r="1083">
      <c r="A1083" s="5" t="n"/>
      <c r="B1083" s="5" t="n"/>
      <c r="C1083" s="5" t="n"/>
      <c r="D1083" s="5" t="n"/>
      <c r="E1083" s="8" t="n"/>
      <c r="F1083" s="5" t="n"/>
      <c r="G1083" s="5" t="n"/>
      <c r="H1083" s="5" t="n"/>
    </row>
    <row r="1084">
      <c r="A1084" s="5" t="n"/>
      <c r="B1084" s="5" t="n"/>
      <c r="C1084" s="5" t="n"/>
      <c r="D1084" s="5" t="n"/>
      <c r="E1084" s="8" t="n"/>
      <c r="F1084" s="5" t="n"/>
      <c r="G1084" s="5" t="n"/>
      <c r="H1084" s="5" t="n"/>
    </row>
    <row r="1085">
      <c r="A1085" s="5" t="n"/>
      <c r="B1085" s="5" t="n"/>
      <c r="C1085" s="5" t="n"/>
      <c r="D1085" s="5" t="n"/>
      <c r="E1085" s="8" t="n"/>
      <c r="F1085" s="5" t="n"/>
      <c r="G1085" s="5" t="n"/>
      <c r="H1085" s="5" t="n"/>
    </row>
    <row r="1086">
      <c r="A1086" s="5" t="n"/>
      <c r="B1086" s="5" t="n"/>
      <c r="C1086" s="5" t="n"/>
      <c r="D1086" s="5" t="n"/>
      <c r="E1086" s="8" t="n"/>
      <c r="F1086" s="5" t="n"/>
      <c r="G1086" s="5" t="n"/>
      <c r="H1086" s="5" t="n"/>
    </row>
    <row r="1087">
      <c r="A1087" s="5" t="n"/>
      <c r="B1087" s="5" t="n"/>
      <c r="C1087" s="5" t="n"/>
      <c r="D1087" s="5" t="n"/>
      <c r="E1087" s="8" t="n"/>
      <c r="F1087" s="5" t="n"/>
      <c r="G1087" s="5" t="n"/>
      <c r="H1087" s="5" t="n"/>
    </row>
    <row r="1088">
      <c r="A1088" s="5" t="n"/>
      <c r="B1088" s="5" t="n"/>
      <c r="C1088" s="5" t="n"/>
      <c r="D1088" s="5" t="n"/>
      <c r="E1088" s="8" t="n"/>
      <c r="F1088" s="5" t="n"/>
      <c r="G1088" s="5" t="n"/>
      <c r="H1088" s="5" t="n"/>
    </row>
    <row r="1089">
      <c r="A1089" s="5" t="n"/>
      <c r="B1089" s="5" t="n"/>
      <c r="C1089" s="5" t="n"/>
      <c r="D1089" s="5" t="n"/>
      <c r="E1089" s="8" t="n"/>
      <c r="F1089" s="5" t="n"/>
      <c r="G1089" s="5" t="n"/>
      <c r="H1089" s="5" t="n"/>
    </row>
    <row r="1090">
      <c r="A1090" s="5" t="n"/>
      <c r="B1090" s="5" t="n"/>
      <c r="C1090" s="5" t="n"/>
      <c r="D1090" s="5" t="n"/>
      <c r="E1090" s="8" t="n"/>
      <c r="F1090" s="5" t="n"/>
      <c r="G1090" s="5" t="n"/>
      <c r="H1090" s="5" t="n"/>
    </row>
    <row r="1091">
      <c r="A1091" s="5" t="n"/>
      <c r="B1091" s="5" t="n"/>
      <c r="C1091" s="5" t="n"/>
      <c r="D1091" s="5" t="n"/>
      <c r="E1091" s="8" t="n"/>
      <c r="F1091" s="5" t="n"/>
      <c r="G1091" s="5" t="n"/>
      <c r="H1091" s="5" t="n"/>
    </row>
    <row r="1092">
      <c r="A1092" s="5" t="n"/>
      <c r="B1092" s="5" t="n"/>
      <c r="C1092" s="5" t="n"/>
      <c r="D1092" s="5" t="n"/>
      <c r="E1092" s="8" t="n"/>
      <c r="F1092" s="5" t="n"/>
      <c r="G1092" s="5" t="n"/>
      <c r="H1092" s="5" t="n"/>
    </row>
    <row r="1093">
      <c r="A1093" s="5" t="n"/>
      <c r="B1093" s="5" t="n"/>
      <c r="C1093" s="5" t="n"/>
      <c r="D1093" s="5" t="n"/>
      <c r="E1093" s="8" t="n"/>
      <c r="F1093" s="5" t="n"/>
      <c r="G1093" s="5" t="n"/>
      <c r="H1093" s="5" t="n"/>
    </row>
    <row r="1094">
      <c r="A1094" s="5" t="n"/>
      <c r="B1094" s="5" t="n"/>
      <c r="C1094" s="5" t="n"/>
      <c r="D1094" s="5" t="n"/>
      <c r="E1094" s="8" t="n"/>
      <c r="F1094" s="5" t="n"/>
      <c r="G1094" s="5" t="n"/>
      <c r="H1094" s="5" t="n"/>
    </row>
    <row r="1095">
      <c r="A1095" s="5" t="n"/>
      <c r="B1095" s="5" t="n"/>
      <c r="C1095" s="5" t="n"/>
      <c r="D1095" s="5" t="n"/>
      <c r="E1095" s="8" t="n"/>
      <c r="F1095" s="5" t="n"/>
      <c r="G1095" s="5" t="n"/>
      <c r="H1095" s="5" t="n"/>
    </row>
    <row r="1096">
      <c r="A1096" s="5" t="n"/>
      <c r="B1096" s="5" t="n"/>
      <c r="C1096" s="5" t="n"/>
      <c r="D1096" s="5" t="n"/>
      <c r="E1096" s="8" t="n"/>
      <c r="F1096" s="5" t="n"/>
      <c r="G1096" s="5" t="n"/>
      <c r="H1096" s="5" t="n"/>
    </row>
    <row r="1097">
      <c r="A1097" s="5" t="n"/>
      <c r="B1097" s="5" t="n"/>
      <c r="C1097" s="5" t="n"/>
      <c r="D1097" s="5" t="n"/>
      <c r="E1097" s="8" t="n"/>
      <c r="F1097" s="5" t="n"/>
      <c r="G1097" s="5" t="n"/>
      <c r="H1097" s="5" t="n"/>
    </row>
    <row r="1098">
      <c r="A1098" s="5" t="n"/>
      <c r="B1098" s="5" t="n"/>
      <c r="C1098" s="5" t="n"/>
      <c r="D1098" s="5" t="n"/>
      <c r="E1098" s="8" t="n"/>
      <c r="F1098" s="5" t="n"/>
      <c r="G1098" s="5" t="n"/>
      <c r="H1098" s="5" t="n"/>
    </row>
    <row r="1099">
      <c r="A1099" s="5" t="n"/>
      <c r="B1099" s="5" t="n"/>
      <c r="C1099" s="5" t="n"/>
      <c r="D1099" s="5" t="n"/>
      <c r="E1099" s="8" t="n"/>
      <c r="F1099" s="5" t="n"/>
      <c r="G1099" s="5" t="n"/>
      <c r="H1099" s="5" t="n"/>
    </row>
    <row r="1100">
      <c r="A1100" s="5" t="n"/>
      <c r="B1100" s="5" t="n"/>
      <c r="C1100" s="5" t="n"/>
      <c r="D1100" s="5" t="n"/>
      <c r="E1100" s="8" t="n"/>
      <c r="F1100" s="5" t="n"/>
      <c r="G1100" s="5" t="n"/>
      <c r="H1100" s="5" t="n"/>
    </row>
    <row r="1101">
      <c r="A1101" s="5" t="n"/>
      <c r="B1101" s="5" t="n"/>
      <c r="C1101" s="5" t="n"/>
      <c r="D1101" s="5" t="n"/>
      <c r="E1101" s="8" t="n"/>
      <c r="F1101" s="5" t="n"/>
      <c r="G1101" s="5" t="n"/>
      <c r="H1101" s="5" t="n"/>
    </row>
    <row r="1102">
      <c r="A1102" s="5" t="n"/>
      <c r="B1102" s="5" t="n"/>
      <c r="C1102" s="5" t="n"/>
      <c r="D1102" s="5" t="n"/>
      <c r="E1102" s="8" t="n"/>
      <c r="F1102" s="5" t="n"/>
      <c r="G1102" s="5" t="n"/>
      <c r="H1102" s="5" t="n"/>
    </row>
    <row r="1103">
      <c r="A1103" s="5" t="n"/>
      <c r="B1103" s="5" t="n"/>
      <c r="C1103" s="5" t="n"/>
      <c r="D1103" s="5" t="n"/>
      <c r="E1103" s="8" t="n"/>
      <c r="F1103" s="5" t="n"/>
      <c r="G1103" s="5" t="n"/>
      <c r="H1103" s="5" t="n"/>
    </row>
    <row r="1104">
      <c r="A1104" s="5" t="n"/>
      <c r="B1104" s="5" t="n"/>
      <c r="C1104" s="5" t="n"/>
      <c r="D1104" s="5" t="n"/>
      <c r="E1104" s="8" t="n"/>
      <c r="F1104" s="5" t="n"/>
      <c r="G1104" s="5" t="n"/>
      <c r="H1104" s="5" t="n"/>
    </row>
    <row r="1105">
      <c r="A1105" s="5" t="n"/>
      <c r="B1105" s="5" t="n"/>
      <c r="C1105" s="5" t="n"/>
      <c r="D1105" s="5" t="n"/>
      <c r="E1105" s="8" t="n"/>
      <c r="F1105" s="5" t="n"/>
      <c r="G1105" s="5" t="n"/>
      <c r="H1105" s="5" t="n"/>
    </row>
    <row r="1106">
      <c r="A1106" s="5" t="n"/>
      <c r="B1106" s="5" t="n"/>
      <c r="C1106" s="5" t="n"/>
      <c r="D1106" s="5" t="n"/>
      <c r="E1106" s="8" t="n"/>
      <c r="F1106" s="5" t="n"/>
      <c r="G1106" s="5" t="n"/>
      <c r="H1106" s="5" t="n"/>
    </row>
    <row r="1107">
      <c r="A1107" s="5" t="n"/>
      <c r="B1107" s="5" t="n"/>
      <c r="C1107" s="5" t="n"/>
      <c r="D1107" s="5" t="n"/>
      <c r="E1107" s="8" t="n"/>
      <c r="F1107" s="5" t="n"/>
      <c r="G1107" s="5" t="n"/>
      <c r="H1107" s="5" t="n"/>
    </row>
    <row r="1108">
      <c r="A1108" s="5" t="n"/>
      <c r="B1108" s="5" t="n"/>
      <c r="C1108" s="5" t="n"/>
      <c r="D1108" s="5" t="n"/>
      <c r="E1108" s="8" t="n"/>
      <c r="F1108" s="5" t="n"/>
      <c r="G1108" s="5" t="n"/>
      <c r="H1108" s="5" t="n"/>
    </row>
    <row r="1109">
      <c r="A1109" s="5" t="n"/>
      <c r="B1109" s="5" t="n"/>
      <c r="C1109" s="5" t="n"/>
      <c r="D1109" s="5" t="n"/>
      <c r="E1109" s="8" t="n"/>
      <c r="F1109" s="5" t="n"/>
      <c r="G1109" s="5" t="n"/>
      <c r="H1109" s="5" t="n"/>
    </row>
    <row r="1110">
      <c r="A1110" s="5" t="n"/>
      <c r="B1110" s="5" t="n"/>
      <c r="C1110" s="5" t="n"/>
      <c r="D1110" s="5" t="n"/>
      <c r="E1110" s="8" t="n"/>
      <c r="F1110" s="5" t="n"/>
      <c r="G1110" s="5" t="n"/>
      <c r="H1110" s="5" t="n"/>
    </row>
    <row r="1111">
      <c r="A1111" s="5" t="n"/>
      <c r="B1111" s="5" t="n"/>
      <c r="C1111" s="5" t="n"/>
      <c r="D1111" s="5" t="n"/>
      <c r="E1111" s="8" t="n"/>
      <c r="F1111" s="5" t="n"/>
      <c r="G1111" s="5" t="n"/>
      <c r="H1111" s="5" t="n"/>
    </row>
    <row r="1112">
      <c r="A1112" s="5" t="n"/>
      <c r="B1112" s="5" t="n"/>
      <c r="C1112" s="5" t="n"/>
      <c r="D1112" s="5" t="n"/>
      <c r="E1112" s="8" t="n"/>
      <c r="F1112" s="5" t="n"/>
      <c r="G1112" s="5" t="n"/>
      <c r="H1112" s="5" t="n"/>
    </row>
    <row r="1113">
      <c r="A1113" s="5" t="n"/>
      <c r="B1113" s="5" t="n"/>
      <c r="C1113" s="5" t="n"/>
      <c r="D1113" s="5" t="n"/>
      <c r="E1113" s="8" t="n"/>
      <c r="F1113" s="5" t="n"/>
      <c r="G1113" s="5" t="n"/>
      <c r="H1113" s="5" t="n"/>
    </row>
    <row r="1114">
      <c r="A1114" s="5" t="n"/>
      <c r="B1114" s="5" t="n"/>
      <c r="C1114" s="5" t="n"/>
      <c r="D1114" s="5" t="n"/>
      <c r="E1114" s="8" t="n"/>
      <c r="F1114" s="5" t="n"/>
      <c r="G1114" s="5" t="n"/>
      <c r="H1114" s="5" t="n"/>
    </row>
    <row r="1115">
      <c r="A1115" s="5" t="n"/>
      <c r="B1115" s="5" t="n"/>
      <c r="C1115" s="5" t="n"/>
      <c r="D1115" s="5" t="n"/>
      <c r="E1115" s="8" t="n"/>
      <c r="F1115" s="5" t="n"/>
      <c r="G1115" s="5" t="n"/>
      <c r="H1115" s="5" t="n"/>
    </row>
    <row r="1116">
      <c r="A1116" s="5" t="n"/>
      <c r="B1116" s="5" t="n"/>
      <c r="C1116" s="5" t="n"/>
      <c r="D1116" s="5" t="n"/>
      <c r="E1116" s="8" t="n"/>
      <c r="F1116" s="5" t="n"/>
      <c r="G1116" s="5" t="n"/>
      <c r="H1116" s="5" t="n"/>
    </row>
    <row r="1117">
      <c r="A1117" s="5" t="n"/>
      <c r="B1117" s="5" t="n"/>
      <c r="C1117" s="5" t="n"/>
      <c r="D1117" s="5" t="n"/>
      <c r="E1117" s="8" t="n"/>
      <c r="F1117" s="5" t="n"/>
      <c r="G1117" s="5" t="n"/>
      <c r="H1117" s="5" t="n"/>
    </row>
    <row r="1118">
      <c r="A1118" s="5" t="n"/>
      <c r="B1118" s="5" t="n"/>
      <c r="C1118" s="5" t="n"/>
      <c r="D1118" s="5" t="n"/>
      <c r="E1118" s="8" t="n"/>
      <c r="F1118" s="5" t="n"/>
      <c r="G1118" s="5" t="n"/>
      <c r="H1118" s="5" t="n"/>
    </row>
    <row r="1119">
      <c r="A1119" s="5" t="n"/>
      <c r="B1119" s="5" t="n"/>
      <c r="C1119" s="5" t="n"/>
      <c r="D1119" s="5" t="n"/>
      <c r="E1119" s="8" t="n"/>
      <c r="F1119" s="5" t="n"/>
      <c r="G1119" s="5" t="n"/>
      <c r="H1119" s="5" t="n"/>
    </row>
    <row r="1120">
      <c r="A1120" s="5" t="n"/>
      <c r="B1120" s="5" t="n"/>
      <c r="C1120" s="5" t="n"/>
      <c r="D1120" s="5" t="n"/>
      <c r="E1120" s="8" t="n"/>
      <c r="F1120" s="5" t="n"/>
      <c r="G1120" s="5" t="n"/>
      <c r="H1120" s="5" t="n"/>
    </row>
    <row r="1121">
      <c r="A1121" s="5" t="n"/>
      <c r="B1121" s="5" t="n"/>
      <c r="C1121" s="5" t="n"/>
      <c r="D1121" s="5" t="n"/>
      <c r="E1121" s="8" t="n"/>
      <c r="F1121" s="5" t="n"/>
      <c r="G1121" s="5" t="n"/>
      <c r="H1121" s="5" t="n"/>
    </row>
    <row r="1122">
      <c r="A1122" s="5" t="n"/>
      <c r="B1122" s="5" t="n"/>
      <c r="C1122" s="5" t="n"/>
      <c r="D1122" s="5" t="n"/>
      <c r="E1122" s="8" t="n"/>
      <c r="F1122" s="5" t="n"/>
      <c r="G1122" s="5" t="n"/>
      <c r="H1122" s="5" t="n"/>
    </row>
    <row r="1123">
      <c r="A1123" s="5" t="n"/>
      <c r="B1123" s="5" t="n"/>
      <c r="C1123" s="5" t="n"/>
      <c r="D1123" s="5" t="n"/>
      <c r="E1123" s="8" t="n"/>
      <c r="F1123" s="5" t="n"/>
      <c r="G1123" s="5" t="n"/>
      <c r="H1123" s="5" t="n"/>
    </row>
    <row r="1124">
      <c r="A1124" s="5" t="n"/>
      <c r="B1124" s="5" t="n"/>
      <c r="C1124" s="5" t="n"/>
      <c r="D1124" s="5" t="n"/>
      <c r="E1124" s="8" t="n"/>
      <c r="F1124" s="5" t="n"/>
      <c r="G1124" s="5" t="n"/>
      <c r="H1124" s="5" t="n"/>
    </row>
    <row r="1125">
      <c r="A1125" s="5" t="n"/>
      <c r="B1125" s="5" t="n"/>
      <c r="C1125" s="5" t="n"/>
      <c r="D1125" s="5" t="n"/>
      <c r="E1125" s="8" t="n"/>
      <c r="F1125" s="5" t="n"/>
      <c r="G1125" s="5" t="n"/>
      <c r="H1125" s="5" t="n"/>
    </row>
    <row r="1126">
      <c r="A1126" s="5" t="n"/>
      <c r="B1126" s="5" t="n"/>
      <c r="C1126" s="5" t="n"/>
      <c r="D1126" s="5" t="n"/>
      <c r="E1126" s="8" t="n"/>
      <c r="F1126" s="5" t="n"/>
      <c r="G1126" s="5" t="n"/>
      <c r="H1126" s="5" t="n"/>
    </row>
    <row r="1127">
      <c r="A1127" s="5" t="n"/>
      <c r="B1127" s="5" t="n"/>
      <c r="C1127" s="5" t="n"/>
      <c r="D1127" s="5" t="n"/>
      <c r="E1127" s="8" t="n"/>
      <c r="F1127" s="5" t="n"/>
      <c r="G1127" s="5" t="n"/>
      <c r="H1127" s="5" t="n"/>
    </row>
    <row r="1128">
      <c r="A1128" s="5" t="n"/>
      <c r="B1128" s="5" t="n"/>
      <c r="C1128" s="5" t="n"/>
      <c r="D1128" s="5" t="n"/>
      <c r="E1128" s="8" t="n"/>
      <c r="F1128" s="5" t="n"/>
      <c r="G1128" s="5" t="n"/>
      <c r="H1128" s="5" t="n"/>
    </row>
    <row r="1129">
      <c r="A1129" s="5" t="n"/>
      <c r="B1129" s="5" t="n"/>
      <c r="C1129" s="5" t="n"/>
      <c r="D1129" s="5" t="n"/>
      <c r="E1129" s="8" t="n"/>
      <c r="F1129" s="5" t="n"/>
      <c r="G1129" s="5" t="n"/>
      <c r="H1129" s="5" t="n"/>
    </row>
    <row r="1130">
      <c r="A1130" s="5" t="n"/>
      <c r="B1130" s="5" t="n"/>
      <c r="C1130" s="5" t="n"/>
      <c r="D1130" s="5" t="n"/>
      <c r="E1130" s="8" t="n"/>
      <c r="F1130" s="5" t="n"/>
      <c r="G1130" s="5" t="n"/>
      <c r="H1130" s="5" t="n"/>
    </row>
    <row r="1131">
      <c r="A1131" s="5" t="n"/>
      <c r="B1131" s="5" t="n"/>
      <c r="C1131" s="5" t="n"/>
      <c r="D1131" s="5" t="n"/>
      <c r="E1131" s="8" t="n"/>
      <c r="F1131" s="5" t="n"/>
      <c r="G1131" s="5" t="n"/>
      <c r="H1131" s="5" t="n"/>
    </row>
    <row r="1132">
      <c r="A1132" s="5" t="n"/>
      <c r="B1132" s="5" t="n"/>
      <c r="C1132" s="5" t="n"/>
      <c r="D1132" s="5" t="n"/>
      <c r="E1132" s="8" t="n"/>
      <c r="F1132" s="5" t="n"/>
      <c r="G1132" s="5" t="n"/>
      <c r="H1132" s="5" t="n"/>
    </row>
    <row r="1133">
      <c r="A1133" s="5" t="n"/>
      <c r="B1133" s="5" t="n"/>
      <c r="C1133" s="5" t="n"/>
      <c r="D1133" s="5" t="n"/>
      <c r="E1133" s="8" t="n"/>
      <c r="F1133" s="5" t="n"/>
      <c r="G1133" s="5" t="n"/>
      <c r="H1133" s="5" t="n"/>
    </row>
    <row r="1134">
      <c r="A1134" s="5" t="n"/>
      <c r="B1134" s="5" t="n"/>
      <c r="C1134" s="5" t="n"/>
      <c r="D1134" s="5" t="n"/>
      <c r="E1134" s="8" t="n"/>
      <c r="F1134" s="5" t="n"/>
      <c r="G1134" s="5" t="n"/>
      <c r="H1134" s="5" t="n"/>
    </row>
    <row r="1135">
      <c r="A1135" s="5" t="n"/>
      <c r="B1135" s="5" t="n"/>
      <c r="C1135" s="5" t="n"/>
      <c r="D1135" s="5" t="n"/>
      <c r="E1135" s="8" t="n"/>
      <c r="F1135" s="5" t="n"/>
      <c r="G1135" s="5" t="n"/>
      <c r="H1135" s="5" t="n"/>
    </row>
    <row r="1136">
      <c r="A1136" s="5" t="n"/>
      <c r="B1136" s="5" t="n"/>
      <c r="C1136" s="5" t="n"/>
      <c r="D1136" s="5" t="n"/>
      <c r="E1136" s="8" t="n"/>
      <c r="F1136" s="5" t="n"/>
      <c r="G1136" s="5" t="n"/>
      <c r="H1136" s="5" t="n"/>
    </row>
    <row r="1137">
      <c r="A1137" s="5" t="n"/>
      <c r="B1137" s="5" t="n"/>
      <c r="C1137" s="5" t="n"/>
      <c r="D1137" s="5" t="n"/>
      <c r="E1137" s="8" t="n"/>
      <c r="F1137" s="5" t="n"/>
      <c r="G1137" s="5" t="n"/>
      <c r="H1137" s="5" t="n"/>
    </row>
    <row r="1138">
      <c r="A1138" s="5" t="n"/>
      <c r="B1138" s="5" t="n"/>
      <c r="C1138" s="5" t="n"/>
      <c r="D1138" s="5" t="n"/>
      <c r="E1138" s="8" t="n"/>
      <c r="F1138" s="5" t="n"/>
      <c r="G1138" s="5" t="n"/>
      <c r="H1138" s="5" t="n"/>
    </row>
    <row r="1139">
      <c r="A1139" s="5" t="n"/>
      <c r="B1139" s="5" t="n"/>
      <c r="C1139" s="5" t="n"/>
      <c r="D1139" s="5" t="n"/>
      <c r="E1139" s="8" t="n"/>
      <c r="F1139" s="5" t="n"/>
      <c r="G1139" s="5" t="n"/>
      <c r="H1139" s="5" t="n"/>
    </row>
    <row r="1140">
      <c r="A1140" s="5" t="n"/>
      <c r="B1140" s="5" t="n"/>
      <c r="C1140" s="5" t="n"/>
      <c r="D1140" s="5" t="n"/>
      <c r="E1140" s="8" t="n"/>
      <c r="F1140" s="5" t="n"/>
      <c r="G1140" s="5" t="n"/>
      <c r="H1140" s="5" t="n"/>
    </row>
    <row r="1141">
      <c r="A1141" s="5" t="n"/>
      <c r="B1141" s="5" t="n"/>
      <c r="C1141" s="5" t="n"/>
      <c r="D1141" s="5" t="n"/>
      <c r="E1141" s="8" t="n"/>
      <c r="F1141" s="5" t="n"/>
      <c r="G1141" s="5" t="n"/>
      <c r="H1141" s="5" t="n"/>
    </row>
    <row r="1142">
      <c r="A1142" s="5" t="n"/>
      <c r="B1142" s="5" t="n"/>
      <c r="C1142" s="5" t="n"/>
      <c r="D1142" s="5" t="n"/>
      <c r="E1142" s="8" t="n"/>
      <c r="F1142" s="5" t="n"/>
      <c r="G1142" s="5" t="n"/>
      <c r="H1142" s="5" t="n"/>
    </row>
    <row r="1143">
      <c r="A1143" s="5" t="n"/>
      <c r="B1143" s="5" t="n"/>
      <c r="C1143" s="5" t="n"/>
      <c r="D1143" s="5" t="n"/>
      <c r="E1143" s="8" t="n"/>
      <c r="F1143" s="5" t="n"/>
      <c r="G1143" s="5" t="n"/>
      <c r="H1143" s="5" t="n"/>
    </row>
    <row r="1144">
      <c r="A1144" s="5" t="n"/>
      <c r="B1144" s="5" t="n"/>
      <c r="C1144" s="5" t="n"/>
      <c r="D1144" s="5" t="n"/>
      <c r="E1144" s="8" t="n"/>
      <c r="F1144" s="5" t="n"/>
      <c r="G1144" s="5" t="n"/>
      <c r="H1144" s="5" t="n"/>
    </row>
    <row r="1145">
      <c r="A1145" s="5" t="n"/>
      <c r="B1145" s="5" t="n"/>
      <c r="C1145" s="5" t="n"/>
      <c r="D1145" s="5" t="n"/>
      <c r="E1145" s="8" t="n"/>
      <c r="F1145" s="5" t="n"/>
      <c r="G1145" s="5" t="n"/>
      <c r="H1145" s="5" t="n"/>
    </row>
    <row r="1146">
      <c r="A1146" s="5" t="n"/>
      <c r="B1146" s="5" t="n"/>
      <c r="C1146" s="5" t="n"/>
      <c r="D1146" s="5" t="n"/>
      <c r="E1146" s="8" t="n"/>
      <c r="F1146" s="5" t="n"/>
      <c r="G1146" s="5" t="n"/>
      <c r="H1146" s="5" t="n"/>
    </row>
    <row r="1147">
      <c r="A1147" s="5" t="n"/>
      <c r="B1147" s="5" t="n"/>
      <c r="C1147" s="5" t="n"/>
      <c r="D1147" s="5" t="n"/>
      <c r="E1147" s="8" t="n"/>
      <c r="F1147" s="5" t="n"/>
      <c r="G1147" s="5" t="n"/>
      <c r="H1147" s="5" t="n"/>
    </row>
    <row r="1148">
      <c r="A1148" s="5" t="n"/>
      <c r="B1148" s="5" t="n"/>
      <c r="C1148" s="5" t="n"/>
      <c r="D1148" s="5" t="n"/>
      <c r="E1148" s="8" t="n"/>
      <c r="F1148" s="5" t="n"/>
      <c r="G1148" s="5" t="n"/>
      <c r="H1148" s="5" t="n"/>
    </row>
    <row r="1149">
      <c r="A1149" s="5" t="n"/>
      <c r="B1149" s="5" t="n"/>
      <c r="C1149" s="5" t="n"/>
      <c r="D1149" s="5" t="n"/>
      <c r="E1149" s="8" t="n"/>
      <c r="F1149" s="5" t="n"/>
      <c r="G1149" s="5" t="n"/>
      <c r="H1149" s="5" t="n"/>
    </row>
    <row r="1150">
      <c r="A1150" s="5" t="n"/>
      <c r="B1150" s="5" t="n"/>
      <c r="C1150" s="5" t="n"/>
      <c r="D1150" s="5" t="n"/>
      <c r="E1150" s="8" t="n"/>
      <c r="F1150" s="5" t="n"/>
      <c r="G1150" s="5" t="n"/>
      <c r="H1150" s="5" t="n"/>
    </row>
    <row r="1151">
      <c r="A1151" s="5" t="n"/>
      <c r="B1151" s="5" t="n"/>
      <c r="C1151" s="5" t="n"/>
      <c r="D1151" s="5" t="n"/>
      <c r="E1151" s="8" t="n"/>
      <c r="F1151" s="5" t="n"/>
      <c r="G1151" s="5" t="n"/>
      <c r="H1151" s="5" t="n"/>
    </row>
    <row r="1152">
      <c r="A1152" s="5" t="n"/>
      <c r="B1152" s="5" t="n"/>
      <c r="C1152" s="5" t="n"/>
      <c r="D1152" s="5" t="n"/>
      <c r="E1152" s="8" t="n"/>
      <c r="F1152" s="5" t="n"/>
      <c r="G1152" s="5" t="n"/>
      <c r="H1152" s="5" t="n"/>
    </row>
    <row r="1153">
      <c r="A1153" s="5" t="n"/>
      <c r="B1153" s="5" t="n"/>
      <c r="C1153" s="5" t="n"/>
      <c r="D1153" s="5" t="n"/>
      <c r="E1153" s="8" t="n"/>
      <c r="F1153" s="5" t="n"/>
      <c r="G1153" s="5" t="n"/>
      <c r="H1153" s="5" t="n"/>
    </row>
    <row r="1154">
      <c r="A1154" s="5" t="n"/>
      <c r="B1154" s="5" t="n"/>
      <c r="C1154" s="5" t="n"/>
      <c r="D1154" s="5" t="n"/>
      <c r="E1154" s="8" t="n"/>
      <c r="F1154" s="5" t="n"/>
      <c r="G1154" s="5" t="n"/>
      <c r="H1154" s="5" t="n"/>
    </row>
    <row r="1155">
      <c r="A1155" s="5" t="n"/>
      <c r="B1155" s="5" t="n"/>
      <c r="C1155" s="5" t="n"/>
      <c r="D1155" s="5" t="n"/>
      <c r="E1155" s="8" t="n"/>
      <c r="F1155" s="5" t="n"/>
      <c r="G1155" s="5" t="n"/>
      <c r="H1155" s="5" t="n"/>
    </row>
    <row r="1156">
      <c r="A1156" s="5" t="n"/>
      <c r="B1156" s="5" t="n"/>
      <c r="C1156" s="5" t="n"/>
      <c r="D1156" s="5" t="n"/>
      <c r="E1156" s="8" t="n"/>
      <c r="F1156" s="5" t="n"/>
      <c r="G1156" s="5" t="n"/>
      <c r="H1156" s="5" t="n"/>
    </row>
    <row r="1157">
      <c r="A1157" s="5" t="n"/>
      <c r="B1157" s="5" t="n"/>
      <c r="C1157" s="5" t="n"/>
      <c r="D1157" s="5" t="n"/>
      <c r="E1157" s="8" t="n"/>
      <c r="F1157" s="5" t="n"/>
      <c r="G1157" s="5" t="n"/>
      <c r="H1157" s="5" t="n"/>
    </row>
    <row r="1158">
      <c r="A1158" s="5" t="n"/>
      <c r="B1158" s="5" t="n"/>
      <c r="C1158" s="5" t="n"/>
      <c r="D1158" s="5" t="n"/>
      <c r="E1158" s="8" t="n"/>
      <c r="F1158" s="5" t="n"/>
      <c r="G1158" s="5" t="n"/>
      <c r="H1158" s="5" t="n"/>
    </row>
    <row r="1159">
      <c r="A1159" s="5" t="n"/>
      <c r="B1159" s="5" t="n"/>
      <c r="C1159" s="5" t="n"/>
      <c r="D1159" s="5" t="n"/>
      <c r="E1159" s="8" t="n"/>
      <c r="F1159" s="5" t="n"/>
      <c r="G1159" s="5" t="n"/>
      <c r="H1159" s="5" t="n"/>
    </row>
    <row r="1160">
      <c r="A1160" s="5" t="n"/>
      <c r="B1160" s="5" t="n"/>
      <c r="C1160" s="5" t="n"/>
      <c r="D1160" s="5" t="n"/>
      <c r="E1160" s="8" t="n"/>
      <c r="F1160" s="5" t="n"/>
      <c r="G1160" s="5" t="n"/>
      <c r="H1160" s="5" t="n"/>
    </row>
    <row r="1161">
      <c r="A1161" s="5" t="n"/>
      <c r="B1161" s="5" t="n"/>
      <c r="C1161" s="5" t="n"/>
      <c r="D1161" s="5" t="n"/>
      <c r="E1161" s="8" t="n"/>
      <c r="F1161" s="5" t="n"/>
      <c r="G1161" s="5" t="n"/>
      <c r="H1161" s="5" t="n"/>
    </row>
    <row r="1162">
      <c r="A1162" s="5" t="n"/>
      <c r="B1162" s="5" t="n"/>
      <c r="C1162" s="5" t="n"/>
      <c r="D1162" s="5" t="n"/>
      <c r="E1162" s="8" t="n"/>
      <c r="F1162" s="5" t="n"/>
      <c r="G1162" s="5" t="n"/>
      <c r="H1162" s="5" t="n"/>
    </row>
    <row r="1163">
      <c r="A1163" s="5" t="n"/>
      <c r="B1163" s="5" t="n"/>
      <c r="C1163" s="5" t="n"/>
      <c r="D1163" s="5" t="n"/>
      <c r="E1163" s="8" t="n"/>
      <c r="F1163" s="5" t="n"/>
      <c r="G1163" s="5" t="n"/>
      <c r="H1163" s="5" t="n"/>
    </row>
    <row r="1164">
      <c r="A1164" s="5" t="n"/>
      <c r="B1164" s="5" t="n"/>
      <c r="C1164" s="5" t="n"/>
      <c r="D1164" s="5" t="n"/>
      <c r="E1164" s="8" t="n"/>
      <c r="F1164" s="5" t="n"/>
      <c r="G1164" s="5" t="n"/>
      <c r="H1164" s="5" t="n"/>
    </row>
    <row r="1165">
      <c r="A1165" s="5" t="n"/>
      <c r="B1165" s="5" t="n"/>
      <c r="C1165" s="5" t="n"/>
      <c r="D1165" s="5" t="n"/>
      <c r="E1165" s="8" t="n"/>
      <c r="F1165" s="5" t="n"/>
      <c r="G1165" s="5" t="n"/>
      <c r="H1165" s="5" t="n"/>
    </row>
    <row r="1166">
      <c r="A1166" s="5" t="n"/>
      <c r="B1166" s="5" t="n"/>
      <c r="C1166" s="5" t="n"/>
      <c r="D1166" s="5" t="n"/>
      <c r="E1166" s="8" t="n"/>
      <c r="F1166" s="5" t="n"/>
      <c r="G1166" s="5" t="n"/>
      <c r="H1166" s="5" t="n"/>
    </row>
    <row r="1167">
      <c r="A1167" s="5" t="n"/>
      <c r="B1167" s="5" t="n"/>
      <c r="C1167" s="5" t="n"/>
      <c r="D1167" s="5" t="n"/>
      <c r="E1167" s="8" t="n"/>
      <c r="F1167" s="5" t="n"/>
      <c r="G1167" s="5" t="n"/>
      <c r="H1167" s="5" t="n"/>
    </row>
    <row r="1168">
      <c r="A1168" s="5" t="n"/>
      <c r="B1168" s="5" t="n"/>
      <c r="C1168" s="5" t="n"/>
      <c r="D1168" s="5" t="n"/>
      <c r="E1168" s="8" t="n"/>
      <c r="F1168" s="5" t="n"/>
      <c r="G1168" s="5" t="n"/>
      <c r="H1168" s="5" t="n"/>
    </row>
    <row r="1169">
      <c r="A1169" s="5" t="n"/>
      <c r="B1169" s="5" t="n"/>
      <c r="C1169" s="5" t="n"/>
      <c r="D1169" s="5" t="n"/>
      <c r="E1169" s="8" t="n"/>
      <c r="F1169" s="5" t="n"/>
      <c r="G1169" s="5" t="n"/>
      <c r="H1169" s="5" t="n"/>
    </row>
    <row r="1170">
      <c r="A1170" s="5" t="n"/>
      <c r="B1170" s="5" t="n"/>
      <c r="C1170" s="5" t="n"/>
      <c r="D1170" s="5" t="n"/>
      <c r="E1170" s="8" t="n"/>
      <c r="F1170" s="5" t="n"/>
      <c r="G1170" s="5" t="n"/>
      <c r="H1170" s="5" t="n"/>
    </row>
    <row r="1171">
      <c r="A1171" s="5" t="n"/>
      <c r="B1171" s="5" t="n"/>
      <c r="C1171" s="5" t="n"/>
      <c r="D1171" s="5" t="n"/>
      <c r="E1171" s="8" t="n"/>
      <c r="F1171" s="5" t="n"/>
      <c r="G1171" s="5" t="n"/>
      <c r="H1171" s="5" t="n"/>
    </row>
    <row r="1172">
      <c r="A1172" s="5" t="n"/>
      <c r="B1172" s="5" t="n"/>
      <c r="C1172" s="5" t="n"/>
      <c r="D1172" s="5" t="n"/>
      <c r="E1172" s="8" t="n"/>
      <c r="F1172" s="5" t="n"/>
      <c r="G1172" s="5" t="n"/>
      <c r="H1172" s="5" t="n"/>
    </row>
    <row r="1173">
      <c r="A1173" s="5" t="n"/>
      <c r="B1173" s="5" t="n"/>
      <c r="C1173" s="5" t="n"/>
      <c r="D1173" s="5" t="n"/>
      <c r="E1173" s="8" t="n"/>
      <c r="F1173" s="5" t="n"/>
      <c r="G1173" s="5" t="n"/>
      <c r="H1173" s="5" t="n"/>
    </row>
    <row r="1174">
      <c r="A1174" s="5" t="n"/>
      <c r="B1174" s="5" t="n"/>
      <c r="C1174" s="5" t="n"/>
      <c r="D1174" s="5" t="n"/>
      <c r="E1174" s="8" t="n"/>
      <c r="F1174" s="5" t="n"/>
      <c r="G1174" s="5" t="n"/>
      <c r="H1174" s="5" t="n"/>
    </row>
    <row r="1175">
      <c r="A1175" s="5" t="n"/>
      <c r="B1175" s="5" t="n"/>
      <c r="C1175" s="5" t="n"/>
      <c r="D1175" s="5" t="n"/>
      <c r="E1175" s="8" t="n"/>
      <c r="F1175" s="5" t="n"/>
      <c r="G1175" s="5" t="n"/>
      <c r="H1175" s="5" t="n"/>
    </row>
    <row r="1176">
      <c r="A1176" s="5" t="n"/>
      <c r="B1176" s="5" t="n"/>
      <c r="C1176" s="5" t="n"/>
      <c r="D1176" s="5" t="n"/>
      <c r="E1176" s="8" t="n"/>
      <c r="F1176" s="5" t="n"/>
      <c r="G1176" s="5" t="n"/>
      <c r="H1176" s="5" t="n"/>
    </row>
    <row r="1177">
      <c r="A1177" s="5" t="n"/>
      <c r="B1177" s="5" t="n"/>
      <c r="C1177" s="5" t="n"/>
      <c r="D1177" s="5" t="n"/>
      <c r="E1177" s="8" t="n"/>
      <c r="F1177" s="5" t="n"/>
      <c r="G1177" s="5" t="n"/>
      <c r="H1177" s="5" t="n"/>
    </row>
    <row r="1178">
      <c r="A1178" s="5" t="n"/>
      <c r="B1178" s="5" t="n"/>
      <c r="C1178" s="5" t="n"/>
      <c r="D1178" s="5" t="n"/>
      <c r="E1178" s="8" t="n"/>
      <c r="F1178" s="5" t="n"/>
      <c r="G1178" s="5" t="n"/>
      <c r="H1178" s="5" t="n"/>
    </row>
    <row r="1179">
      <c r="A1179" s="5" t="n"/>
      <c r="B1179" s="5" t="n"/>
      <c r="C1179" s="5" t="n"/>
      <c r="D1179" s="5" t="n"/>
      <c r="E1179" s="8" t="n"/>
      <c r="F1179" s="5" t="n"/>
      <c r="G1179" s="5" t="n"/>
      <c r="H1179" s="5" t="n"/>
    </row>
    <row r="1180">
      <c r="A1180" s="5" t="n"/>
      <c r="B1180" s="5" t="n"/>
      <c r="C1180" s="5" t="n"/>
      <c r="D1180" s="5" t="n"/>
      <c r="E1180" s="8" t="n"/>
      <c r="F1180" s="5" t="n"/>
      <c r="G1180" s="5" t="n"/>
      <c r="H1180" s="5" t="n"/>
    </row>
    <row r="1181">
      <c r="A1181" s="5" t="n"/>
      <c r="B1181" s="5" t="n"/>
      <c r="C1181" s="5" t="n"/>
      <c r="D1181" s="5" t="n"/>
      <c r="E1181" s="8" t="n"/>
      <c r="F1181" s="5" t="n"/>
      <c r="G1181" s="5" t="n"/>
      <c r="H1181" s="5" t="n"/>
    </row>
    <row r="1182">
      <c r="A1182" s="5" t="n"/>
      <c r="B1182" s="5" t="n"/>
      <c r="C1182" s="5" t="n"/>
      <c r="D1182" s="5" t="n"/>
      <c r="E1182" s="8" t="n"/>
      <c r="F1182" s="5" t="n"/>
      <c r="G1182" s="5" t="n"/>
      <c r="H1182" s="5" t="n"/>
    </row>
    <row r="1183">
      <c r="A1183" s="5" t="n"/>
      <c r="B1183" s="5" t="n"/>
      <c r="C1183" s="5" t="n"/>
      <c r="D1183" s="5" t="n"/>
      <c r="E1183" s="8" t="n"/>
      <c r="F1183" s="5" t="n"/>
      <c r="G1183" s="5" t="n"/>
      <c r="H1183" s="5" t="n"/>
    </row>
    <row r="1184">
      <c r="A1184" s="5" t="n"/>
      <c r="B1184" s="5" t="n"/>
      <c r="C1184" s="5" t="n"/>
      <c r="D1184" s="5" t="n"/>
      <c r="E1184" s="8" t="n"/>
      <c r="F1184" s="5" t="n"/>
      <c r="G1184" s="5" t="n"/>
      <c r="H1184" s="5" t="n"/>
    </row>
    <row r="1185">
      <c r="A1185" s="5" t="n"/>
      <c r="B1185" s="5" t="n"/>
      <c r="C1185" s="5" t="n"/>
      <c r="D1185" s="5" t="n"/>
      <c r="E1185" s="8" t="n"/>
      <c r="F1185" s="5" t="n"/>
      <c r="G1185" s="5" t="n"/>
      <c r="H1185" s="5" t="n"/>
    </row>
    <row r="1186">
      <c r="A1186" s="5" t="n"/>
      <c r="B1186" s="5" t="n"/>
      <c r="C1186" s="5" t="n"/>
      <c r="D1186" s="5" t="n"/>
      <c r="E1186" s="8" t="n"/>
      <c r="F1186" s="5" t="n"/>
      <c r="G1186" s="5" t="n"/>
      <c r="H1186" s="5" t="n"/>
    </row>
    <row r="1187">
      <c r="A1187" s="5" t="n"/>
      <c r="B1187" s="5" t="n"/>
      <c r="C1187" s="5" t="n"/>
      <c r="D1187" s="5" t="n"/>
      <c r="E1187" s="8" t="n"/>
      <c r="F1187" s="5" t="n"/>
      <c r="G1187" s="5" t="n"/>
      <c r="H1187" s="5" t="n"/>
    </row>
    <row r="1188">
      <c r="A1188" s="5" t="n"/>
      <c r="B1188" s="5" t="n"/>
      <c r="C1188" s="5" t="n"/>
      <c r="D1188" s="5" t="n"/>
      <c r="E1188" s="8" t="n"/>
      <c r="F1188" s="5" t="n"/>
      <c r="G1188" s="5" t="n"/>
      <c r="H1188" s="5" t="n"/>
    </row>
    <row r="1189">
      <c r="A1189" s="5" t="n"/>
      <c r="B1189" s="5" t="n"/>
      <c r="C1189" s="5" t="n"/>
      <c r="D1189" s="5" t="n"/>
      <c r="E1189" s="8" t="n"/>
      <c r="F1189" s="5" t="n"/>
      <c r="G1189" s="5" t="n"/>
      <c r="H1189" s="5" t="n"/>
    </row>
    <row r="1190">
      <c r="A1190" s="5" t="n"/>
      <c r="B1190" s="5" t="n"/>
      <c r="C1190" s="5" t="n"/>
      <c r="D1190" s="5" t="n"/>
      <c r="E1190" s="8" t="n"/>
      <c r="F1190" s="5" t="n"/>
      <c r="G1190" s="5" t="n"/>
      <c r="H1190" s="5" t="n"/>
    </row>
    <row r="1191">
      <c r="A1191" s="5" t="n"/>
      <c r="B1191" s="5" t="n"/>
      <c r="C1191" s="5" t="n"/>
      <c r="D1191" s="5" t="n"/>
      <c r="E1191" s="8" t="n"/>
      <c r="F1191" s="5" t="n"/>
      <c r="G1191" s="5" t="n"/>
      <c r="H1191" s="5" t="n"/>
    </row>
    <row r="1192">
      <c r="A1192" s="5" t="n"/>
      <c r="B1192" s="5" t="n"/>
      <c r="C1192" s="5" t="n"/>
      <c r="D1192" s="5" t="n"/>
      <c r="E1192" s="8" t="n"/>
      <c r="F1192" s="5" t="n"/>
      <c r="G1192" s="5" t="n"/>
      <c r="H1192" s="5" t="n"/>
    </row>
    <row r="1193">
      <c r="A1193" s="5" t="n"/>
      <c r="B1193" s="5" t="n"/>
      <c r="C1193" s="5" t="n"/>
      <c r="D1193" s="5" t="n"/>
      <c r="E1193" s="8" t="n"/>
      <c r="F1193" s="5" t="n"/>
      <c r="G1193" s="5" t="n"/>
      <c r="H1193" s="5" t="n"/>
    </row>
    <row r="1194">
      <c r="A1194" s="5" t="n"/>
      <c r="B1194" s="5" t="n"/>
      <c r="C1194" s="5" t="n"/>
      <c r="D1194" s="5" t="n"/>
      <c r="E1194" s="8" t="n"/>
      <c r="F1194" s="5" t="n"/>
      <c r="G1194" s="5" t="n"/>
      <c r="H1194" s="5" t="n"/>
    </row>
    <row r="1195">
      <c r="A1195" s="5" t="n"/>
      <c r="B1195" s="5" t="n"/>
      <c r="C1195" s="5" t="n"/>
      <c r="D1195" s="5" t="n"/>
      <c r="E1195" s="8" t="n"/>
      <c r="F1195" s="5" t="n"/>
      <c r="G1195" s="5" t="n"/>
      <c r="H1195" s="5" t="n"/>
    </row>
    <row r="1196">
      <c r="A1196" s="5" t="n"/>
      <c r="B1196" s="5" t="n"/>
      <c r="C1196" s="5" t="n"/>
      <c r="D1196" s="5" t="n"/>
      <c r="E1196" s="8" t="n"/>
      <c r="F1196" s="5" t="n"/>
      <c r="G1196" s="5" t="n"/>
      <c r="H1196" s="5" t="n"/>
    </row>
    <row r="1197">
      <c r="A1197" s="5" t="n"/>
      <c r="B1197" s="5" t="n"/>
      <c r="C1197" s="5" t="n"/>
      <c r="D1197" s="5" t="n"/>
      <c r="E1197" s="8" t="n"/>
      <c r="F1197" s="5" t="n"/>
      <c r="G1197" s="5" t="n"/>
      <c r="H1197" s="5" t="n"/>
    </row>
    <row r="1198">
      <c r="A1198" s="5" t="n"/>
      <c r="B1198" s="5" t="n"/>
      <c r="C1198" s="5" t="n"/>
      <c r="D1198" s="5" t="n"/>
      <c r="E1198" s="8" t="n"/>
      <c r="F1198" s="5" t="n"/>
      <c r="G1198" s="5" t="n"/>
      <c r="H1198" s="5" t="n"/>
    </row>
    <row r="1199">
      <c r="A1199" s="5" t="n"/>
      <c r="B1199" s="5" t="n"/>
      <c r="C1199" s="5" t="n"/>
      <c r="D1199" s="5" t="n"/>
      <c r="E1199" s="8" t="n"/>
      <c r="F1199" s="5" t="n"/>
      <c r="G1199" s="5" t="n"/>
      <c r="H1199" s="5" t="n"/>
    </row>
    <row r="1200">
      <c r="A1200" s="5" t="n"/>
      <c r="B1200" s="5" t="n"/>
      <c r="C1200" s="5" t="n"/>
      <c r="D1200" s="5" t="n"/>
      <c r="E1200" s="8" t="n"/>
      <c r="F1200" s="5" t="n"/>
      <c r="G1200" s="5" t="n"/>
      <c r="H1200" s="5" t="n"/>
    </row>
    <row r="1201">
      <c r="A1201" s="5" t="n"/>
      <c r="B1201" s="5" t="n"/>
      <c r="C1201" s="5" t="n"/>
      <c r="D1201" s="5" t="n"/>
      <c r="E1201" s="8" t="n"/>
      <c r="F1201" s="5" t="n"/>
      <c r="G1201" s="5" t="n"/>
      <c r="H1201" s="5" t="n"/>
    </row>
    <row r="1202">
      <c r="A1202" s="5" t="n"/>
      <c r="B1202" s="5" t="n"/>
      <c r="C1202" s="5" t="n"/>
      <c r="D1202" s="5" t="n"/>
      <c r="E1202" s="8" t="n"/>
      <c r="F1202" s="5" t="n"/>
      <c r="G1202" s="5" t="n"/>
      <c r="H1202" s="5" t="n"/>
    </row>
    <row r="1203">
      <c r="A1203" s="5" t="n"/>
      <c r="B1203" s="5" t="n"/>
      <c r="C1203" s="5" t="n"/>
      <c r="D1203" s="5" t="n"/>
      <c r="E1203" s="8" t="n"/>
      <c r="F1203" s="5" t="n"/>
      <c r="G1203" s="5" t="n"/>
      <c r="H1203" s="5" t="n"/>
    </row>
    <row r="1204">
      <c r="A1204" s="5" t="n"/>
      <c r="B1204" s="5" t="n"/>
      <c r="C1204" s="5" t="n"/>
      <c r="D1204" s="5" t="n"/>
      <c r="E1204" s="8" t="n"/>
      <c r="F1204" s="5" t="n"/>
      <c r="G1204" s="5" t="n"/>
      <c r="H1204" s="5" t="n"/>
    </row>
    <row r="1205">
      <c r="A1205" s="5" t="n"/>
      <c r="B1205" s="5" t="n"/>
      <c r="C1205" s="5" t="n"/>
      <c r="D1205" s="5" t="n"/>
      <c r="E1205" s="8" t="n"/>
      <c r="F1205" s="5" t="n"/>
      <c r="G1205" s="5" t="n"/>
      <c r="H1205" s="5" t="n"/>
    </row>
    <row r="1206">
      <c r="A1206" s="5" t="n"/>
      <c r="B1206" s="5" t="n"/>
      <c r="C1206" s="5" t="n"/>
      <c r="D1206" s="5" t="n"/>
      <c r="E1206" s="8" t="n"/>
      <c r="F1206" s="5" t="n"/>
      <c r="G1206" s="5" t="n"/>
      <c r="H1206" s="5" t="n"/>
    </row>
    <row r="1207">
      <c r="A1207" s="5" t="n"/>
      <c r="B1207" s="5" t="n"/>
      <c r="C1207" s="5" t="n"/>
      <c r="D1207" s="5" t="n"/>
      <c r="E1207" s="8" t="n"/>
      <c r="F1207" s="5" t="n"/>
      <c r="G1207" s="5" t="n"/>
      <c r="H1207" s="5" t="n"/>
    </row>
    <row r="1208">
      <c r="A1208" s="5" t="n"/>
      <c r="B1208" s="5" t="n"/>
      <c r="C1208" s="5" t="n"/>
      <c r="D1208" s="5" t="n"/>
      <c r="E1208" s="8" t="n"/>
      <c r="F1208" s="5" t="n"/>
      <c r="G1208" s="5" t="n"/>
      <c r="H1208" s="5" t="n"/>
    </row>
    <row r="1209">
      <c r="A1209" s="5" t="n"/>
      <c r="B1209" s="5" t="n"/>
      <c r="C1209" s="5" t="n"/>
      <c r="D1209" s="5" t="n"/>
      <c r="E1209" s="8" t="n"/>
      <c r="F1209" s="5" t="n"/>
      <c r="G1209" s="5" t="n"/>
      <c r="H1209" s="5" t="n"/>
    </row>
    <row r="1210">
      <c r="A1210" s="5" t="n"/>
      <c r="B1210" s="5" t="n"/>
      <c r="C1210" s="5" t="n"/>
      <c r="D1210" s="5" t="n"/>
      <c r="E1210" s="8" t="n"/>
      <c r="F1210" s="5" t="n"/>
      <c r="G1210" s="5" t="n"/>
      <c r="H1210" s="5" t="n"/>
    </row>
    <row r="1211">
      <c r="A1211" s="5" t="n"/>
      <c r="B1211" s="5" t="n"/>
      <c r="C1211" s="5" t="n"/>
      <c r="D1211" s="5" t="n"/>
      <c r="E1211" s="8" t="n"/>
      <c r="F1211" s="5" t="n"/>
      <c r="G1211" s="5" t="n"/>
      <c r="H1211" s="5" t="n"/>
    </row>
    <row r="1212">
      <c r="A1212" s="5" t="n"/>
      <c r="B1212" s="5" t="n"/>
      <c r="C1212" s="5" t="n"/>
      <c r="D1212" s="5" t="n"/>
      <c r="E1212" s="8" t="n"/>
      <c r="F1212" s="5" t="n"/>
      <c r="G1212" s="5" t="n"/>
      <c r="H1212" s="5" t="n"/>
    </row>
    <row r="1213">
      <c r="A1213" s="5" t="n"/>
      <c r="B1213" s="5" t="n"/>
      <c r="C1213" s="5" t="n"/>
      <c r="D1213" s="5" t="n"/>
      <c r="E1213" s="8" t="n"/>
      <c r="F1213" s="5" t="n"/>
      <c r="G1213" s="5" t="n"/>
      <c r="H1213" s="5" t="n"/>
    </row>
    <row r="1214">
      <c r="A1214" s="5" t="n"/>
      <c r="B1214" s="5" t="n"/>
      <c r="C1214" s="5" t="n"/>
      <c r="D1214" s="5" t="n"/>
      <c r="E1214" s="8" t="n"/>
      <c r="F1214" s="5" t="n"/>
      <c r="G1214" s="5" t="n"/>
      <c r="H1214" s="5" t="n"/>
    </row>
    <row r="1215">
      <c r="A1215" s="5" t="n"/>
      <c r="B1215" s="5" t="n"/>
      <c r="C1215" s="5" t="n"/>
      <c r="D1215" s="5" t="n"/>
      <c r="E1215" s="8" t="n"/>
      <c r="F1215" s="5" t="n"/>
      <c r="G1215" s="5" t="n"/>
      <c r="H1215" s="5" t="n"/>
    </row>
    <row r="1216">
      <c r="A1216" s="5" t="n"/>
      <c r="B1216" s="5" t="n"/>
      <c r="C1216" s="5" t="n"/>
      <c r="D1216" s="5" t="n"/>
      <c r="E1216" s="8" t="n"/>
      <c r="F1216" s="5" t="n"/>
      <c r="G1216" s="5" t="n"/>
      <c r="H1216" s="5" t="n"/>
    </row>
    <row r="1217">
      <c r="A1217" s="5" t="n"/>
      <c r="B1217" s="5" t="n"/>
      <c r="C1217" s="5" t="n"/>
      <c r="D1217" s="5" t="n"/>
      <c r="E1217" s="8" t="n"/>
      <c r="F1217" s="5" t="n"/>
      <c r="G1217" s="5" t="n"/>
      <c r="H1217" s="5" t="n"/>
    </row>
    <row r="1218">
      <c r="A1218" s="5" t="n"/>
      <c r="B1218" s="5" t="n"/>
      <c r="C1218" s="5" t="n"/>
      <c r="D1218" s="5" t="n"/>
      <c r="E1218" s="8" t="n"/>
      <c r="F1218" s="5" t="n"/>
      <c r="G1218" s="5" t="n"/>
      <c r="H1218" s="5" t="n"/>
    </row>
    <row r="1219">
      <c r="A1219" s="5" t="n"/>
      <c r="B1219" s="5" t="n"/>
      <c r="C1219" s="5" t="n"/>
      <c r="D1219" s="5" t="n"/>
      <c r="E1219" s="8" t="n"/>
      <c r="F1219" s="5" t="n"/>
      <c r="G1219" s="5" t="n"/>
      <c r="H1219" s="5" t="n"/>
    </row>
    <row r="1220">
      <c r="A1220" s="5" t="n"/>
      <c r="B1220" s="5" t="n"/>
      <c r="C1220" s="5" t="n"/>
      <c r="D1220" s="5" t="n"/>
      <c r="E1220" s="8" t="n"/>
      <c r="F1220" s="5" t="n"/>
      <c r="G1220" s="5" t="n"/>
      <c r="H1220" s="5" t="n"/>
    </row>
    <row r="1221">
      <c r="A1221" s="5" t="n"/>
      <c r="B1221" s="5" t="n"/>
      <c r="C1221" s="5" t="n"/>
      <c r="D1221" s="5" t="n"/>
      <c r="E1221" s="8" t="n"/>
      <c r="F1221" s="5" t="n"/>
      <c r="G1221" s="5" t="n"/>
      <c r="H1221" s="5" t="n"/>
    </row>
    <row r="1222">
      <c r="A1222" s="5" t="n"/>
      <c r="B1222" s="5" t="n"/>
      <c r="C1222" s="5" t="n"/>
      <c r="D1222" s="5" t="n"/>
      <c r="E1222" s="8" t="n"/>
      <c r="F1222" s="5" t="n"/>
      <c r="G1222" s="5" t="n"/>
      <c r="H1222" s="5" t="n"/>
    </row>
    <row r="1223">
      <c r="A1223" s="5" t="n"/>
      <c r="B1223" s="5" t="n"/>
      <c r="C1223" s="5" t="n"/>
      <c r="D1223" s="5" t="n"/>
      <c r="E1223" s="8" t="n"/>
      <c r="F1223" s="5" t="n"/>
      <c r="G1223" s="5" t="n"/>
      <c r="H1223" s="5" t="n"/>
    </row>
    <row r="1224">
      <c r="A1224" s="5" t="n"/>
      <c r="B1224" s="5" t="n"/>
      <c r="C1224" s="5" t="n"/>
      <c r="D1224" s="5" t="n"/>
      <c r="E1224" s="8" t="n"/>
      <c r="F1224" s="5" t="n"/>
      <c r="G1224" s="5" t="n"/>
      <c r="H1224" s="5" t="n"/>
    </row>
    <row r="1225">
      <c r="A1225" s="5" t="n"/>
      <c r="B1225" s="5" t="n"/>
      <c r="C1225" s="5" t="n"/>
      <c r="D1225" s="5" t="n"/>
      <c r="E1225" s="8" t="n"/>
      <c r="F1225" s="5" t="n"/>
      <c r="G1225" s="5" t="n"/>
      <c r="H1225" s="5" t="n"/>
    </row>
    <row r="1226">
      <c r="A1226" s="5" t="n"/>
      <c r="B1226" s="5" t="n"/>
      <c r="C1226" s="5" t="n"/>
      <c r="D1226" s="5" t="n"/>
      <c r="E1226" s="8" t="n"/>
      <c r="F1226" s="5" t="n"/>
      <c r="G1226" s="5" t="n"/>
      <c r="H1226" s="5" t="n"/>
    </row>
    <row r="1227">
      <c r="A1227" s="5" t="n"/>
      <c r="B1227" s="5" t="n"/>
      <c r="C1227" s="5" t="n"/>
      <c r="D1227" s="5" t="n"/>
      <c r="E1227" s="8" t="n"/>
      <c r="F1227" s="5" t="n"/>
      <c r="G1227" s="5" t="n"/>
      <c r="H1227" s="5" t="n"/>
    </row>
    <row r="1228">
      <c r="A1228" s="5" t="n"/>
      <c r="B1228" s="5" t="n"/>
      <c r="C1228" s="5" t="n"/>
      <c r="D1228" s="5" t="n"/>
      <c r="E1228" s="8" t="n"/>
      <c r="F1228" s="5" t="n"/>
      <c r="G1228" s="5" t="n"/>
      <c r="H1228" s="5" t="n"/>
    </row>
    <row r="1229">
      <c r="A1229" s="5" t="n"/>
      <c r="B1229" s="5" t="n"/>
      <c r="C1229" s="5" t="n"/>
      <c r="D1229" s="5" t="n"/>
      <c r="E1229" s="8" t="n"/>
      <c r="F1229" s="5" t="n"/>
      <c r="G1229" s="5" t="n"/>
      <c r="H1229" s="5" t="n"/>
    </row>
    <row r="1230">
      <c r="A1230" s="5" t="n"/>
      <c r="B1230" s="5" t="n"/>
      <c r="C1230" s="5" t="n"/>
      <c r="D1230" s="5" t="n"/>
      <c r="E1230" s="8" t="n"/>
      <c r="F1230" s="5" t="n"/>
      <c r="G1230" s="5" t="n"/>
      <c r="H1230" s="5" t="n"/>
    </row>
    <row r="1231">
      <c r="A1231" s="5" t="n"/>
      <c r="B1231" s="5" t="n"/>
      <c r="C1231" s="5" t="n"/>
      <c r="D1231" s="5" t="n"/>
      <c r="E1231" s="8" t="n"/>
      <c r="F1231" s="5" t="n"/>
      <c r="G1231" s="5" t="n"/>
      <c r="H1231" s="5" t="n"/>
    </row>
    <row r="1232">
      <c r="A1232" s="5" t="n"/>
      <c r="B1232" s="5" t="n"/>
      <c r="C1232" s="5" t="n"/>
      <c r="D1232" s="5" t="n"/>
      <c r="E1232" s="8" t="n"/>
      <c r="F1232" s="5" t="n"/>
      <c r="G1232" s="5" t="n"/>
      <c r="H1232" s="5" t="n"/>
    </row>
    <row r="1233">
      <c r="A1233" s="5" t="n"/>
      <c r="B1233" s="5" t="n"/>
      <c r="C1233" s="5" t="n"/>
      <c r="D1233" s="5" t="n"/>
      <c r="E1233" s="8" t="n"/>
      <c r="F1233" s="5" t="n"/>
      <c r="G1233" s="5" t="n"/>
      <c r="H1233" s="5" t="n"/>
    </row>
    <row r="1234">
      <c r="A1234" s="5" t="n"/>
      <c r="B1234" s="5" t="n"/>
      <c r="C1234" s="5" t="n"/>
      <c r="D1234" s="5" t="n"/>
      <c r="E1234" s="8" t="n"/>
      <c r="F1234" s="5" t="n"/>
      <c r="G1234" s="5" t="n"/>
      <c r="H1234" s="5" t="n"/>
    </row>
    <row r="1235">
      <c r="A1235" s="5" t="n"/>
      <c r="B1235" s="5" t="n"/>
      <c r="C1235" s="5" t="n"/>
      <c r="D1235" s="5" t="n"/>
      <c r="E1235" s="8" t="n"/>
      <c r="F1235" s="5" t="n"/>
      <c r="G1235" s="5" t="n"/>
      <c r="H1235" s="5" t="n"/>
    </row>
    <row r="1236">
      <c r="A1236" s="5" t="n"/>
      <c r="B1236" s="5" t="n"/>
      <c r="C1236" s="5" t="n"/>
      <c r="D1236" s="5" t="n"/>
      <c r="E1236" s="8" t="n"/>
      <c r="F1236" s="5" t="n"/>
      <c r="G1236" s="5" t="n"/>
      <c r="H1236" s="5" t="n"/>
    </row>
    <row r="1237">
      <c r="A1237" s="5" t="n"/>
      <c r="B1237" s="5" t="n"/>
      <c r="C1237" s="5" t="n"/>
      <c r="D1237" s="5" t="n"/>
      <c r="E1237" s="8" t="n"/>
      <c r="F1237" s="5" t="n"/>
      <c r="G1237" s="5" t="n"/>
      <c r="H1237" s="5" t="n"/>
    </row>
    <row r="1238">
      <c r="A1238" s="5" t="n"/>
      <c r="B1238" s="5" t="n"/>
      <c r="C1238" s="5" t="n"/>
      <c r="D1238" s="5" t="n"/>
      <c r="E1238" s="8" t="n"/>
      <c r="F1238" s="5" t="n"/>
      <c r="G1238" s="5" t="n"/>
      <c r="H1238" s="5" t="n"/>
    </row>
    <row r="1239">
      <c r="A1239" s="5" t="n"/>
      <c r="B1239" s="5" t="n"/>
      <c r="C1239" s="5" t="n"/>
      <c r="D1239" s="5" t="n"/>
      <c r="E1239" s="8" t="n"/>
      <c r="F1239" s="5" t="n"/>
      <c r="G1239" s="5" t="n"/>
      <c r="H1239" s="5" t="n"/>
    </row>
    <row r="1240">
      <c r="A1240" s="5" t="n"/>
      <c r="B1240" s="5" t="n"/>
      <c r="C1240" s="5" t="n"/>
      <c r="D1240" s="5" t="n"/>
      <c r="E1240" s="8" t="n"/>
      <c r="F1240" s="5" t="n"/>
      <c r="G1240" s="5" t="n"/>
      <c r="H1240" s="5" t="n"/>
    </row>
    <row r="1241">
      <c r="A1241" s="5" t="n"/>
      <c r="B1241" s="5" t="n"/>
      <c r="C1241" s="5" t="n"/>
      <c r="D1241" s="5" t="n"/>
      <c r="E1241" s="8" t="n"/>
      <c r="F1241" s="5" t="n"/>
      <c r="G1241" s="5" t="n"/>
      <c r="H1241" s="5" t="n"/>
    </row>
    <row r="1242">
      <c r="A1242" s="5" t="n"/>
      <c r="B1242" s="5" t="n"/>
      <c r="C1242" s="5" t="n"/>
      <c r="D1242" s="5" t="n"/>
      <c r="E1242" s="8" t="n"/>
      <c r="F1242" s="5" t="n"/>
      <c r="G1242" s="5" t="n"/>
      <c r="H1242" s="5" t="n"/>
    </row>
    <row r="1243">
      <c r="A1243" s="5" t="n"/>
      <c r="B1243" s="5" t="n"/>
      <c r="C1243" s="5" t="n"/>
      <c r="D1243" s="5" t="n"/>
      <c r="E1243" s="8" t="n"/>
      <c r="F1243" s="5" t="n"/>
      <c r="G1243" s="5" t="n"/>
      <c r="H1243" s="5" t="n"/>
    </row>
    <row r="1244">
      <c r="A1244" s="5" t="n"/>
      <c r="B1244" s="5" t="n"/>
      <c r="C1244" s="5" t="n"/>
      <c r="D1244" s="5" t="n"/>
      <c r="E1244" s="8" t="n"/>
      <c r="F1244" s="5" t="n"/>
      <c r="G1244" s="5" t="n"/>
      <c r="H1244" s="5" t="n"/>
    </row>
    <row r="1245">
      <c r="A1245" s="5" t="n"/>
      <c r="B1245" s="5" t="n"/>
      <c r="C1245" s="5" t="n"/>
      <c r="D1245" s="5" t="n"/>
      <c r="E1245" s="8" t="n"/>
      <c r="F1245" s="5" t="n"/>
      <c r="G1245" s="5" t="n"/>
      <c r="H1245" s="5" t="n"/>
    </row>
    <row r="1246">
      <c r="A1246" s="5" t="n"/>
      <c r="B1246" s="5" t="n"/>
      <c r="C1246" s="5" t="n"/>
      <c r="D1246" s="5" t="n"/>
      <c r="E1246" s="8" t="n"/>
      <c r="F1246" s="5" t="n"/>
      <c r="G1246" s="5" t="n"/>
      <c r="H1246" s="5" t="n"/>
    </row>
    <row r="1247">
      <c r="A1247" s="5" t="n"/>
      <c r="B1247" s="5" t="n"/>
      <c r="C1247" s="5" t="n"/>
      <c r="D1247" s="5" t="n"/>
      <c r="E1247" s="8" t="n"/>
      <c r="F1247" s="5" t="n"/>
      <c r="G1247" s="5" t="n"/>
      <c r="H1247" s="5" t="n"/>
    </row>
    <row r="1248">
      <c r="A1248" s="5" t="n"/>
      <c r="B1248" s="5" t="n"/>
      <c r="C1248" s="5" t="n"/>
      <c r="D1248" s="5" t="n"/>
      <c r="E1248" s="8" t="n"/>
      <c r="F1248" s="5" t="n"/>
      <c r="G1248" s="5" t="n"/>
      <c r="H1248" s="5" t="n"/>
    </row>
    <row r="1249">
      <c r="A1249" s="5" t="n"/>
      <c r="B1249" s="5" t="n"/>
      <c r="C1249" s="5" t="n"/>
      <c r="D1249" s="5" t="n"/>
      <c r="E1249" s="8" t="n"/>
      <c r="F1249" s="5" t="n"/>
      <c r="G1249" s="5" t="n"/>
      <c r="H1249" s="5" t="n"/>
    </row>
    <row r="1250">
      <c r="A1250" s="5" t="n"/>
      <c r="B1250" s="5" t="n"/>
      <c r="C1250" s="5" t="n"/>
      <c r="D1250" s="5" t="n"/>
      <c r="E1250" s="8" t="n"/>
      <c r="F1250" s="5" t="n"/>
      <c r="G1250" s="5" t="n"/>
      <c r="H1250" s="5" t="n"/>
    </row>
    <row r="1251">
      <c r="A1251" s="5" t="n"/>
      <c r="B1251" s="5" t="n"/>
      <c r="C1251" s="5" t="n"/>
      <c r="D1251" s="5" t="n"/>
      <c r="E1251" s="8" t="n"/>
      <c r="F1251" s="5" t="n"/>
      <c r="G1251" s="5" t="n"/>
      <c r="H1251" s="5" t="n"/>
    </row>
    <row r="1252">
      <c r="A1252" s="5" t="n"/>
      <c r="B1252" s="5" t="n"/>
      <c r="C1252" s="5" t="n"/>
      <c r="D1252" s="5" t="n"/>
      <c r="E1252" s="8" t="n"/>
      <c r="F1252" s="5" t="n"/>
      <c r="G1252" s="5" t="n"/>
      <c r="H1252" s="5" t="n"/>
    </row>
    <row r="1253">
      <c r="A1253" s="5" t="n"/>
      <c r="B1253" s="5" t="n"/>
      <c r="C1253" s="5" t="n"/>
      <c r="D1253" s="5" t="n"/>
      <c r="E1253" s="8" t="n"/>
      <c r="F1253" s="5" t="n"/>
      <c r="G1253" s="5" t="n"/>
      <c r="H1253" s="5" t="n"/>
    </row>
    <row r="1254">
      <c r="A1254" s="5" t="n"/>
      <c r="B1254" s="5" t="n"/>
      <c r="C1254" s="5" t="n"/>
      <c r="D1254" s="5" t="n"/>
      <c r="E1254" s="8" t="n"/>
      <c r="F1254" s="5" t="n"/>
      <c r="G1254" s="5" t="n"/>
      <c r="H1254" s="5" t="n"/>
    </row>
    <row r="1255">
      <c r="A1255" s="5" t="n"/>
      <c r="B1255" s="5" t="n"/>
      <c r="C1255" s="5" t="n"/>
      <c r="D1255" s="5" t="n"/>
      <c r="E1255" s="8" t="n"/>
      <c r="F1255" s="5" t="n"/>
      <c r="G1255" s="5" t="n"/>
      <c r="H1255" s="5" t="n"/>
    </row>
    <row r="1256">
      <c r="A1256" s="5" t="n"/>
      <c r="B1256" s="5" t="n"/>
      <c r="C1256" s="5" t="n"/>
      <c r="D1256" s="5" t="n"/>
      <c r="E1256" s="8" t="n"/>
      <c r="F1256" s="5" t="n"/>
      <c r="G1256" s="5" t="n"/>
      <c r="H1256" s="5" t="n"/>
    </row>
    <row r="1257">
      <c r="A1257" s="5" t="n"/>
      <c r="B1257" s="5" t="n"/>
      <c r="C1257" s="5" t="n"/>
      <c r="D1257" s="5" t="n"/>
      <c r="E1257" s="8" t="n"/>
      <c r="F1257" s="5" t="n"/>
      <c r="G1257" s="5" t="n"/>
      <c r="H1257" s="5" t="n"/>
    </row>
    <row r="1258">
      <c r="A1258" s="5" t="n"/>
      <c r="B1258" s="5" t="n"/>
      <c r="C1258" s="5" t="n"/>
      <c r="D1258" s="5" t="n"/>
      <c r="E1258" s="8" t="n"/>
      <c r="F1258" s="5" t="n"/>
      <c r="G1258" s="5" t="n"/>
      <c r="H1258" s="5" t="n"/>
    </row>
    <row r="1259">
      <c r="A1259" s="5" t="n"/>
      <c r="B1259" s="5" t="n"/>
      <c r="C1259" s="5" t="n"/>
      <c r="D1259" s="5" t="n"/>
      <c r="E1259" s="8" t="n"/>
      <c r="F1259" s="5" t="n"/>
      <c r="G1259" s="5" t="n"/>
      <c r="H1259" s="5" t="n"/>
    </row>
    <row r="1260">
      <c r="A1260" s="5" t="n"/>
      <c r="B1260" s="5" t="n"/>
      <c r="C1260" s="5" t="n"/>
      <c r="D1260" s="5" t="n"/>
      <c r="E1260" s="8" t="n"/>
      <c r="F1260" s="5" t="n"/>
      <c r="G1260" s="5" t="n"/>
      <c r="H1260" s="5" t="n"/>
    </row>
    <row r="1261">
      <c r="A1261" s="5" t="n"/>
      <c r="B1261" s="5" t="n"/>
      <c r="C1261" s="5" t="n"/>
      <c r="D1261" s="5" t="n"/>
      <c r="E1261" s="8" t="n"/>
      <c r="F1261" s="5" t="n"/>
      <c r="G1261" s="5" t="n"/>
      <c r="H1261" s="5" t="n"/>
    </row>
    <row r="1262">
      <c r="A1262" s="5" t="n"/>
      <c r="B1262" s="5" t="n"/>
      <c r="C1262" s="5" t="n"/>
      <c r="D1262" s="5" t="n"/>
      <c r="E1262" s="8" t="n"/>
      <c r="F1262" s="5" t="n"/>
      <c r="G1262" s="5" t="n"/>
      <c r="H1262" s="5" t="n"/>
    </row>
    <row r="1263">
      <c r="A1263" s="5" t="n"/>
      <c r="B1263" s="5" t="n"/>
      <c r="C1263" s="5" t="n"/>
      <c r="D1263" s="5" t="n"/>
      <c r="E1263" s="8" t="n"/>
      <c r="F1263" s="5" t="n"/>
      <c r="G1263" s="5" t="n"/>
      <c r="H1263" s="5" t="n"/>
    </row>
    <row r="1264">
      <c r="A1264" s="5" t="n"/>
      <c r="B1264" s="5" t="n"/>
      <c r="C1264" s="5" t="n"/>
      <c r="D1264" s="5" t="n"/>
      <c r="E1264" s="8" t="n"/>
      <c r="F1264" s="5" t="n"/>
      <c r="G1264" s="5" t="n"/>
      <c r="H1264" s="5" t="n"/>
    </row>
    <row r="1265">
      <c r="A1265" s="5" t="n"/>
      <c r="B1265" s="5" t="n"/>
      <c r="C1265" s="5" t="n"/>
      <c r="D1265" s="5" t="n"/>
      <c r="E1265" s="8" t="n"/>
      <c r="F1265" s="5" t="n"/>
      <c r="G1265" s="5" t="n"/>
      <c r="H1265" s="5" t="n"/>
    </row>
    <row r="1266">
      <c r="A1266" s="5" t="n"/>
      <c r="B1266" s="5" t="n"/>
      <c r="C1266" s="5" t="n"/>
      <c r="D1266" s="5" t="n"/>
      <c r="E1266" s="8" t="n"/>
      <c r="F1266" s="5" t="n"/>
      <c r="G1266" s="5" t="n"/>
      <c r="H1266" s="5" t="n"/>
    </row>
    <row r="1267">
      <c r="A1267" s="5" t="n"/>
      <c r="B1267" s="5" t="n"/>
      <c r="C1267" s="5" t="n"/>
      <c r="D1267" s="5" t="n"/>
      <c r="E1267" s="8" t="n"/>
      <c r="F1267" s="5" t="n"/>
      <c r="G1267" s="5" t="n"/>
      <c r="H1267" s="5" t="n"/>
    </row>
    <row r="1268">
      <c r="A1268" s="5" t="n"/>
      <c r="B1268" s="5" t="n"/>
      <c r="C1268" s="5" t="n"/>
      <c r="D1268" s="5" t="n"/>
      <c r="E1268" s="8" t="n"/>
      <c r="F1268" s="5" t="n"/>
      <c r="G1268" s="5" t="n"/>
      <c r="H1268" s="5" t="n"/>
    </row>
    <row r="1269">
      <c r="A1269" s="5" t="n"/>
      <c r="B1269" s="5" t="n"/>
      <c r="C1269" s="5" t="n"/>
      <c r="D1269" s="5" t="n"/>
      <c r="E1269" s="8" t="n"/>
      <c r="F1269" s="5" t="n"/>
      <c r="G1269" s="5" t="n"/>
      <c r="H1269" s="5" t="n"/>
    </row>
    <row r="1270">
      <c r="A1270" s="5" t="n"/>
      <c r="B1270" s="5" t="n"/>
      <c r="C1270" s="5" t="n"/>
      <c r="D1270" s="5" t="n"/>
      <c r="E1270" s="8" t="n"/>
      <c r="F1270" s="5" t="n"/>
      <c r="G1270" s="5" t="n"/>
      <c r="H1270" s="5" t="n"/>
    </row>
    <row r="1271">
      <c r="A1271" s="5" t="n"/>
      <c r="B1271" s="5" t="n"/>
      <c r="C1271" s="5" t="n"/>
      <c r="D1271" s="5" t="n"/>
      <c r="E1271" s="8" t="n"/>
      <c r="F1271" s="5" t="n"/>
      <c r="G1271" s="5" t="n"/>
      <c r="H1271" s="5" t="n"/>
    </row>
    <row r="1272">
      <c r="A1272" s="5" t="n"/>
      <c r="B1272" s="5" t="n"/>
      <c r="C1272" s="5" t="n"/>
      <c r="D1272" s="5" t="n"/>
      <c r="E1272" s="8" t="n"/>
      <c r="F1272" s="5" t="n"/>
      <c r="G1272" s="5" t="n"/>
      <c r="H1272" s="5" t="n"/>
    </row>
    <row r="1273">
      <c r="A1273" s="5" t="n"/>
      <c r="B1273" s="5" t="n"/>
      <c r="C1273" s="5" t="n"/>
      <c r="D1273" s="5" t="n"/>
      <c r="E1273" s="8" t="n"/>
      <c r="F1273" s="5" t="n"/>
      <c r="G1273" s="5" t="n"/>
      <c r="H1273" s="5" t="n"/>
    </row>
    <row r="1274">
      <c r="A1274" s="5" t="n"/>
      <c r="B1274" s="5" t="n"/>
      <c r="C1274" s="5" t="n"/>
      <c r="D1274" s="5" t="n"/>
      <c r="E1274" s="8" t="n"/>
      <c r="F1274" s="5" t="n"/>
      <c r="G1274" s="5" t="n"/>
      <c r="H1274" s="5" t="n"/>
    </row>
    <row r="1275">
      <c r="A1275" s="5" t="n"/>
      <c r="B1275" s="5" t="n"/>
      <c r="C1275" s="5" t="n"/>
      <c r="D1275" s="5" t="n"/>
      <c r="E1275" s="8" t="n"/>
      <c r="F1275" s="5" t="n"/>
      <c r="G1275" s="5" t="n"/>
      <c r="H1275" s="5" t="n"/>
    </row>
    <row r="1276">
      <c r="A1276" s="5" t="n"/>
      <c r="B1276" s="5" t="n"/>
      <c r="C1276" s="5" t="n"/>
      <c r="D1276" s="5" t="n"/>
      <c r="E1276" s="8" t="n"/>
      <c r="F1276" s="5" t="n"/>
      <c r="G1276" s="5" t="n"/>
      <c r="H1276" s="5" t="n"/>
    </row>
    <row r="1277">
      <c r="A1277" s="5" t="n"/>
      <c r="B1277" s="5" t="n"/>
      <c r="C1277" s="5" t="n"/>
      <c r="D1277" s="5" t="n"/>
      <c r="E1277" s="8" t="n"/>
      <c r="F1277" s="5" t="n"/>
      <c r="G1277" s="5" t="n"/>
      <c r="H1277" s="5" t="n"/>
    </row>
    <row r="1278">
      <c r="A1278" s="5" t="n"/>
      <c r="B1278" s="5" t="n"/>
      <c r="C1278" s="5" t="n"/>
      <c r="D1278" s="5" t="n"/>
      <c r="E1278" s="8" t="n"/>
      <c r="F1278" s="5" t="n"/>
      <c r="G1278" s="5" t="n"/>
      <c r="H1278" s="5" t="n"/>
    </row>
    <row r="1279">
      <c r="A1279" s="5" t="n"/>
      <c r="B1279" s="5" t="n"/>
      <c r="C1279" s="5" t="n"/>
      <c r="D1279" s="5" t="n"/>
      <c r="E1279" s="8" t="n"/>
      <c r="F1279" s="5" t="n"/>
      <c r="G1279" s="5" t="n"/>
      <c r="H1279" s="5" t="n"/>
    </row>
    <row r="1280">
      <c r="A1280" s="5" t="n"/>
      <c r="B1280" s="5" t="n"/>
      <c r="C1280" s="5" t="n"/>
      <c r="D1280" s="5" t="n"/>
      <c r="E1280" s="8" t="n"/>
      <c r="F1280" s="5" t="n"/>
      <c r="G1280" s="5" t="n"/>
      <c r="H1280" s="5" t="n"/>
    </row>
    <row r="1281">
      <c r="A1281" s="5" t="n"/>
      <c r="B1281" s="5" t="n"/>
      <c r="C1281" s="5" t="n"/>
      <c r="D1281" s="5" t="n"/>
      <c r="E1281" s="8" t="n"/>
      <c r="F1281" s="5" t="n"/>
      <c r="G1281" s="5" t="n"/>
      <c r="H1281" s="5" t="n"/>
    </row>
    <row r="1282">
      <c r="A1282" s="5" t="n"/>
      <c r="B1282" s="5" t="n"/>
      <c r="C1282" s="5" t="n"/>
      <c r="D1282" s="5" t="n"/>
      <c r="E1282" s="8" t="n"/>
      <c r="F1282" s="5" t="n"/>
      <c r="G1282" s="5" t="n"/>
      <c r="H1282" s="5" t="n"/>
    </row>
    <row r="1283">
      <c r="A1283" s="5" t="n"/>
      <c r="B1283" s="5" t="n"/>
      <c r="C1283" s="5" t="n"/>
      <c r="D1283" s="5" t="n"/>
      <c r="E1283" s="8" t="n"/>
      <c r="F1283" s="5" t="n"/>
      <c r="G1283" s="5" t="n"/>
      <c r="H1283" s="5" t="n"/>
    </row>
    <row r="1284">
      <c r="A1284" s="5" t="n"/>
      <c r="B1284" s="5" t="n"/>
      <c r="C1284" s="5" t="n"/>
      <c r="D1284" s="5" t="n"/>
      <c r="E1284" s="8" t="n"/>
      <c r="F1284" s="5" t="n"/>
      <c r="G1284" s="5" t="n"/>
      <c r="H1284" s="5" t="n"/>
    </row>
    <row r="1285">
      <c r="A1285" s="5" t="n"/>
      <c r="B1285" s="5" t="n"/>
      <c r="C1285" s="5" t="n"/>
      <c r="D1285" s="5" t="n"/>
      <c r="E1285" s="8" t="n"/>
      <c r="F1285" s="5" t="n"/>
      <c r="G1285" s="5" t="n"/>
      <c r="H1285" s="5" t="n"/>
    </row>
    <row r="1286">
      <c r="A1286" s="5" t="n"/>
      <c r="B1286" s="5" t="n"/>
      <c r="C1286" s="5" t="n"/>
      <c r="D1286" s="5" t="n"/>
      <c r="E1286" s="8" t="n"/>
      <c r="F1286" s="5" t="n"/>
      <c r="G1286" s="5" t="n"/>
      <c r="H1286" s="5" t="n"/>
    </row>
    <row r="1287">
      <c r="A1287" s="5" t="n"/>
      <c r="B1287" s="5" t="n"/>
      <c r="C1287" s="5" t="n"/>
      <c r="D1287" s="5" t="n"/>
      <c r="E1287" s="8" t="n"/>
      <c r="F1287" s="5" t="n"/>
      <c r="G1287" s="5" t="n"/>
      <c r="H1287" s="5" t="n"/>
    </row>
    <row r="1288">
      <c r="A1288" s="5" t="n"/>
      <c r="B1288" s="5" t="n"/>
      <c r="C1288" s="5" t="n"/>
      <c r="D1288" s="5" t="n"/>
      <c r="E1288" s="8" t="n"/>
      <c r="F1288" s="5" t="n"/>
      <c r="G1288" s="5" t="n"/>
      <c r="H1288" s="5" t="n"/>
    </row>
    <row r="1289">
      <c r="A1289" s="5" t="n"/>
      <c r="B1289" s="5" t="n"/>
      <c r="C1289" s="5" t="n"/>
      <c r="D1289" s="5" t="n"/>
      <c r="E1289" s="8" t="n"/>
      <c r="F1289" s="5" t="n"/>
      <c r="G1289" s="5" t="n"/>
      <c r="H1289" s="5" t="n"/>
    </row>
    <row r="1290">
      <c r="A1290" s="5" t="n"/>
      <c r="B1290" s="5" t="n"/>
      <c r="C1290" s="5" t="n"/>
      <c r="D1290" s="5" t="n"/>
      <c r="E1290" s="8" t="n"/>
      <c r="F1290" s="5" t="n"/>
      <c r="G1290" s="5" t="n"/>
      <c r="H1290" s="5" t="n"/>
    </row>
    <row r="1291">
      <c r="A1291" s="5" t="n"/>
      <c r="B1291" s="5" t="n"/>
      <c r="C1291" s="5" t="n"/>
      <c r="D1291" s="5" t="n"/>
      <c r="E1291" s="8" t="n"/>
      <c r="F1291" s="5" t="n"/>
      <c r="G1291" s="5" t="n"/>
      <c r="H1291" s="5" t="n"/>
    </row>
    <row r="1292">
      <c r="A1292" s="5" t="n"/>
      <c r="B1292" s="5" t="n"/>
      <c r="C1292" s="5" t="n"/>
      <c r="D1292" s="5" t="n"/>
      <c r="E1292" s="8" t="n"/>
      <c r="F1292" s="5" t="n"/>
      <c r="G1292" s="5" t="n"/>
      <c r="H1292" s="5" t="n"/>
    </row>
    <row r="1293">
      <c r="A1293" s="5" t="n"/>
      <c r="B1293" s="5" t="n"/>
      <c r="C1293" s="5" t="n"/>
      <c r="D1293" s="5" t="n"/>
      <c r="E1293" s="8" t="n"/>
      <c r="F1293" s="5" t="n"/>
      <c r="G1293" s="5" t="n"/>
      <c r="H1293" s="5" t="n"/>
    </row>
    <row r="1294">
      <c r="A1294" s="5" t="n"/>
      <c r="B1294" s="5" t="n"/>
      <c r="C1294" s="5" t="n"/>
      <c r="D1294" s="5" t="n"/>
      <c r="E1294" s="8" t="n"/>
      <c r="F1294" s="5" t="n"/>
      <c r="G1294" s="5" t="n"/>
      <c r="H1294" s="5" t="n"/>
    </row>
    <row r="1295">
      <c r="A1295" s="5" t="n"/>
      <c r="B1295" s="5" t="n"/>
      <c r="C1295" s="5" t="n"/>
      <c r="D1295" s="5" t="n"/>
      <c r="E1295" s="8" t="n"/>
      <c r="F1295" s="5" t="n"/>
      <c r="G1295" s="5" t="n"/>
      <c r="H1295" s="5" t="n"/>
    </row>
    <row r="1296">
      <c r="A1296" s="5" t="n"/>
      <c r="B1296" s="5" t="n"/>
      <c r="C1296" s="5" t="n"/>
      <c r="D1296" s="5" t="n"/>
      <c r="E1296" s="8" t="n"/>
      <c r="F1296" s="5" t="n"/>
      <c r="G1296" s="5" t="n"/>
      <c r="H1296" s="5" t="n"/>
    </row>
    <row r="1297">
      <c r="A1297" s="5" t="n"/>
      <c r="B1297" s="5" t="n"/>
      <c r="C1297" s="5" t="n"/>
      <c r="D1297" s="5" t="n"/>
      <c r="E1297" s="8" t="n"/>
      <c r="F1297" s="5" t="n"/>
      <c r="G1297" s="5" t="n"/>
      <c r="H1297" s="5" t="n"/>
    </row>
    <row r="1298">
      <c r="A1298" s="5" t="n"/>
      <c r="B1298" s="5" t="n"/>
      <c r="C1298" s="5" t="n"/>
      <c r="D1298" s="5" t="n"/>
      <c r="E1298" s="8" t="n"/>
      <c r="F1298" s="5" t="n"/>
      <c r="G1298" s="5" t="n"/>
      <c r="H1298" s="5" t="n"/>
    </row>
    <row r="1299">
      <c r="A1299" s="5" t="n"/>
      <c r="B1299" s="5" t="n"/>
      <c r="C1299" s="5" t="n"/>
      <c r="D1299" s="5" t="n"/>
      <c r="E1299" s="8" t="n"/>
      <c r="F1299" s="5" t="n"/>
      <c r="G1299" s="5" t="n"/>
      <c r="H1299" s="5" t="n"/>
    </row>
    <row r="1300">
      <c r="A1300" s="5" t="n"/>
      <c r="B1300" s="5" t="n"/>
      <c r="C1300" s="5" t="n"/>
      <c r="D1300" s="5" t="n"/>
      <c r="E1300" s="8" t="n"/>
      <c r="F1300" s="5" t="n"/>
      <c r="G1300" s="5" t="n"/>
      <c r="H1300" s="5" t="n"/>
    </row>
    <row r="1301">
      <c r="A1301" s="5" t="n"/>
      <c r="B1301" s="5" t="n"/>
      <c r="C1301" s="5" t="n"/>
      <c r="D1301" s="5" t="n"/>
      <c r="E1301" s="8" t="n"/>
      <c r="F1301" s="5" t="n"/>
      <c r="G1301" s="5" t="n"/>
      <c r="H1301" s="5" t="n"/>
    </row>
    <row r="1302">
      <c r="A1302" s="5" t="n"/>
      <c r="B1302" s="5" t="n"/>
      <c r="C1302" s="5" t="n"/>
      <c r="D1302" s="5" t="n"/>
      <c r="E1302" s="8" t="n"/>
      <c r="F1302" s="5" t="n"/>
      <c r="G1302" s="5" t="n"/>
      <c r="H1302" s="5" t="n"/>
    </row>
    <row r="1303">
      <c r="A1303" s="5" t="n"/>
      <c r="B1303" s="5" t="n"/>
      <c r="C1303" s="5" t="n"/>
      <c r="D1303" s="5" t="n"/>
      <c r="E1303" s="8" t="n"/>
      <c r="F1303" s="5" t="n"/>
      <c r="G1303" s="5" t="n"/>
      <c r="H1303" s="5" t="n"/>
    </row>
    <row r="1304">
      <c r="A1304" s="5" t="n"/>
      <c r="B1304" s="5" t="n"/>
      <c r="C1304" s="5" t="n"/>
      <c r="D1304" s="5" t="n"/>
      <c r="E1304" s="8" t="n"/>
      <c r="F1304" s="5" t="n"/>
      <c r="G1304" s="5" t="n"/>
      <c r="H1304" s="5" t="n"/>
    </row>
    <row r="1305">
      <c r="A1305" s="5" t="n"/>
      <c r="B1305" s="5" t="n"/>
      <c r="C1305" s="5" t="n"/>
      <c r="D1305" s="5" t="n"/>
      <c r="E1305" s="8" t="n"/>
      <c r="F1305" s="5" t="n"/>
      <c r="G1305" s="5" t="n"/>
      <c r="H1305" s="5" t="n"/>
    </row>
    <row r="1306">
      <c r="A1306" s="5" t="n"/>
      <c r="B1306" s="5" t="n"/>
      <c r="C1306" s="5" t="n"/>
      <c r="D1306" s="5" t="n"/>
      <c r="E1306" s="8" t="n"/>
      <c r="F1306" s="5" t="n"/>
      <c r="G1306" s="5" t="n"/>
      <c r="H1306" s="5" t="n"/>
    </row>
    <row r="1307">
      <c r="A1307" s="5" t="n"/>
      <c r="B1307" s="5" t="n"/>
      <c r="C1307" s="5" t="n"/>
      <c r="D1307" s="5" t="n"/>
      <c r="E1307" s="8" t="n"/>
      <c r="F1307" s="5" t="n"/>
      <c r="G1307" s="5" t="n"/>
      <c r="H1307" s="5" t="n"/>
    </row>
    <row r="1308">
      <c r="A1308" s="5" t="n"/>
      <c r="B1308" s="5" t="n"/>
      <c r="C1308" s="5" t="n"/>
      <c r="D1308" s="5" t="n"/>
      <c r="E1308" s="8" t="n"/>
      <c r="F1308" s="5" t="n"/>
      <c r="G1308" s="5" t="n"/>
      <c r="H1308" s="5" t="n"/>
    </row>
    <row r="1309">
      <c r="A1309" s="5" t="n"/>
      <c r="B1309" s="5" t="n"/>
      <c r="C1309" s="5" t="n"/>
      <c r="D1309" s="5" t="n"/>
      <c r="E1309" s="8" t="n"/>
      <c r="F1309" s="5" t="n"/>
      <c r="G1309" s="5" t="n"/>
      <c r="H1309" s="5" t="n"/>
    </row>
    <row r="1310">
      <c r="A1310" s="5" t="n"/>
      <c r="B1310" s="5" t="n"/>
      <c r="C1310" s="5" t="n"/>
      <c r="D1310" s="5" t="n"/>
      <c r="E1310" s="8" t="n"/>
      <c r="F1310" s="5" t="n"/>
      <c r="G1310" s="5" t="n"/>
      <c r="H1310" s="5" t="n"/>
    </row>
    <row r="1311">
      <c r="A1311" s="5" t="n"/>
      <c r="B1311" s="5" t="n"/>
      <c r="C1311" s="5" t="n"/>
      <c r="D1311" s="5" t="n"/>
      <c r="E1311" s="8" t="n"/>
      <c r="F1311" s="5" t="n"/>
      <c r="G1311" s="5" t="n"/>
      <c r="H1311" s="5" t="n"/>
    </row>
    <row r="1312">
      <c r="A1312" s="5" t="n"/>
      <c r="B1312" s="5" t="n"/>
      <c r="C1312" s="5" t="n"/>
      <c r="D1312" s="5" t="n"/>
      <c r="E1312" s="8" t="n"/>
      <c r="F1312" s="5" t="n"/>
      <c r="G1312" s="5" t="n"/>
      <c r="H1312" s="5" t="n"/>
    </row>
    <row r="1313">
      <c r="A1313" s="5" t="n"/>
      <c r="B1313" s="5" t="n"/>
      <c r="C1313" s="5" t="n"/>
      <c r="D1313" s="5" t="n"/>
      <c r="E1313" s="8" t="n"/>
      <c r="F1313" s="5" t="n"/>
      <c r="G1313" s="5" t="n"/>
      <c r="H1313" s="5" t="n"/>
    </row>
    <row r="1314">
      <c r="A1314" s="5" t="n"/>
      <c r="B1314" s="5" t="n"/>
      <c r="C1314" s="5" t="n"/>
      <c r="D1314" s="5" t="n"/>
      <c r="E1314" s="8" t="n"/>
      <c r="F1314" s="5" t="n"/>
      <c r="G1314" s="5" t="n"/>
      <c r="H1314" s="5" t="n"/>
    </row>
    <row r="1315">
      <c r="A1315" s="5" t="n"/>
      <c r="B1315" s="5" t="n"/>
      <c r="C1315" s="5" t="n"/>
      <c r="D1315" s="5" t="n"/>
      <c r="E1315" s="8" t="n"/>
      <c r="F1315" s="5" t="n"/>
      <c r="G1315" s="5" t="n"/>
      <c r="H1315" s="5" t="n"/>
    </row>
    <row r="1316">
      <c r="A1316" s="5" t="n"/>
      <c r="B1316" s="5" t="n"/>
      <c r="C1316" s="5" t="n"/>
      <c r="D1316" s="5" t="n"/>
      <c r="E1316" s="8" t="n"/>
      <c r="F1316" s="5" t="n"/>
      <c r="G1316" s="5" t="n"/>
      <c r="H1316" s="5" t="n"/>
    </row>
    <row r="1317">
      <c r="A1317" s="5" t="n"/>
      <c r="B1317" s="5" t="n"/>
      <c r="C1317" s="5" t="n"/>
      <c r="D1317" s="5" t="n"/>
      <c r="E1317" s="8" t="n"/>
      <c r="F1317" s="5" t="n"/>
      <c r="G1317" s="5" t="n"/>
      <c r="H1317" s="5" t="n"/>
    </row>
    <row r="1318">
      <c r="A1318" s="5" t="n"/>
      <c r="B1318" s="5" t="n"/>
      <c r="C1318" s="5" t="n"/>
      <c r="D1318" s="5" t="n"/>
      <c r="E1318" s="8" t="n"/>
      <c r="F1318" s="5" t="n"/>
      <c r="G1318" s="5" t="n"/>
      <c r="H1318" s="5" t="n"/>
    </row>
    <row r="1319">
      <c r="A1319" s="5" t="n"/>
      <c r="B1319" s="5" t="n"/>
      <c r="C1319" s="5" t="n"/>
      <c r="D1319" s="5" t="n"/>
      <c r="E1319" s="8" t="n"/>
      <c r="F1319" s="5" t="n"/>
      <c r="G1319" s="5" t="n"/>
      <c r="H1319" s="5" t="n"/>
    </row>
    <row r="1320">
      <c r="A1320" s="5" t="n"/>
      <c r="B1320" s="5" t="n"/>
      <c r="C1320" s="5" t="n"/>
      <c r="D1320" s="5" t="n"/>
      <c r="E1320" s="8" t="n"/>
      <c r="F1320" s="5" t="n"/>
      <c r="G1320" s="5" t="n"/>
      <c r="H1320" s="5" t="n"/>
    </row>
    <row r="1321">
      <c r="A1321" s="5" t="n"/>
      <c r="B1321" s="5" t="n"/>
      <c r="C1321" s="5" t="n"/>
      <c r="D1321" s="5" t="n"/>
      <c r="E1321" s="8" t="n"/>
      <c r="F1321" s="5" t="n"/>
      <c r="G1321" s="5" t="n"/>
      <c r="H1321" s="5" t="n"/>
    </row>
    <row r="1322">
      <c r="A1322" s="5" t="n"/>
      <c r="B1322" s="5" t="n"/>
      <c r="C1322" s="5" t="n"/>
      <c r="D1322" s="5" t="n"/>
      <c r="E1322" s="8" t="n"/>
      <c r="F1322" s="5" t="n"/>
      <c r="G1322" s="5" t="n"/>
      <c r="H1322" s="5" t="n"/>
    </row>
    <row r="1323">
      <c r="A1323" s="5" t="n"/>
      <c r="B1323" s="5" t="n"/>
      <c r="C1323" s="5" t="n"/>
      <c r="D1323" s="5" t="n"/>
      <c r="E1323" s="8" t="n"/>
      <c r="F1323" s="5" t="n"/>
      <c r="G1323" s="5" t="n"/>
      <c r="H1323" s="5" t="n"/>
    </row>
    <row r="1324">
      <c r="A1324" s="5" t="n"/>
      <c r="B1324" s="5" t="n"/>
      <c r="C1324" s="5" t="n"/>
      <c r="D1324" s="5" t="n"/>
      <c r="E1324" s="8" t="n"/>
      <c r="F1324" s="5" t="n"/>
      <c r="G1324" s="5" t="n"/>
      <c r="H1324" s="5" t="n"/>
    </row>
    <row r="1325">
      <c r="A1325" s="5" t="n"/>
      <c r="B1325" s="5" t="n"/>
      <c r="C1325" s="5" t="n"/>
      <c r="D1325" s="5" t="n"/>
      <c r="E1325" s="8" t="n"/>
      <c r="F1325" s="5" t="n"/>
      <c r="G1325" s="5" t="n"/>
      <c r="H1325" s="5" t="n"/>
    </row>
    <row r="1326">
      <c r="A1326" s="5" t="n"/>
      <c r="B1326" s="5" t="n"/>
      <c r="C1326" s="5" t="n"/>
      <c r="D1326" s="5" t="n"/>
      <c r="E1326" s="8" t="n"/>
      <c r="F1326" s="5" t="n"/>
      <c r="G1326" s="5" t="n"/>
      <c r="H1326" s="5" t="n"/>
    </row>
    <row r="1327">
      <c r="A1327" s="5" t="n"/>
      <c r="B1327" s="5" t="n"/>
      <c r="C1327" s="5" t="n"/>
      <c r="D1327" s="5" t="n"/>
      <c r="E1327" s="8" t="n"/>
      <c r="F1327" s="5" t="n"/>
      <c r="G1327" s="5" t="n"/>
      <c r="H1327" s="5" t="n"/>
    </row>
    <row r="1328">
      <c r="A1328" s="5" t="n"/>
      <c r="B1328" s="5" t="n"/>
      <c r="C1328" s="5" t="n"/>
      <c r="D1328" s="5" t="n"/>
      <c r="E1328" s="8" t="n"/>
      <c r="F1328" s="5" t="n"/>
      <c r="G1328" s="5" t="n"/>
      <c r="H1328" s="5" t="n"/>
    </row>
    <row r="1329">
      <c r="A1329" s="5" t="n"/>
      <c r="B1329" s="5" t="n"/>
      <c r="C1329" s="5" t="n"/>
      <c r="D1329" s="5" t="n"/>
      <c r="E1329" s="8" t="n"/>
      <c r="F1329" s="5" t="n"/>
      <c r="G1329" s="5" t="n"/>
      <c r="H1329" s="5" t="n"/>
    </row>
    <row r="1330">
      <c r="A1330" s="5" t="n"/>
      <c r="B1330" s="5" t="n"/>
      <c r="C1330" s="5" t="n"/>
      <c r="D1330" s="5" t="n"/>
      <c r="E1330" s="8" t="n"/>
      <c r="F1330" s="5" t="n"/>
      <c r="G1330" s="5" t="n"/>
      <c r="H1330" s="5" t="n"/>
    </row>
    <row r="1331">
      <c r="A1331" s="5" t="n"/>
      <c r="B1331" s="5" t="n"/>
      <c r="C1331" s="5" t="n"/>
      <c r="D1331" s="5" t="n"/>
      <c r="E1331" s="8" t="n"/>
      <c r="F1331" s="5" t="n"/>
      <c r="G1331" s="5" t="n"/>
      <c r="H1331" s="5" t="n"/>
    </row>
    <row r="1332">
      <c r="A1332" s="5" t="n"/>
      <c r="B1332" s="5" t="n"/>
      <c r="C1332" s="5" t="n"/>
      <c r="D1332" s="5" t="n"/>
      <c r="E1332" s="8" t="n"/>
      <c r="F1332" s="5" t="n"/>
      <c r="G1332" s="5" t="n"/>
      <c r="H1332" s="5" t="n"/>
    </row>
    <row r="1333">
      <c r="A1333" s="5" t="n"/>
      <c r="B1333" s="5" t="n"/>
      <c r="C1333" s="5" t="n"/>
      <c r="D1333" s="5" t="n"/>
      <c r="E1333" s="8" t="n"/>
      <c r="F1333" s="5" t="n"/>
      <c r="G1333" s="5" t="n"/>
      <c r="H1333" s="5" t="n"/>
    </row>
    <row r="1334">
      <c r="A1334" s="5" t="n"/>
      <c r="B1334" s="5" t="n"/>
      <c r="C1334" s="5" t="n"/>
      <c r="D1334" s="5" t="n"/>
      <c r="E1334" s="8" t="n"/>
      <c r="F1334" s="5" t="n"/>
      <c r="G1334" s="5" t="n"/>
      <c r="H1334" s="5" t="n"/>
    </row>
    <row r="1335">
      <c r="A1335" s="5" t="n"/>
      <c r="B1335" s="5" t="n"/>
      <c r="C1335" s="5" t="n"/>
      <c r="D1335" s="5" t="n"/>
      <c r="E1335" s="8" t="n"/>
      <c r="F1335" s="5" t="n"/>
      <c r="G1335" s="5" t="n"/>
      <c r="H1335" s="5" t="n"/>
    </row>
    <row r="1336">
      <c r="A1336" s="5" t="n"/>
      <c r="B1336" s="5" t="n"/>
      <c r="C1336" s="5" t="n"/>
      <c r="D1336" s="5" t="n"/>
      <c r="E1336" s="8" t="n"/>
      <c r="F1336" s="5" t="n"/>
      <c r="G1336" s="5" t="n"/>
      <c r="H1336" s="5" t="n"/>
    </row>
    <row r="1337">
      <c r="A1337" s="5" t="n"/>
      <c r="B1337" s="5" t="n"/>
      <c r="C1337" s="5" t="n"/>
      <c r="D1337" s="5" t="n"/>
      <c r="E1337" s="8" t="n"/>
      <c r="F1337" s="5" t="n"/>
      <c r="G1337" s="5" t="n"/>
      <c r="H1337" s="5" t="n"/>
    </row>
    <row r="1338">
      <c r="A1338" s="5" t="n"/>
      <c r="B1338" s="5" t="n"/>
      <c r="C1338" s="5" t="n"/>
      <c r="D1338" s="5" t="n"/>
      <c r="E1338" s="8" t="n"/>
      <c r="F1338" s="5" t="n"/>
      <c r="G1338" s="5" t="n"/>
      <c r="H1338" s="5" t="n"/>
    </row>
    <row r="1339">
      <c r="A1339" s="5" t="n"/>
      <c r="B1339" s="5" t="n"/>
      <c r="C1339" s="5" t="n"/>
      <c r="D1339" s="5" t="n"/>
      <c r="E1339" s="8" t="n"/>
      <c r="F1339" s="5" t="n"/>
      <c r="G1339" s="5" t="n"/>
      <c r="H1339" s="5" t="n"/>
    </row>
    <row r="1340">
      <c r="A1340" s="5" t="n"/>
      <c r="B1340" s="5" t="n"/>
      <c r="C1340" s="5" t="n"/>
      <c r="D1340" s="5" t="n"/>
      <c r="E1340" s="8" t="n"/>
      <c r="F1340" s="5" t="n"/>
      <c r="G1340" s="5" t="n"/>
      <c r="H1340" s="5" t="n"/>
    </row>
    <row r="1341">
      <c r="A1341" s="5" t="n"/>
      <c r="B1341" s="5" t="n"/>
      <c r="C1341" s="5" t="n"/>
      <c r="D1341" s="5" t="n"/>
      <c r="E1341" s="8" t="n"/>
      <c r="F1341" s="5" t="n"/>
      <c r="G1341" s="5" t="n"/>
      <c r="H1341" s="5" t="n"/>
    </row>
    <row r="1342">
      <c r="A1342" s="5" t="n"/>
      <c r="B1342" s="5" t="n"/>
      <c r="C1342" s="5" t="n"/>
      <c r="D1342" s="5" t="n"/>
      <c r="E1342" s="8" t="n"/>
      <c r="F1342" s="5" t="n"/>
      <c r="G1342" s="5" t="n"/>
      <c r="H1342" s="5" t="n"/>
    </row>
    <row r="1343">
      <c r="A1343" s="5" t="n"/>
      <c r="B1343" s="5" t="n"/>
      <c r="C1343" s="5" t="n"/>
      <c r="D1343" s="5" t="n"/>
      <c r="E1343" s="8" t="n"/>
      <c r="F1343" s="5" t="n"/>
      <c r="G1343" s="5" t="n"/>
      <c r="H1343" s="5" t="n"/>
    </row>
    <row r="1344">
      <c r="A1344" s="5" t="n"/>
      <c r="B1344" s="5" t="n"/>
      <c r="C1344" s="5" t="n"/>
      <c r="D1344" s="5" t="n"/>
      <c r="E1344" s="8" t="n"/>
      <c r="F1344" s="5" t="n"/>
      <c r="G1344" s="5" t="n"/>
      <c r="H1344" s="5" t="n"/>
    </row>
    <row r="1345">
      <c r="A1345" s="5" t="n"/>
      <c r="B1345" s="5" t="n"/>
      <c r="C1345" s="5" t="n"/>
      <c r="D1345" s="5" t="n"/>
      <c r="E1345" s="8" t="n"/>
      <c r="F1345" s="5" t="n"/>
      <c r="G1345" s="5" t="n"/>
      <c r="H1345" s="5" t="n"/>
    </row>
    <row r="1346">
      <c r="A1346" s="5" t="n"/>
      <c r="B1346" s="5" t="n"/>
      <c r="C1346" s="5" t="n"/>
      <c r="D1346" s="5" t="n"/>
      <c r="E1346" s="8" t="n"/>
      <c r="F1346" s="5" t="n"/>
      <c r="G1346" s="5" t="n"/>
      <c r="H1346" s="5" t="n"/>
    </row>
    <row r="1347">
      <c r="A1347" s="5" t="n"/>
      <c r="B1347" s="5" t="n"/>
      <c r="C1347" s="5" t="n"/>
      <c r="D1347" s="5" t="n"/>
      <c r="E1347" s="8" t="n"/>
      <c r="F1347" s="5" t="n"/>
      <c r="G1347" s="5" t="n"/>
      <c r="H1347" s="5" t="n"/>
    </row>
    <row r="1348">
      <c r="A1348" s="5" t="n"/>
      <c r="B1348" s="5" t="n"/>
      <c r="C1348" s="5" t="n"/>
      <c r="D1348" s="5" t="n"/>
      <c r="E1348" s="8" t="n"/>
      <c r="F1348" s="5" t="n"/>
      <c r="G1348" s="5" t="n"/>
      <c r="H1348" s="5" t="n"/>
    </row>
    <row r="1349">
      <c r="A1349" s="5" t="n"/>
      <c r="B1349" s="5" t="n"/>
      <c r="C1349" s="5" t="n"/>
      <c r="D1349" s="5" t="n"/>
      <c r="E1349" s="8" t="n"/>
      <c r="F1349" s="5" t="n"/>
      <c r="G1349" s="5" t="n"/>
      <c r="H1349" s="5" t="n"/>
    </row>
    <row r="1350">
      <c r="A1350" s="5" t="n"/>
      <c r="B1350" s="5" t="n"/>
      <c r="C1350" s="5" t="n"/>
      <c r="D1350" s="5" t="n"/>
      <c r="E1350" s="8" t="n"/>
      <c r="F1350" s="5" t="n"/>
      <c r="G1350" s="5" t="n"/>
      <c r="H1350" s="5" t="n"/>
    </row>
    <row r="1351">
      <c r="A1351" s="5" t="n"/>
      <c r="B1351" s="5" t="n"/>
      <c r="C1351" s="5" t="n"/>
      <c r="D1351" s="5" t="n"/>
      <c r="E1351" s="8" t="n"/>
      <c r="F1351" s="5" t="n"/>
      <c r="G1351" s="5" t="n"/>
      <c r="H1351" s="5" t="n"/>
    </row>
    <row r="1352">
      <c r="A1352" s="5" t="n"/>
      <c r="B1352" s="5" t="n"/>
      <c r="C1352" s="5" t="n"/>
      <c r="D1352" s="5" t="n"/>
      <c r="E1352" s="8" t="n"/>
      <c r="F1352" s="5" t="n"/>
      <c r="G1352" s="5" t="n"/>
      <c r="H1352" s="5" t="n"/>
    </row>
    <row r="1353">
      <c r="A1353" s="5" t="n"/>
      <c r="B1353" s="5" t="n"/>
      <c r="C1353" s="5" t="n"/>
      <c r="D1353" s="5" t="n"/>
      <c r="E1353" s="8" t="n"/>
      <c r="F1353" s="5" t="n"/>
      <c r="G1353" s="5" t="n"/>
      <c r="H1353" s="5" t="n"/>
    </row>
    <row r="1354">
      <c r="A1354" s="5" t="n"/>
      <c r="B1354" s="5" t="n"/>
      <c r="C1354" s="5" t="n"/>
      <c r="D1354" s="5" t="n"/>
      <c r="E1354" s="8" t="n"/>
      <c r="F1354" s="5" t="n"/>
      <c r="G1354" s="5" t="n"/>
      <c r="H1354" s="5" t="n"/>
    </row>
    <row r="1355">
      <c r="A1355" s="5" t="n"/>
      <c r="B1355" s="5" t="n"/>
      <c r="C1355" s="5" t="n"/>
      <c r="D1355" s="5" t="n"/>
      <c r="E1355" s="8" t="n"/>
      <c r="F1355" s="5" t="n"/>
      <c r="G1355" s="5" t="n"/>
      <c r="H1355" s="5" t="n"/>
    </row>
    <row r="1356">
      <c r="A1356" s="5" t="n"/>
      <c r="B1356" s="5" t="n"/>
      <c r="C1356" s="5" t="n"/>
      <c r="D1356" s="5" t="n"/>
      <c r="E1356" s="8" t="n"/>
      <c r="F1356" s="5" t="n"/>
      <c r="G1356" s="5" t="n"/>
      <c r="H1356" s="5" t="n"/>
    </row>
    <row r="1357">
      <c r="A1357" s="5" t="n"/>
      <c r="B1357" s="5" t="n"/>
      <c r="C1357" s="5" t="n"/>
      <c r="D1357" s="5" t="n"/>
      <c r="E1357" s="8" t="n"/>
      <c r="F1357" s="5" t="n"/>
      <c r="G1357" s="5" t="n"/>
      <c r="H1357" s="5" t="n"/>
    </row>
    <row r="1358">
      <c r="A1358" s="5" t="n"/>
      <c r="B1358" s="5" t="n"/>
      <c r="C1358" s="5" t="n"/>
      <c r="D1358" s="5" t="n"/>
      <c r="E1358" s="8" t="n"/>
      <c r="F1358" s="5" t="n"/>
      <c r="G1358" s="5" t="n"/>
      <c r="H1358" s="5" t="n"/>
    </row>
    <row r="1359">
      <c r="A1359" s="5" t="n"/>
      <c r="B1359" s="5" t="n"/>
      <c r="C1359" s="5" t="n"/>
      <c r="D1359" s="5" t="n"/>
      <c r="E1359" s="8" t="n"/>
      <c r="F1359" s="5" t="n"/>
      <c r="G1359" s="5" t="n"/>
      <c r="H1359" s="5" t="n"/>
    </row>
    <row r="1360">
      <c r="A1360" s="5" t="n"/>
      <c r="B1360" s="5" t="n"/>
      <c r="C1360" s="5" t="n"/>
      <c r="D1360" s="5" t="n"/>
      <c r="E1360" s="8" t="n"/>
      <c r="F1360" s="5" t="n"/>
      <c r="G1360" s="5" t="n"/>
      <c r="H1360" s="5" t="n"/>
    </row>
    <row r="1361">
      <c r="A1361" s="5" t="n"/>
      <c r="B1361" s="5" t="n"/>
      <c r="C1361" s="5" t="n"/>
      <c r="D1361" s="5" t="n"/>
      <c r="E1361" s="8" t="n"/>
      <c r="F1361" s="5" t="n"/>
      <c r="G1361" s="5" t="n"/>
      <c r="H1361" s="5" t="n"/>
    </row>
    <row r="1362">
      <c r="A1362" s="5" t="n"/>
      <c r="B1362" s="5" t="n"/>
      <c r="C1362" s="5" t="n"/>
      <c r="D1362" s="5" t="n"/>
      <c r="E1362" s="8" t="n"/>
      <c r="F1362" s="5" t="n"/>
      <c r="G1362" s="5" t="n"/>
      <c r="H1362" s="5" t="n"/>
    </row>
    <row r="1363">
      <c r="A1363" s="5" t="n"/>
      <c r="B1363" s="5" t="n"/>
      <c r="C1363" s="5" t="n"/>
      <c r="D1363" s="5" t="n"/>
      <c r="E1363" s="8" t="n"/>
      <c r="F1363" s="5" t="n"/>
      <c r="G1363" s="5" t="n"/>
      <c r="H1363" s="5" t="n"/>
    </row>
    <row r="1364">
      <c r="A1364" s="5" t="n"/>
      <c r="B1364" s="5" t="n"/>
      <c r="C1364" s="5" t="n"/>
      <c r="D1364" s="5" t="n"/>
      <c r="E1364" s="8" t="n"/>
      <c r="F1364" s="5" t="n"/>
      <c r="G1364" s="5" t="n"/>
      <c r="H1364" s="5" t="n"/>
    </row>
    <row r="1365">
      <c r="A1365" s="5" t="n"/>
      <c r="B1365" s="5" t="n"/>
      <c r="C1365" s="5" t="n"/>
      <c r="D1365" s="5" t="n"/>
      <c r="E1365" s="8" t="n"/>
      <c r="F1365" s="5" t="n"/>
      <c r="G1365" s="5" t="n"/>
      <c r="H1365" s="5" t="n"/>
    </row>
    <row r="1366">
      <c r="A1366" s="5" t="n"/>
      <c r="B1366" s="5" t="n"/>
      <c r="C1366" s="5" t="n"/>
      <c r="D1366" s="5" t="n"/>
      <c r="E1366" s="8" t="n"/>
      <c r="F1366" s="5" t="n"/>
      <c r="G1366" s="5" t="n"/>
      <c r="H1366" s="5" t="n"/>
    </row>
    <row r="1367">
      <c r="A1367" s="5" t="n"/>
      <c r="B1367" s="5" t="n"/>
      <c r="C1367" s="5" t="n"/>
      <c r="D1367" s="5" t="n"/>
      <c r="E1367" s="8" t="n"/>
      <c r="F1367" s="5" t="n"/>
      <c r="G1367" s="5" t="n"/>
      <c r="H1367" s="5" t="n"/>
    </row>
    <row r="1368">
      <c r="A1368" s="5" t="n"/>
      <c r="B1368" s="5" t="n"/>
      <c r="C1368" s="5" t="n"/>
      <c r="D1368" s="5" t="n"/>
      <c r="E1368" s="8" t="n"/>
      <c r="F1368" s="5" t="n"/>
      <c r="G1368" s="5" t="n"/>
      <c r="H1368" s="5" t="n"/>
    </row>
    <row r="1369">
      <c r="A1369" s="5" t="n"/>
      <c r="B1369" s="5" t="n"/>
      <c r="C1369" s="5" t="n"/>
      <c r="D1369" s="5" t="n"/>
      <c r="E1369" s="8" t="n"/>
      <c r="F1369" s="5" t="n"/>
      <c r="G1369" s="5" t="n"/>
      <c r="H1369" s="5" t="n"/>
    </row>
    <row r="1370">
      <c r="A1370" s="5" t="n"/>
      <c r="B1370" s="5" t="n"/>
      <c r="C1370" s="5" t="n"/>
      <c r="D1370" s="5" t="n"/>
      <c r="E1370" s="8" t="n"/>
      <c r="F1370" s="5" t="n"/>
      <c r="G1370" s="5" t="n"/>
      <c r="H1370" s="5" t="n"/>
    </row>
    <row r="1371">
      <c r="A1371" s="5" t="n"/>
      <c r="B1371" s="5" t="n"/>
      <c r="C1371" s="5" t="n"/>
      <c r="D1371" s="5" t="n"/>
      <c r="E1371" s="8" t="n"/>
      <c r="F1371" s="5" t="n"/>
      <c r="G1371" s="5" t="n"/>
      <c r="H1371" s="5" t="n"/>
    </row>
    <row r="1372">
      <c r="A1372" s="5" t="n"/>
      <c r="B1372" s="5" t="n"/>
      <c r="C1372" s="5" t="n"/>
      <c r="D1372" s="5" t="n"/>
      <c r="E1372" s="8" t="n"/>
      <c r="F1372" s="5" t="n"/>
      <c r="G1372" s="5" t="n"/>
      <c r="H1372" s="5" t="n"/>
    </row>
    <row r="1373">
      <c r="A1373" s="5" t="n"/>
      <c r="B1373" s="5" t="n"/>
      <c r="C1373" s="5" t="n"/>
      <c r="D1373" s="5" t="n"/>
      <c r="E1373" s="8" t="n"/>
      <c r="F1373" s="5" t="n"/>
      <c r="G1373" s="5" t="n"/>
      <c r="H1373" s="5" t="n"/>
    </row>
    <row r="1374">
      <c r="A1374" s="5" t="n"/>
      <c r="B1374" s="5" t="n"/>
      <c r="C1374" s="5" t="n"/>
      <c r="D1374" s="5" t="n"/>
      <c r="E1374" s="8" t="n"/>
      <c r="F1374" s="5" t="n"/>
      <c r="G1374" s="5" t="n"/>
      <c r="H1374" s="5" t="n"/>
    </row>
    <row r="1375">
      <c r="A1375" s="5" t="n"/>
      <c r="B1375" s="5" t="n"/>
      <c r="C1375" s="5" t="n"/>
      <c r="D1375" s="5" t="n"/>
      <c r="E1375" s="8" t="n"/>
      <c r="F1375" s="5" t="n"/>
      <c r="G1375" s="5" t="n"/>
      <c r="H1375" s="5" t="n"/>
    </row>
    <row r="1376">
      <c r="A1376" s="5" t="n"/>
      <c r="B1376" s="5" t="n"/>
      <c r="C1376" s="5" t="n"/>
      <c r="D1376" s="5" t="n"/>
      <c r="E1376" s="8" t="n"/>
      <c r="F1376" s="5" t="n"/>
      <c r="G1376" s="5" t="n"/>
      <c r="H1376" s="5" t="n"/>
    </row>
    <row r="1377">
      <c r="A1377" s="5" t="n"/>
      <c r="B1377" s="5" t="n"/>
      <c r="C1377" s="5" t="n"/>
      <c r="D1377" s="5" t="n"/>
      <c r="E1377" s="8" t="n"/>
      <c r="F1377" s="5" t="n"/>
      <c r="G1377" s="5" t="n"/>
      <c r="H1377" s="5" t="n"/>
    </row>
    <row r="1378">
      <c r="A1378" s="5" t="n"/>
      <c r="B1378" s="5" t="n"/>
      <c r="C1378" s="5" t="n"/>
      <c r="D1378" s="5" t="n"/>
      <c r="E1378" s="8" t="n"/>
      <c r="F1378" s="5" t="n"/>
      <c r="G1378" s="5" t="n"/>
      <c r="H1378" s="5" t="n"/>
    </row>
    <row r="1379">
      <c r="A1379" s="5" t="n"/>
      <c r="B1379" s="5" t="n"/>
      <c r="C1379" s="5" t="n"/>
      <c r="D1379" s="5" t="n"/>
      <c r="E1379" s="8" t="n"/>
      <c r="F1379" s="5" t="n"/>
      <c r="G1379" s="5" t="n"/>
      <c r="H1379" s="5" t="n"/>
    </row>
    <row r="1380">
      <c r="A1380" s="5" t="n"/>
      <c r="B1380" s="5" t="n"/>
      <c r="C1380" s="5" t="n"/>
      <c r="D1380" s="5" t="n"/>
      <c r="E1380" s="8" t="n"/>
      <c r="F1380" s="5" t="n"/>
      <c r="G1380" s="5" t="n"/>
      <c r="H1380" s="5" t="n"/>
    </row>
    <row r="1381">
      <c r="A1381" s="5" t="n"/>
      <c r="B1381" s="5" t="n"/>
      <c r="C1381" s="5" t="n"/>
      <c r="D1381" s="5" t="n"/>
      <c r="E1381" s="8" t="n"/>
      <c r="F1381" s="5" t="n"/>
      <c r="G1381" s="5" t="n"/>
      <c r="H1381" s="5" t="n"/>
    </row>
    <row r="1382">
      <c r="A1382" s="5" t="n"/>
      <c r="B1382" s="5" t="n"/>
      <c r="C1382" s="5" t="n"/>
      <c r="D1382" s="5" t="n"/>
      <c r="E1382" s="8" t="n"/>
      <c r="F1382" s="5" t="n"/>
      <c r="G1382" s="5" t="n"/>
      <c r="H1382" s="5" t="n"/>
    </row>
    <row r="1383">
      <c r="A1383" s="5" t="n"/>
      <c r="B1383" s="5" t="n"/>
      <c r="C1383" s="5" t="n"/>
      <c r="D1383" s="5" t="n"/>
      <c r="E1383" s="8" t="n"/>
      <c r="F1383" s="5" t="n"/>
      <c r="G1383" s="5" t="n"/>
      <c r="H1383" s="5" t="n"/>
    </row>
    <row r="1384">
      <c r="A1384" s="5" t="n"/>
      <c r="B1384" s="5" t="n"/>
      <c r="C1384" s="5" t="n"/>
      <c r="D1384" s="5" t="n"/>
      <c r="E1384" s="8" t="n"/>
      <c r="F1384" s="5" t="n"/>
      <c r="G1384" s="5" t="n"/>
      <c r="H1384" s="5" t="n"/>
    </row>
    <row r="1385">
      <c r="A1385" s="5" t="n"/>
      <c r="B1385" s="5" t="n"/>
      <c r="C1385" s="5" t="n"/>
      <c r="D1385" s="5" t="n"/>
      <c r="E1385" s="8" t="n"/>
      <c r="F1385" s="5" t="n"/>
      <c r="G1385" s="5" t="n"/>
      <c r="H1385" s="5" t="n"/>
    </row>
    <row r="1386">
      <c r="A1386" s="5" t="n"/>
      <c r="B1386" s="5" t="n"/>
      <c r="C1386" s="5" t="n"/>
      <c r="D1386" s="5" t="n"/>
      <c r="E1386" s="8" t="n"/>
      <c r="F1386" s="5" t="n"/>
      <c r="G1386" s="5" t="n"/>
      <c r="H1386" s="5" t="n"/>
    </row>
    <row r="1387">
      <c r="A1387" s="5" t="n"/>
      <c r="B1387" s="5" t="n"/>
      <c r="C1387" s="5" t="n"/>
      <c r="D1387" s="5" t="n"/>
      <c r="E1387" s="8" t="n"/>
      <c r="F1387" s="5" t="n"/>
      <c r="G1387" s="5" t="n"/>
      <c r="H1387" s="5" t="n"/>
    </row>
    <row r="1388">
      <c r="A1388" s="5" t="n"/>
      <c r="B1388" s="5" t="n"/>
      <c r="C1388" s="5" t="n"/>
      <c r="D1388" s="5" t="n"/>
      <c r="E1388" s="8" t="n"/>
      <c r="F1388" s="5" t="n"/>
      <c r="G1388" s="5" t="n"/>
      <c r="H1388" s="5" t="n"/>
    </row>
    <row r="1389">
      <c r="A1389" s="5" t="n"/>
      <c r="B1389" s="5" t="n"/>
      <c r="C1389" s="5" t="n"/>
      <c r="D1389" s="5" t="n"/>
      <c r="E1389" s="8" t="n"/>
      <c r="F1389" s="5" t="n"/>
      <c r="G1389" s="5" t="n"/>
      <c r="H1389" s="5" t="n"/>
    </row>
    <row r="1390">
      <c r="A1390" s="5" t="n"/>
      <c r="B1390" s="5" t="n"/>
      <c r="C1390" s="5" t="n"/>
      <c r="D1390" s="5" t="n"/>
      <c r="E1390" s="8" t="n"/>
      <c r="F1390" s="5" t="n"/>
      <c r="G1390" s="5" t="n"/>
      <c r="H1390" s="5" t="n"/>
    </row>
    <row r="1391">
      <c r="A1391" s="5" t="n"/>
      <c r="B1391" s="5" t="n"/>
      <c r="C1391" s="5" t="n"/>
      <c r="D1391" s="5" t="n"/>
      <c r="E1391" s="8" t="n"/>
      <c r="F1391" s="5" t="n"/>
      <c r="G1391" s="5" t="n"/>
      <c r="H1391" s="5" t="n"/>
    </row>
    <row r="1392">
      <c r="A1392" s="5" t="n"/>
      <c r="B1392" s="5" t="n"/>
      <c r="C1392" s="5" t="n"/>
      <c r="D1392" s="5" t="n"/>
      <c r="E1392" s="8" t="n"/>
      <c r="F1392" s="5" t="n"/>
      <c r="G1392" s="5" t="n"/>
      <c r="H1392" s="5" t="n"/>
    </row>
    <row r="1393">
      <c r="A1393" s="5" t="n"/>
      <c r="B1393" s="5" t="n"/>
      <c r="C1393" s="5" t="n"/>
      <c r="D1393" s="5" t="n"/>
      <c r="E1393" s="8" t="n"/>
      <c r="F1393" s="5" t="n"/>
      <c r="G1393" s="5" t="n"/>
      <c r="H1393" s="5" t="n"/>
    </row>
    <row r="1394">
      <c r="A1394" s="5" t="n"/>
      <c r="B1394" s="5" t="n"/>
      <c r="C1394" s="5" t="n"/>
      <c r="D1394" s="5" t="n"/>
      <c r="E1394" s="8" t="n"/>
      <c r="F1394" s="5" t="n"/>
      <c r="G1394" s="5" t="n"/>
      <c r="H1394" s="5" t="n"/>
    </row>
    <row r="1395">
      <c r="A1395" s="5" t="n"/>
      <c r="B1395" s="5" t="n"/>
      <c r="C1395" s="5" t="n"/>
      <c r="D1395" s="5" t="n"/>
      <c r="E1395" s="8" t="n"/>
      <c r="F1395" s="5" t="n"/>
      <c r="G1395" s="5" t="n"/>
      <c r="H1395" s="5" t="n"/>
    </row>
    <row r="1396">
      <c r="A1396" s="5" t="n"/>
      <c r="B1396" s="5" t="n"/>
      <c r="C1396" s="5" t="n"/>
      <c r="D1396" s="5" t="n"/>
      <c r="E1396" s="8" t="n"/>
      <c r="F1396" s="5" t="n"/>
      <c r="G1396" s="5" t="n"/>
      <c r="H1396" s="5" t="n"/>
    </row>
    <row r="1397">
      <c r="A1397" s="5" t="n"/>
      <c r="B1397" s="5" t="n"/>
      <c r="C1397" s="5" t="n"/>
      <c r="D1397" s="5" t="n"/>
      <c r="E1397" s="8" t="n"/>
      <c r="F1397" s="5" t="n"/>
      <c r="G1397" s="5" t="n"/>
      <c r="H1397" s="5" t="n"/>
    </row>
    <row r="1398">
      <c r="A1398" s="5" t="n"/>
      <c r="B1398" s="5" t="n"/>
      <c r="C1398" s="5" t="n"/>
      <c r="D1398" s="5" t="n"/>
      <c r="E1398" s="8" t="n"/>
      <c r="F1398" s="5" t="n"/>
      <c r="G1398" s="5" t="n"/>
      <c r="H1398" s="5" t="n"/>
    </row>
    <row r="1399">
      <c r="A1399" s="5" t="n"/>
      <c r="B1399" s="5" t="n"/>
      <c r="C1399" s="5" t="n"/>
      <c r="D1399" s="5" t="n"/>
      <c r="E1399" s="8" t="n"/>
      <c r="F1399" s="5" t="n"/>
      <c r="G1399" s="5" t="n"/>
      <c r="H1399" s="5" t="n"/>
    </row>
    <row r="1400">
      <c r="A1400" s="5" t="n"/>
      <c r="B1400" s="5" t="n"/>
      <c r="C1400" s="5" t="n"/>
      <c r="D1400" s="5" t="n"/>
      <c r="E1400" s="8" t="n"/>
      <c r="F1400" s="5" t="n"/>
      <c r="G1400" s="5" t="n"/>
      <c r="H1400" s="5" t="n"/>
    </row>
    <row r="1401">
      <c r="A1401" s="5" t="n"/>
      <c r="B1401" s="5" t="n"/>
      <c r="C1401" s="5" t="n"/>
      <c r="D1401" s="5" t="n"/>
      <c r="E1401" s="8" t="n"/>
      <c r="F1401" s="5" t="n"/>
      <c r="G1401" s="5" t="n"/>
      <c r="H1401" s="5" t="n"/>
    </row>
    <row r="1402">
      <c r="A1402" s="5" t="n"/>
      <c r="B1402" s="5" t="n"/>
      <c r="C1402" s="5" t="n"/>
      <c r="D1402" s="5" t="n"/>
      <c r="E1402" s="8" t="n"/>
      <c r="F1402" s="5" t="n"/>
      <c r="G1402" s="5" t="n"/>
      <c r="H1402" s="5" t="n"/>
    </row>
    <row r="1403">
      <c r="A1403" s="5" t="n"/>
      <c r="B1403" s="5" t="n"/>
      <c r="C1403" s="5" t="n"/>
      <c r="D1403" s="5" t="n"/>
      <c r="E1403" s="8" t="n"/>
      <c r="F1403" s="5" t="n"/>
      <c r="G1403" s="5" t="n"/>
      <c r="H1403" s="5" t="n"/>
    </row>
    <row r="1404">
      <c r="A1404" s="5" t="n"/>
      <c r="B1404" s="5" t="n"/>
      <c r="C1404" s="5" t="n"/>
      <c r="D1404" s="5" t="n"/>
      <c r="E1404" s="8" t="n"/>
      <c r="F1404" s="5" t="n"/>
      <c r="G1404" s="5" t="n"/>
      <c r="H1404" s="5" t="n"/>
    </row>
    <row r="1405">
      <c r="A1405" s="5" t="n"/>
      <c r="B1405" s="5" t="n"/>
      <c r="C1405" s="5" t="n"/>
      <c r="D1405" s="5" t="n"/>
      <c r="E1405" s="8" t="n"/>
      <c r="F1405" s="5" t="n"/>
      <c r="G1405" s="5" t="n"/>
      <c r="H1405" s="5" t="n"/>
    </row>
    <row r="1406">
      <c r="A1406" s="5" t="n"/>
      <c r="B1406" s="5" t="n"/>
      <c r="C1406" s="5" t="n"/>
      <c r="D1406" s="5" t="n"/>
      <c r="E1406" s="8" t="n"/>
      <c r="F1406" s="5" t="n"/>
      <c r="G1406" s="5" t="n"/>
      <c r="H1406" s="5" t="n"/>
    </row>
    <row r="1407">
      <c r="A1407" s="5" t="n"/>
      <c r="B1407" s="5" t="n"/>
      <c r="C1407" s="5" t="n"/>
      <c r="D1407" s="5" t="n"/>
      <c r="E1407" s="8" t="n"/>
      <c r="F1407" s="5" t="n"/>
      <c r="G1407" s="5" t="n"/>
      <c r="H1407" s="5" t="n"/>
    </row>
    <row r="1408">
      <c r="A1408" s="5" t="n"/>
      <c r="B1408" s="5" t="n"/>
      <c r="C1408" s="5" t="n"/>
      <c r="D1408" s="5" t="n"/>
      <c r="E1408" s="8" t="n"/>
      <c r="F1408" s="5" t="n"/>
      <c r="G1408" s="5" t="n"/>
      <c r="H1408" s="5" t="n"/>
    </row>
    <row r="1409">
      <c r="A1409" s="5" t="n"/>
      <c r="B1409" s="5" t="n"/>
      <c r="C1409" s="5" t="n"/>
      <c r="D1409" s="5" t="n"/>
      <c r="E1409" s="8" t="n"/>
      <c r="F1409" s="5" t="n"/>
      <c r="G1409" s="5" t="n"/>
      <c r="H1409" s="5" t="n"/>
    </row>
    <row r="1410">
      <c r="A1410" s="5" t="n"/>
      <c r="B1410" s="5" t="n"/>
      <c r="C1410" s="5" t="n"/>
      <c r="D1410" s="5" t="n"/>
      <c r="E1410" s="8" t="n"/>
      <c r="F1410" s="5" t="n"/>
      <c r="G1410" s="5" t="n"/>
      <c r="H1410" s="5" t="n"/>
    </row>
    <row r="1411">
      <c r="A1411" s="5" t="n"/>
      <c r="B1411" s="5" t="n"/>
      <c r="C1411" s="5" t="n"/>
      <c r="D1411" s="5" t="n"/>
      <c r="E1411" s="8" t="n"/>
      <c r="F1411" s="5" t="n"/>
      <c r="G1411" s="5" t="n"/>
      <c r="H1411" s="5" t="n"/>
    </row>
    <row r="1412">
      <c r="A1412" s="5" t="n"/>
      <c r="B1412" s="5" t="n"/>
      <c r="C1412" s="5" t="n"/>
      <c r="D1412" s="5" t="n"/>
      <c r="E1412" s="8" t="n"/>
      <c r="F1412" s="5" t="n"/>
      <c r="G1412" s="5" t="n"/>
      <c r="H1412" s="5" t="n"/>
    </row>
    <row r="1413">
      <c r="A1413" s="5" t="n"/>
      <c r="B1413" s="5" t="n"/>
      <c r="C1413" s="5" t="n"/>
      <c r="D1413" s="5" t="n"/>
      <c r="E1413" s="8" t="n"/>
      <c r="F1413" s="5" t="n"/>
      <c r="G1413" s="5" t="n"/>
      <c r="H1413" s="5" t="n"/>
    </row>
    <row r="1414">
      <c r="A1414" s="5" t="n"/>
      <c r="B1414" s="5" t="n"/>
      <c r="C1414" s="5" t="n"/>
      <c r="D1414" s="5" t="n"/>
      <c r="E1414" s="8" t="n"/>
      <c r="F1414" s="5" t="n"/>
      <c r="G1414" s="5" t="n"/>
      <c r="H1414" s="5" t="n"/>
    </row>
    <row r="1415">
      <c r="A1415" s="5" t="n"/>
      <c r="B1415" s="5" t="n"/>
      <c r="C1415" s="5" t="n"/>
      <c r="D1415" s="5" t="n"/>
      <c r="E1415" s="8" t="n"/>
      <c r="F1415" s="5" t="n"/>
      <c r="G1415" s="5" t="n"/>
      <c r="H1415" s="5" t="n"/>
    </row>
    <row r="1416">
      <c r="A1416" s="5" t="n"/>
      <c r="B1416" s="5" t="n"/>
      <c r="C1416" s="5" t="n"/>
      <c r="D1416" s="5" t="n"/>
      <c r="E1416" s="8" t="n"/>
      <c r="F1416" s="5" t="n"/>
      <c r="G1416" s="5" t="n"/>
      <c r="H1416" s="5" t="n"/>
    </row>
    <row r="1417">
      <c r="A1417" s="5" t="n"/>
      <c r="B1417" s="5" t="n"/>
      <c r="C1417" s="5" t="n"/>
      <c r="D1417" s="5" t="n"/>
      <c r="E1417" s="8" t="n"/>
      <c r="F1417" s="5" t="n"/>
      <c r="G1417" s="5" t="n"/>
      <c r="H1417" s="5" t="n"/>
    </row>
    <row r="1418">
      <c r="A1418" s="5" t="n"/>
      <c r="B1418" s="5" t="n"/>
      <c r="C1418" s="5" t="n"/>
      <c r="D1418" s="5" t="n"/>
      <c r="E1418" s="8" t="n"/>
      <c r="F1418" s="5" t="n"/>
      <c r="G1418" s="5" t="n"/>
      <c r="H1418" s="5" t="n"/>
    </row>
    <row r="1419">
      <c r="A1419" s="5" t="n"/>
      <c r="B1419" s="5" t="n"/>
      <c r="C1419" s="5" t="n"/>
      <c r="D1419" s="5" t="n"/>
      <c r="E1419" s="8" t="n"/>
      <c r="F1419" s="5" t="n"/>
      <c r="G1419" s="5" t="n"/>
      <c r="H1419" s="5" t="n"/>
    </row>
    <row r="1420">
      <c r="A1420" s="5" t="n"/>
      <c r="B1420" s="5" t="n"/>
      <c r="C1420" s="5" t="n"/>
      <c r="D1420" s="5" t="n"/>
      <c r="E1420" s="8" t="n"/>
      <c r="F1420" s="5" t="n"/>
      <c r="G1420" s="5" t="n"/>
      <c r="H1420" s="5" t="n"/>
    </row>
    <row r="1421">
      <c r="A1421" s="5" t="n"/>
      <c r="B1421" s="5" t="n"/>
      <c r="C1421" s="5" t="n"/>
      <c r="D1421" s="5" t="n"/>
      <c r="E1421" s="8" t="n"/>
      <c r="F1421" s="5" t="n"/>
      <c r="G1421" s="5" t="n"/>
      <c r="H1421" s="5" t="n"/>
    </row>
    <row r="1422">
      <c r="A1422" s="5" t="n"/>
      <c r="B1422" s="5" t="n"/>
      <c r="C1422" s="5" t="n"/>
      <c r="D1422" s="5" t="n"/>
      <c r="E1422" s="8" t="n"/>
      <c r="F1422" s="5" t="n"/>
      <c r="G1422" s="5" t="n"/>
      <c r="H1422" s="5" t="n"/>
    </row>
    <row r="1423">
      <c r="A1423" s="5" t="n"/>
      <c r="B1423" s="5" t="n"/>
      <c r="C1423" s="5" t="n"/>
      <c r="D1423" s="5" t="n"/>
      <c r="E1423" s="8" t="n"/>
      <c r="F1423" s="5" t="n"/>
      <c r="G1423" s="5" t="n"/>
      <c r="H1423" s="5" t="n"/>
    </row>
    <row r="1424">
      <c r="A1424" s="5" t="n"/>
      <c r="B1424" s="5" t="n"/>
      <c r="C1424" s="5" t="n"/>
      <c r="D1424" s="5" t="n"/>
      <c r="E1424" s="8" t="n"/>
      <c r="F1424" s="5" t="n"/>
      <c r="G1424" s="5" t="n"/>
      <c r="H1424" s="5" t="n"/>
    </row>
    <row r="1425">
      <c r="A1425" s="5" t="n"/>
      <c r="B1425" s="5" t="n"/>
      <c r="C1425" s="5" t="n"/>
      <c r="D1425" s="5" t="n"/>
      <c r="E1425" s="8" t="n"/>
      <c r="F1425" s="5" t="n"/>
      <c r="G1425" s="5" t="n"/>
      <c r="H1425" s="5" t="n"/>
    </row>
    <row r="1426">
      <c r="A1426" s="5" t="n"/>
      <c r="B1426" s="5" t="n"/>
      <c r="C1426" s="5" t="n"/>
      <c r="D1426" s="5" t="n"/>
      <c r="E1426" s="8" t="n"/>
      <c r="F1426" s="5" t="n"/>
      <c r="G1426" s="5" t="n"/>
      <c r="H1426" s="5" t="n"/>
    </row>
    <row r="1427">
      <c r="A1427" s="5" t="n"/>
      <c r="B1427" s="5" t="n"/>
      <c r="C1427" s="5" t="n"/>
      <c r="D1427" s="5" t="n"/>
      <c r="E1427" s="8" t="n"/>
      <c r="F1427" s="5" t="n"/>
      <c r="G1427" s="5" t="n"/>
      <c r="H1427" s="5" t="n"/>
    </row>
    <row r="1428">
      <c r="A1428" s="5" t="n"/>
      <c r="B1428" s="5" t="n"/>
      <c r="C1428" s="5" t="n"/>
      <c r="D1428" s="5" t="n"/>
      <c r="E1428" s="8" t="n"/>
      <c r="F1428" s="5" t="n"/>
      <c r="G1428" s="5" t="n"/>
      <c r="H1428" s="5" t="n"/>
    </row>
    <row r="1429">
      <c r="A1429" s="5" t="n"/>
      <c r="B1429" s="5" t="n"/>
      <c r="C1429" s="5" t="n"/>
      <c r="D1429" s="5" t="n"/>
      <c r="E1429" s="8" t="n"/>
      <c r="F1429" s="5" t="n"/>
      <c r="G1429" s="5" t="n"/>
      <c r="H1429" s="5" t="n"/>
    </row>
    <row r="1430">
      <c r="A1430" s="5" t="n"/>
      <c r="B1430" s="5" t="n"/>
      <c r="C1430" s="5" t="n"/>
      <c r="D1430" s="5" t="n"/>
      <c r="E1430" s="8" t="n"/>
      <c r="F1430" s="5" t="n"/>
      <c r="G1430" s="5" t="n"/>
      <c r="H1430" s="5" t="n"/>
    </row>
    <row r="1431">
      <c r="A1431" s="5" t="n"/>
      <c r="B1431" s="5" t="n"/>
      <c r="C1431" s="5" t="n"/>
      <c r="D1431" s="5" t="n"/>
      <c r="E1431" s="8" t="n"/>
      <c r="F1431" s="5" t="n"/>
      <c r="G1431" s="5" t="n"/>
      <c r="H1431" s="5" t="n"/>
    </row>
    <row r="1432">
      <c r="A1432" s="5" t="n"/>
      <c r="B1432" s="5" t="n"/>
      <c r="C1432" s="5" t="n"/>
      <c r="D1432" s="5" t="n"/>
      <c r="E1432" s="8" t="n"/>
      <c r="F1432" s="5" t="n"/>
      <c r="G1432" s="5" t="n"/>
      <c r="H1432" s="5" t="n"/>
    </row>
    <row r="1433">
      <c r="A1433" s="5" t="n"/>
      <c r="B1433" s="5" t="n"/>
      <c r="C1433" s="5" t="n"/>
      <c r="D1433" s="5" t="n"/>
      <c r="E1433" s="8" t="n"/>
      <c r="F1433" s="5" t="n"/>
      <c r="G1433" s="5" t="n"/>
      <c r="H1433" s="5" t="n"/>
    </row>
    <row r="1434">
      <c r="A1434" s="5" t="n"/>
      <c r="B1434" s="5" t="n"/>
      <c r="C1434" s="5" t="n"/>
      <c r="D1434" s="5" t="n"/>
      <c r="E1434" s="8" t="n"/>
      <c r="F1434" s="5" t="n"/>
      <c r="G1434" s="5" t="n"/>
      <c r="H1434" s="5" t="n"/>
    </row>
    <row r="1435">
      <c r="A1435" s="5" t="n"/>
      <c r="B1435" s="5" t="n"/>
      <c r="C1435" s="5" t="n"/>
      <c r="D1435" s="5" t="n"/>
      <c r="E1435" s="8" t="n"/>
      <c r="F1435" s="5" t="n"/>
      <c r="G1435" s="5" t="n"/>
      <c r="H1435" s="5" t="n"/>
    </row>
    <row r="1436">
      <c r="A1436" s="5" t="n"/>
      <c r="B1436" s="5" t="n"/>
      <c r="C1436" s="5" t="n"/>
      <c r="D1436" s="5" t="n"/>
      <c r="E1436" s="8" t="n"/>
      <c r="F1436" s="5" t="n"/>
      <c r="G1436" s="5" t="n"/>
      <c r="H1436" s="5" t="n"/>
    </row>
    <row r="1437">
      <c r="A1437" s="5" t="n"/>
      <c r="B1437" s="5" t="n"/>
      <c r="C1437" s="5" t="n"/>
      <c r="D1437" s="5" t="n"/>
      <c r="E1437" s="8" t="n"/>
      <c r="F1437" s="5" t="n"/>
      <c r="G1437" s="5" t="n"/>
      <c r="H1437" s="5" t="n"/>
    </row>
    <row r="1438">
      <c r="A1438" s="5" t="n"/>
      <c r="B1438" s="5" t="n"/>
      <c r="C1438" s="5" t="n"/>
      <c r="D1438" s="5" t="n"/>
      <c r="E1438" s="8" t="n"/>
      <c r="F1438" s="5" t="n"/>
      <c r="G1438" s="5" t="n"/>
      <c r="H1438" s="5" t="n"/>
    </row>
    <row r="1439">
      <c r="A1439" s="5" t="n"/>
      <c r="B1439" s="5" t="n"/>
      <c r="C1439" s="5" t="n"/>
      <c r="D1439" s="5" t="n"/>
      <c r="E1439" s="8" t="n"/>
      <c r="F1439" s="5" t="n"/>
      <c r="G1439" s="5" t="n"/>
      <c r="H1439" s="5" t="n"/>
    </row>
    <row r="1440">
      <c r="A1440" s="5" t="n"/>
      <c r="B1440" s="5" t="n"/>
      <c r="C1440" s="5" t="n"/>
      <c r="D1440" s="5" t="n"/>
      <c r="E1440" s="8" t="n"/>
      <c r="F1440" s="5" t="n"/>
      <c r="G1440" s="5" t="n"/>
      <c r="H1440" s="5" t="n"/>
    </row>
    <row r="1441">
      <c r="A1441" s="5" t="n"/>
      <c r="B1441" s="5" t="n"/>
      <c r="C1441" s="5" t="n"/>
      <c r="D1441" s="5" t="n"/>
      <c r="E1441" s="8" t="n"/>
      <c r="F1441" s="5" t="n"/>
      <c r="G1441" s="5" t="n"/>
      <c r="H1441" s="5" t="n"/>
    </row>
    <row r="1442">
      <c r="A1442" s="5" t="n"/>
      <c r="B1442" s="5" t="n"/>
      <c r="C1442" s="5" t="n"/>
      <c r="D1442" s="5" t="n"/>
      <c r="E1442" s="8" t="n"/>
      <c r="F1442" s="5" t="n"/>
      <c r="G1442" s="5" t="n"/>
      <c r="H1442" s="5" t="n"/>
    </row>
    <row r="1443">
      <c r="A1443" s="5" t="n"/>
      <c r="B1443" s="5" t="n"/>
      <c r="C1443" s="5" t="n"/>
      <c r="D1443" s="5" t="n"/>
      <c r="E1443" s="8" t="n"/>
      <c r="F1443" s="5" t="n"/>
      <c r="G1443" s="5" t="n"/>
      <c r="H1443" s="5" t="n"/>
    </row>
    <row r="1444">
      <c r="A1444" s="5" t="n"/>
      <c r="B1444" s="5" t="n"/>
      <c r="C1444" s="5" t="n"/>
      <c r="D1444" s="5" t="n"/>
      <c r="E1444" s="8" t="n"/>
      <c r="F1444" s="5" t="n"/>
      <c r="G1444" s="5" t="n"/>
      <c r="H1444" s="5" t="n"/>
    </row>
    <row r="1445">
      <c r="A1445" s="5" t="n"/>
      <c r="B1445" s="5" t="n"/>
      <c r="C1445" s="5" t="n"/>
      <c r="D1445" s="5" t="n"/>
      <c r="E1445" s="8" t="n"/>
      <c r="F1445" s="5" t="n"/>
      <c r="G1445" s="5" t="n"/>
      <c r="H1445" s="5" t="n"/>
    </row>
    <row r="1446">
      <c r="A1446" s="5" t="n"/>
      <c r="B1446" s="5" t="n"/>
      <c r="C1446" s="5" t="n"/>
      <c r="D1446" s="5" t="n"/>
      <c r="E1446" s="8" t="n"/>
      <c r="F1446" s="5" t="n"/>
      <c r="G1446" s="5" t="n"/>
      <c r="H1446" s="5" t="n"/>
    </row>
    <row r="1447">
      <c r="A1447" s="5" t="n"/>
      <c r="B1447" s="5" t="n"/>
      <c r="C1447" s="5" t="n"/>
      <c r="D1447" s="5" t="n"/>
      <c r="E1447" s="8" t="n"/>
      <c r="F1447" s="5" t="n"/>
      <c r="G1447" s="5" t="n"/>
      <c r="H1447" s="5" t="n"/>
    </row>
    <row r="1448">
      <c r="A1448" s="5" t="n"/>
      <c r="B1448" s="5" t="n"/>
      <c r="C1448" s="5" t="n"/>
      <c r="D1448" s="5" t="n"/>
      <c r="E1448" s="8" t="n"/>
      <c r="F1448" s="5" t="n"/>
      <c r="G1448" s="5" t="n"/>
      <c r="H1448" s="5" t="n"/>
    </row>
    <row r="1449">
      <c r="A1449" s="5" t="n"/>
      <c r="B1449" s="5" t="n"/>
      <c r="C1449" s="5" t="n"/>
      <c r="D1449" s="5" t="n"/>
      <c r="E1449" s="8" t="n"/>
      <c r="F1449" s="5" t="n"/>
      <c r="G1449" s="5" t="n"/>
      <c r="H1449" s="5" t="n"/>
    </row>
    <row r="1450">
      <c r="A1450" s="5" t="n"/>
      <c r="B1450" s="5" t="n"/>
      <c r="C1450" s="5" t="n"/>
      <c r="D1450" s="5" t="n"/>
      <c r="E1450" s="8" t="n"/>
      <c r="F1450" s="5" t="n"/>
      <c r="G1450" s="5" t="n"/>
      <c r="H1450" s="5" t="n"/>
    </row>
    <row r="1451">
      <c r="A1451" s="5" t="n"/>
      <c r="B1451" s="5" t="n"/>
      <c r="C1451" s="5" t="n"/>
      <c r="D1451" s="5" t="n"/>
      <c r="E1451" s="8" t="n"/>
      <c r="F1451" s="5" t="n"/>
      <c r="G1451" s="5" t="n"/>
      <c r="H1451" s="5" t="n"/>
    </row>
    <row r="1452">
      <c r="A1452" s="5" t="n"/>
      <c r="B1452" s="5" t="n"/>
      <c r="C1452" s="5" t="n"/>
      <c r="D1452" s="5" t="n"/>
      <c r="E1452" s="8" t="n"/>
      <c r="F1452" s="5" t="n"/>
      <c r="G1452" s="5" t="n"/>
      <c r="H1452" s="5" t="n"/>
    </row>
    <row r="1453">
      <c r="A1453" s="5" t="n"/>
      <c r="B1453" s="5" t="n"/>
      <c r="C1453" s="5" t="n"/>
      <c r="D1453" s="5" t="n"/>
      <c r="E1453" s="8" t="n"/>
      <c r="F1453" s="5" t="n"/>
      <c r="G1453" s="5" t="n"/>
      <c r="H1453" s="5" t="n"/>
    </row>
    <row r="1454">
      <c r="A1454" s="5" t="n"/>
      <c r="B1454" s="5" t="n"/>
      <c r="C1454" s="5" t="n"/>
      <c r="D1454" s="5" t="n"/>
      <c r="E1454" s="8" t="n"/>
      <c r="F1454" s="5" t="n"/>
      <c r="G1454" s="5" t="n"/>
      <c r="H1454" s="5" t="n"/>
    </row>
    <row r="1455">
      <c r="A1455" s="5" t="n"/>
      <c r="B1455" s="5" t="n"/>
      <c r="C1455" s="5" t="n"/>
      <c r="D1455" s="5" t="n"/>
      <c r="E1455" s="8" t="n"/>
      <c r="F1455" s="5" t="n"/>
      <c r="G1455" s="5" t="n"/>
      <c r="H1455" s="5" t="n"/>
    </row>
    <row r="1456">
      <c r="A1456" s="5" t="n"/>
      <c r="B1456" s="5" t="n"/>
      <c r="C1456" s="5" t="n"/>
      <c r="D1456" s="5" t="n"/>
      <c r="E1456" s="8" t="n"/>
      <c r="F1456" s="5" t="n"/>
      <c r="G1456" s="5" t="n"/>
      <c r="H1456" s="5" t="n"/>
    </row>
    <row r="1457">
      <c r="A1457" s="5" t="n"/>
      <c r="B1457" s="5" t="n"/>
      <c r="C1457" s="5" t="n"/>
      <c r="D1457" s="5" t="n"/>
      <c r="E1457" s="8" t="n"/>
      <c r="F1457" s="5" t="n"/>
      <c r="G1457" s="5" t="n"/>
      <c r="H1457" s="5" t="n"/>
    </row>
    <row r="1458">
      <c r="A1458" s="5" t="n"/>
      <c r="B1458" s="5" t="n"/>
      <c r="C1458" s="5" t="n"/>
      <c r="D1458" s="5" t="n"/>
      <c r="E1458" s="8" t="n"/>
      <c r="F1458" s="5" t="n"/>
      <c r="G1458" s="5" t="n"/>
      <c r="H1458" s="5" t="n"/>
    </row>
    <row r="1459">
      <c r="A1459" s="5" t="n"/>
      <c r="B1459" s="5" t="n"/>
      <c r="C1459" s="5" t="n"/>
      <c r="D1459" s="5" t="n"/>
      <c r="E1459" s="8" t="n"/>
      <c r="F1459" s="5" t="n"/>
      <c r="G1459" s="5" t="n"/>
      <c r="H1459" s="5" t="n"/>
    </row>
    <row r="1460">
      <c r="A1460" s="5" t="n"/>
      <c r="B1460" s="5" t="n"/>
      <c r="C1460" s="5" t="n"/>
      <c r="D1460" s="5" t="n"/>
      <c r="E1460" s="8" t="n"/>
      <c r="F1460" s="5" t="n"/>
      <c r="G1460" s="5" t="n"/>
      <c r="H1460" s="5" t="n"/>
    </row>
    <row r="1461">
      <c r="A1461" s="5" t="n"/>
      <c r="B1461" s="5" t="n"/>
      <c r="C1461" s="5" t="n"/>
      <c r="D1461" s="5" t="n"/>
      <c r="E1461" s="8" t="n"/>
      <c r="F1461" s="5" t="n"/>
      <c r="G1461" s="5" t="n"/>
      <c r="H1461" s="5" t="n"/>
    </row>
    <row r="1462">
      <c r="A1462" s="5" t="n"/>
      <c r="B1462" s="5" t="n"/>
      <c r="C1462" s="5" t="n"/>
      <c r="D1462" s="5" t="n"/>
      <c r="E1462" s="8" t="n"/>
      <c r="F1462" s="5" t="n"/>
      <c r="G1462" s="5" t="n"/>
      <c r="H1462" s="5" t="n"/>
    </row>
    <row r="1463">
      <c r="A1463" s="5" t="n"/>
      <c r="B1463" s="5" t="n"/>
      <c r="C1463" s="5" t="n"/>
      <c r="D1463" s="5" t="n"/>
      <c r="E1463" s="8" t="n"/>
      <c r="F1463" s="5" t="n"/>
      <c r="G1463" s="5" t="n"/>
      <c r="H1463" s="5" t="n"/>
    </row>
    <row r="1464">
      <c r="A1464" s="5" t="n"/>
      <c r="B1464" s="5" t="n"/>
      <c r="C1464" s="5" t="n"/>
      <c r="D1464" s="5" t="n"/>
      <c r="E1464" s="8" t="n"/>
      <c r="F1464" s="5" t="n"/>
      <c r="G1464" s="5" t="n"/>
      <c r="H1464" s="5" t="n"/>
    </row>
    <row r="1465">
      <c r="A1465" s="5" t="n"/>
      <c r="B1465" s="5" t="n"/>
      <c r="C1465" s="5" t="n"/>
      <c r="D1465" s="5" t="n"/>
      <c r="E1465" s="8" t="n"/>
      <c r="F1465" s="5" t="n"/>
      <c r="G1465" s="5" t="n"/>
      <c r="H1465" s="5" t="n"/>
    </row>
    <row r="1466">
      <c r="A1466" s="5" t="n"/>
      <c r="B1466" s="5" t="n"/>
      <c r="C1466" s="5" t="n"/>
      <c r="D1466" s="5" t="n"/>
      <c r="E1466" s="8" t="n"/>
      <c r="F1466" s="5" t="n"/>
      <c r="G1466" s="5" t="n"/>
      <c r="H1466" s="5" t="n"/>
    </row>
    <row r="1467">
      <c r="A1467" s="5" t="n"/>
      <c r="B1467" s="5" t="n"/>
      <c r="C1467" s="5" t="n"/>
      <c r="D1467" s="5" t="n"/>
      <c r="E1467" s="8" t="n"/>
      <c r="F1467" s="5" t="n"/>
      <c r="G1467" s="5" t="n"/>
      <c r="H1467" s="5" t="n"/>
    </row>
    <row r="1468">
      <c r="A1468" s="5" t="n"/>
      <c r="B1468" s="5" t="n"/>
      <c r="C1468" s="5" t="n"/>
      <c r="D1468" s="5" t="n"/>
      <c r="E1468" s="8" t="n"/>
      <c r="F1468" s="5" t="n"/>
      <c r="G1468" s="5" t="n"/>
      <c r="H1468" s="5" t="n"/>
    </row>
    <row r="1469">
      <c r="A1469" s="5" t="n"/>
      <c r="B1469" s="5" t="n"/>
      <c r="C1469" s="5" t="n"/>
      <c r="D1469" s="5" t="n"/>
      <c r="E1469" s="8" t="n"/>
      <c r="F1469" s="5" t="n"/>
      <c r="G1469" s="5" t="n"/>
      <c r="H1469" s="5" t="n"/>
    </row>
    <row r="1470">
      <c r="A1470" s="5" t="n"/>
      <c r="B1470" s="5" t="n"/>
      <c r="C1470" s="5" t="n"/>
      <c r="D1470" s="5" t="n"/>
      <c r="E1470" s="8" t="n"/>
      <c r="F1470" s="5" t="n"/>
      <c r="G1470" s="5" t="n"/>
      <c r="H1470" s="5" t="n"/>
    </row>
    <row r="1471">
      <c r="A1471" s="5" t="n"/>
      <c r="B1471" s="5" t="n"/>
      <c r="C1471" s="5" t="n"/>
      <c r="D1471" s="5" t="n"/>
      <c r="E1471" s="8" t="n"/>
      <c r="F1471" s="5" t="n"/>
      <c r="G1471" s="5" t="n"/>
      <c r="H1471" s="5" t="n"/>
    </row>
    <row r="1472">
      <c r="A1472" s="5" t="n"/>
      <c r="B1472" s="5" t="n"/>
      <c r="C1472" s="5" t="n"/>
      <c r="D1472" s="5" t="n"/>
      <c r="E1472" s="8" t="n"/>
      <c r="F1472" s="5" t="n"/>
      <c r="G1472" s="5" t="n"/>
      <c r="H1472" s="5" t="n"/>
    </row>
    <row r="1473">
      <c r="A1473" s="5" t="n"/>
      <c r="B1473" s="5" t="n"/>
      <c r="C1473" s="5" t="n"/>
      <c r="D1473" s="5" t="n"/>
      <c r="E1473" s="8" t="n"/>
      <c r="F1473" s="5" t="n"/>
      <c r="G1473" s="5" t="n"/>
      <c r="H1473" s="5" t="n"/>
    </row>
    <row r="1474">
      <c r="A1474" s="5" t="n"/>
      <c r="B1474" s="5" t="n"/>
      <c r="C1474" s="5" t="n"/>
      <c r="D1474" s="5" t="n"/>
      <c r="E1474" s="8" t="n"/>
      <c r="F1474" s="5" t="n"/>
      <c r="G1474" s="5" t="n"/>
      <c r="H1474" s="5" t="n"/>
    </row>
    <row r="1475">
      <c r="A1475" s="5" t="n"/>
      <c r="B1475" s="5" t="n"/>
      <c r="C1475" s="5" t="n"/>
      <c r="D1475" s="5" t="n"/>
      <c r="E1475" s="8" t="n"/>
      <c r="F1475" s="5" t="n"/>
      <c r="G1475" s="5" t="n"/>
      <c r="H1475" s="5" t="n"/>
    </row>
    <row r="1476">
      <c r="A1476" s="5" t="n"/>
      <c r="B1476" s="5" t="n"/>
      <c r="C1476" s="5" t="n"/>
      <c r="D1476" s="5" t="n"/>
      <c r="E1476" s="8" t="n"/>
      <c r="F1476" s="5" t="n"/>
      <c r="G1476" s="5" t="n"/>
      <c r="H1476" s="5" t="n"/>
    </row>
    <row r="1477">
      <c r="A1477" s="5" t="n"/>
      <c r="B1477" s="5" t="n"/>
      <c r="C1477" s="5" t="n"/>
      <c r="D1477" s="5" t="n"/>
      <c r="E1477" s="8" t="n"/>
      <c r="F1477" s="5" t="n"/>
      <c r="G1477" s="5" t="n"/>
      <c r="H1477" s="5" t="n"/>
    </row>
    <row r="1478">
      <c r="A1478" s="5" t="n"/>
      <c r="B1478" s="5" t="n"/>
      <c r="C1478" s="5" t="n"/>
      <c r="D1478" s="5" t="n"/>
      <c r="E1478" s="8" t="n"/>
      <c r="F1478" s="5" t="n"/>
      <c r="G1478" s="5" t="n"/>
      <c r="H1478" s="5" t="n"/>
    </row>
    <row r="1479">
      <c r="A1479" s="5" t="n"/>
      <c r="B1479" s="5" t="n"/>
      <c r="C1479" s="5" t="n"/>
      <c r="D1479" s="5" t="n"/>
      <c r="E1479" s="8" t="n"/>
      <c r="F1479" s="5" t="n"/>
      <c r="G1479" s="5" t="n"/>
      <c r="H1479" s="5" t="n"/>
    </row>
    <row r="1480">
      <c r="A1480" s="5" t="n"/>
      <c r="B1480" s="5" t="n"/>
      <c r="C1480" s="5" t="n"/>
      <c r="D1480" s="5" t="n"/>
      <c r="E1480" s="8" t="n"/>
      <c r="F1480" s="5" t="n"/>
      <c r="G1480" s="5" t="n"/>
      <c r="H1480" s="5" t="n"/>
    </row>
    <row r="1481">
      <c r="A1481" s="5" t="n"/>
      <c r="B1481" s="5" t="n"/>
      <c r="C1481" s="5" t="n"/>
      <c r="D1481" s="5" t="n"/>
      <c r="E1481" s="8" t="n"/>
      <c r="F1481" s="5" t="n"/>
      <c r="G1481" s="5" t="n"/>
      <c r="H1481" s="5" t="n"/>
    </row>
    <row r="1482">
      <c r="A1482" s="5" t="n"/>
      <c r="B1482" s="5" t="n"/>
      <c r="C1482" s="5" t="n"/>
      <c r="D1482" s="5" t="n"/>
      <c r="E1482" s="8" t="n"/>
      <c r="F1482" s="5" t="n"/>
      <c r="G1482" s="5" t="n"/>
      <c r="H1482" s="5" t="n"/>
    </row>
    <row r="1483">
      <c r="A1483" s="5" t="n"/>
      <c r="B1483" s="5" t="n"/>
      <c r="C1483" s="5" t="n"/>
      <c r="D1483" s="5" t="n"/>
      <c r="E1483" s="8" t="n"/>
      <c r="F1483" s="5" t="n"/>
      <c r="G1483" s="5" t="n"/>
      <c r="H1483" s="5" t="n"/>
    </row>
    <row r="1484">
      <c r="A1484" s="5" t="n"/>
      <c r="B1484" s="5" t="n"/>
      <c r="C1484" s="5" t="n"/>
      <c r="D1484" s="5" t="n"/>
      <c r="E1484" s="8" t="n"/>
      <c r="F1484" s="5" t="n"/>
      <c r="G1484" s="5" t="n"/>
      <c r="H1484" s="5" t="n"/>
    </row>
    <row r="1485">
      <c r="A1485" s="5" t="n"/>
      <c r="B1485" s="5" t="n"/>
      <c r="C1485" s="5" t="n"/>
      <c r="D1485" s="5" t="n"/>
      <c r="E1485" s="8" t="n"/>
      <c r="F1485" s="5" t="n"/>
      <c r="G1485" s="5" t="n"/>
      <c r="H1485" s="5" t="n"/>
    </row>
    <row r="1486">
      <c r="A1486" s="5" t="n"/>
      <c r="B1486" s="5" t="n"/>
      <c r="C1486" s="5" t="n"/>
      <c r="D1486" s="5" t="n"/>
      <c r="E1486" s="8" t="n"/>
      <c r="F1486" s="5" t="n"/>
      <c r="G1486" s="5" t="n"/>
      <c r="H1486" s="5" t="n"/>
    </row>
    <row r="1487">
      <c r="A1487" s="5" t="n"/>
      <c r="B1487" s="5" t="n"/>
      <c r="C1487" s="5" t="n"/>
      <c r="D1487" s="5" t="n"/>
      <c r="E1487" s="8" t="n"/>
      <c r="F1487" s="5" t="n"/>
      <c r="G1487" s="5" t="n"/>
      <c r="H1487" s="5" t="n"/>
    </row>
    <row r="1488">
      <c r="A1488" s="5" t="n"/>
      <c r="B1488" s="5" t="n"/>
      <c r="C1488" s="5" t="n"/>
      <c r="D1488" s="5" t="n"/>
      <c r="E1488" s="8" t="n"/>
      <c r="F1488" s="5" t="n"/>
      <c r="G1488" s="5" t="n"/>
      <c r="H1488" s="5" t="n"/>
    </row>
    <row r="1489">
      <c r="A1489" s="5" t="n"/>
      <c r="B1489" s="5" t="n"/>
      <c r="C1489" s="5" t="n"/>
      <c r="D1489" s="5" t="n"/>
      <c r="E1489" s="8" t="n"/>
      <c r="F1489" s="5" t="n"/>
      <c r="G1489" s="5" t="n"/>
      <c r="H1489" s="5" t="n"/>
    </row>
    <row r="1490">
      <c r="A1490" s="5" t="n"/>
      <c r="B1490" s="5" t="n"/>
      <c r="C1490" s="5" t="n"/>
      <c r="D1490" s="5" t="n"/>
      <c r="E1490" s="8" t="n"/>
      <c r="F1490" s="5" t="n"/>
      <c r="G1490" s="5" t="n"/>
      <c r="H1490" s="5" t="n"/>
    </row>
    <row r="1491">
      <c r="A1491" s="5" t="n"/>
      <c r="B1491" s="5" t="n"/>
      <c r="C1491" s="5" t="n"/>
      <c r="D1491" s="5" t="n"/>
      <c r="E1491" s="8" t="n"/>
      <c r="F1491" s="5" t="n"/>
      <c r="G1491" s="5" t="n"/>
      <c r="H1491" s="5" t="n"/>
    </row>
    <row r="1492">
      <c r="A1492" s="5" t="n"/>
      <c r="B1492" s="5" t="n"/>
      <c r="C1492" s="5" t="n"/>
      <c r="D1492" s="5" t="n"/>
      <c r="E1492" s="8" t="n"/>
      <c r="F1492" s="5" t="n"/>
      <c r="G1492" s="5" t="n"/>
      <c r="H1492" s="5" t="n"/>
    </row>
    <row r="1493">
      <c r="A1493" s="5" t="n"/>
      <c r="B1493" s="5" t="n"/>
      <c r="C1493" s="5" t="n"/>
      <c r="D1493" s="5" t="n"/>
      <c r="E1493" s="8" t="n"/>
      <c r="F1493" s="5" t="n"/>
      <c r="G1493" s="5" t="n"/>
      <c r="H1493" s="5" t="n"/>
    </row>
    <row r="1494">
      <c r="A1494" s="5" t="n"/>
      <c r="B1494" s="5" t="n"/>
      <c r="C1494" s="5" t="n"/>
      <c r="D1494" s="5" t="n"/>
      <c r="E1494" s="8" t="n"/>
      <c r="F1494" s="5" t="n"/>
      <c r="G1494" s="5" t="n"/>
      <c r="H1494" s="5" t="n"/>
    </row>
    <row r="1495">
      <c r="A1495" s="5" t="n"/>
      <c r="B1495" s="5" t="n"/>
      <c r="C1495" s="5" t="n"/>
      <c r="D1495" s="5" t="n"/>
      <c r="E1495" s="8" t="n"/>
      <c r="F1495" s="5" t="n"/>
      <c r="G1495" s="5" t="n"/>
      <c r="H1495" s="5" t="n"/>
    </row>
    <row r="1496">
      <c r="A1496" s="5" t="n"/>
      <c r="B1496" s="5" t="n"/>
      <c r="C1496" s="5" t="n"/>
      <c r="D1496" s="5" t="n"/>
      <c r="E1496" s="8" t="n"/>
      <c r="F1496" s="5" t="n"/>
      <c r="G1496" s="5" t="n"/>
      <c r="H1496" s="5" t="n"/>
    </row>
    <row r="1497">
      <c r="A1497" s="5" t="n"/>
      <c r="B1497" s="5" t="n"/>
      <c r="C1497" s="5" t="n"/>
      <c r="D1497" s="5" t="n"/>
      <c r="E1497" s="8" t="n"/>
      <c r="F1497" s="5" t="n"/>
      <c r="G1497" s="5" t="n"/>
      <c r="H1497" s="5" t="n"/>
    </row>
    <row r="1498">
      <c r="A1498" s="5" t="n"/>
      <c r="B1498" s="5" t="n"/>
      <c r="C1498" s="5" t="n"/>
      <c r="D1498" s="5" t="n"/>
      <c r="E1498" s="8" t="n"/>
      <c r="F1498" s="5" t="n"/>
      <c r="G1498" s="5" t="n"/>
      <c r="H1498" s="5" t="n"/>
    </row>
    <row r="1499">
      <c r="A1499" s="5" t="n"/>
      <c r="B1499" s="5" t="n"/>
      <c r="C1499" s="5" t="n"/>
      <c r="D1499" s="5" t="n"/>
      <c r="E1499" s="8" t="n"/>
      <c r="F1499" s="5" t="n"/>
      <c r="G1499" s="5" t="n"/>
      <c r="H1499" s="5" t="n"/>
    </row>
    <row r="1500">
      <c r="A1500" s="5" t="n"/>
      <c r="B1500" s="5" t="n"/>
      <c r="C1500" s="5" t="n"/>
      <c r="D1500" s="5" t="n"/>
      <c r="E1500" s="8" t="n"/>
      <c r="F1500" s="5" t="n"/>
      <c r="G1500" s="5" t="n"/>
      <c r="H1500" s="5" t="n"/>
    </row>
    <row r="1501">
      <c r="A1501" s="5" t="n"/>
      <c r="B1501" s="5" t="n"/>
      <c r="C1501" s="5" t="n"/>
      <c r="D1501" s="5" t="n"/>
      <c r="E1501" s="8" t="n"/>
      <c r="F1501" s="5" t="n"/>
      <c r="G1501" s="5" t="n"/>
      <c r="H1501" s="5" t="n"/>
    </row>
    <row r="1502">
      <c r="A1502" s="5" t="n"/>
      <c r="B1502" s="5" t="n"/>
      <c r="C1502" s="5" t="n"/>
      <c r="D1502" s="5" t="n"/>
      <c r="E1502" s="8" t="n"/>
      <c r="F1502" s="5" t="n"/>
      <c r="G1502" s="5" t="n"/>
      <c r="H1502" s="5" t="n"/>
    </row>
    <row r="1503">
      <c r="A1503" s="5" t="n"/>
      <c r="B1503" s="5" t="n"/>
      <c r="C1503" s="5" t="n"/>
      <c r="D1503" s="5" t="n"/>
      <c r="E1503" s="8" t="n"/>
      <c r="F1503" s="5" t="n"/>
      <c r="G1503" s="5" t="n"/>
      <c r="H1503" s="5" t="n"/>
    </row>
    <row r="1504">
      <c r="A1504" s="5" t="n"/>
      <c r="B1504" s="5" t="n"/>
      <c r="C1504" s="5" t="n"/>
      <c r="D1504" s="5" t="n"/>
      <c r="E1504" s="8" t="n"/>
      <c r="F1504" s="5" t="n"/>
      <c r="G1504" s="5" t="n"/>
      <c r="H1504" s="5" t="n"/>
    </row>
    <row r="1505">
      <c r="A1505" s="5" t="n"/>
      <c r="B1505" s="5" t="n"/>
      <c r="C1505" s="5" t="n"/>
      <c r="D1505" s="5" t="n"/>
      <c r="E1505" s="8" t="n"/>
      <c r="F1505" s="5" t="n"/>
      <c r="G1505" s="5" t="n"/>
      <c r="H1505" s="5" t="n"/>
    </row>
    <row r="1506">
      <c r="A1506" s="5" t="n"/>
      <c r="B1506" s="5" t="n"/>
      <c r="C1506" s="5" t="n"/>
      <c r="D1506" s="5" t="n"/>
      <c r="E1506" s="8" t="n"/>
      <c r="F1506" s="5" t="n"/>
      <c r="G1506" s="5" t="n"/>
      <c r="H1506" s="5" t="n"/>
    </row>
    <row r="1507">
      <c r="A1507" s="5" t="n"/>
      <c r="B1507" s="5" t="n"/>
      <c r="C1507" s="5" t="n"/>
      <c r="D1507" s="5" t="n"/>
      <c r="E1507" s="8" t="n"/>
      <c r="F1507" s="5" t="n"/>
      <c r="G1507" s="5" t="n"/>
      <c r="H1507" s="5" t="n"/>
    </row>
    <row r="1508">
      <c r="A1508" s="5" t="n"/>
      <c r="B1508" s="5" t="n"/>
      <c r="C1508" s="5" t="n"/>
      <c r="D1508" s="5" t="n"/>
      <c r="E1508" s="8" t="n"/>
      <c r="F1508" s="5" t="n"/>
      <c r="G1508" s="5" t="n"/>
      <c r="H1508" s="5" t="n"/>
    </row>
    <row r="1509">
      <c r="A1509" s="5" t="n"/>
      <c r="B1509" s="5" t="n"/>
      <c r="C1509" s="5" t="n"/>
      <c r="D1509" s="5" t="n"/>
      <c r="E1509" s="8" t="n"/>
      <c r="F1509" s="5" t="n"/>
      <c r="G1509" s="5" t="n"/>
      <c r="H1509" s="5" t="n"/>
    </row>
    <row r="1510">
      <c r="A1510" s="5" t="n"/>
      <c r="B1510" s="5" t="n"/>
      <c r="C1510" s="5" t="n"/>
      <c r="D1510" s="5" t="n"/>
      <c r="E1510" s="8" t="n"/>
      <c r="F1510" s="5" t="n"/>
      <c r="G1510" s="5" t="n"/>
      <c r="H1510" s="5" t="n"/>
    </row>
    <row r="1511">
      <c r="A1511" s="5" t="n"/>
      <c r="B1511" s="5" t="n"/>
      <c r="C1511" s="5" t="n"/>
      <c r="D1511" s="5" t="n"/>
      <c r="E1511" s="8" t="n"/>
      <c r="F1511" s="5" t="n"/>
      <c r="G1511" s="5" t="n"/>
      <c r="H1511" s="5" t="n"/>
    </row>
    <row r="1512">
      <c r="A1512" s="5" t="n"/>
      <c r="B1512" s="5" t="n"/>
      <c r="C1512" s="5" t="n"/>
      <c r="D1512" s="5" t="n"/>
      <c r="E1512" s="8" t="n"/>
      <c r="F1512" s="5" t="n"/>
      <c r="G1512" s="5" t="n"/>
      <c r="H1512" s="5" t="n"/>
    </row>
    <row r="1513">
      <c r="A1513" s="5" t="n"/>
      <c r="B1513" s="5" t="n"/>
      <c r="C1513" s="5" t="n"/>
      <c r="D1513" s="5" t="n"/>
      <c r="E1513" s="8" t="n"/>
      <c r="F1513" s="5" t="n"/>
      <c r="G1513" s="5" t="n"/>
      <c r="H1513" s="5" t="n"/>
    </row>
    <row r="1514">
      <c r="A1514" s="5" t="n"/>
      <c r="B1514" s="5" t="n"/>
      <c r="C1514" s="5" t="n"/>
      <c r="D1514" s="5" t="n"/>
      <c r="E1514" s="8" t="n"/>
      <c r="F1514" s="5" t="n"/>
      <c r="G1514" s="5" t="n"/>
      <c r="H1514" s="5" t="n"/>
    </row>
    <row r="1515">
      <c r="A1515" s="5" t="n"/>
      <c r="B1515" s="5" t="n"/>
      <c r="C1515" s="5" t="n"/>
      <c r="D1515" s="5" t="n"/>
      <c r="E1515" s="8" t="n"/>
      <c r="F1515" s="5" t="n"/>
      <c r="G1515" s="5" t="n"/>
      <c r="H1515" s="5" t="n"/>
    </row>
    <row r="1516">
      <c r="A1516" s="5" t="n"/>
      <c r="B1516" s="5" t="n"/>
      <c r="C1516" s="5" t="n"/>
      <c r="D1516" s="5" t="n"/>
      <c r="E1516" s="8" t="n"/>
      <c r="F1516" s="5" t="n"/>
      <c r="G1516" s="5" t="n"/>
      <c r="H1516" s="5" t="n"/>
    </row>
    <row r="1517">
      <c r="A1517" s="5" t="n"/>
      <c r="B1517" s="5" t="n"/>
      <c r="C1517" s="5" t="n"/>
      <c r="D1517" s="5" t="n"/>
      <c r="E1517" s="8" t="n"/>
      <c r="F1517" s="5" t="n"/>
      <c r="G1517" s="5" t="n"/>
      <c r="H1517" s="5" t="n"/>
    </row>
    <row r="1518">
      <c r="A1518" s="5" t="n"/>
      <c r="B1518" s="5" t="n"/>
      <c r="C1518" s="5" t="n"/>
      <c r="D1518" s="5" t="n"/>
      <c r="E1518" s="8" t="n"/>
      <c r="F1518" s="5" t="n"/>
      <c r="G1518" s="5" t="n"/>
      <c r="H1518" s="5" t="n"/>
    </row>
    <row r="1519">
      <c r="A1519" s="5" t="n"/>
      <c r="B1519" s="5" t="n"/>
      <c r="C1519" s="5" t="n"/>
      <c r="D1519" s="5" t="n"/>
      <c r="E1519" s="8" t="n"/>
      <c r="F1519" s="5" t="n"/>
      <c r="G1519" s="5" t="n"/>
      <c r="H1519" s="5" t="n"/>
    </row>
    <row r="1520">
      <c r="A1520" s="5" t="n"/>
      <c r="B1520" s="5" t="n"/>
      <c r="C1520" s="5" t="n"/>
      <c r="D1520" s="5" t="n"/>
      <c r="E1520" s="8" t="n"/>
      <c r="F1520" s="5" t="n"/>
      <c r="G1520" s="5" t="n"/>
      <c r="H1520" s="5" t="n"/>
    </row>
    <row r="1521">
      <c r="A1521" s="5" t="n"/>
      <c r="B1521" s="5" t="n"/>
      <c r="C1521" s="5" t="n"/>
      <c r="D1521" s="5" t="n"/>
      <c r="E1521" s="8" t="n"/>
      <c r="F1521" s="5" t="n"/>
      <c r="G1521" s="5" t="n"/>
      <c r="H1521" s="5" t="n"/>
    </row>
    <row r="1522">
      <c r="A1522" s="5" t="n"/>
      <c r="B1522" s="5" t="n"/>
      <c r="C1522" s="5" t="n"/>
      <c r="D1522" s="5" t="n"/>
      <c r="E1522" s="8" t="n"/>
      <c r="F1522" s="5" t="n"/>
      <c r="G1522" s="5" t="n"/>
      <c r="H1522" s="5" t="n"/>
    </row>
    <row r="1523">
      <c r="A1523" s="5" t="n"/>
      <c r="B1523" s="5" t="n"/>
      <c r="C1523" s="5" t="n"/>
      <c r="D1523" s="5" t="n"/>
      <c r="E1523" s="8" t="n"/>
      <c r="F1523" s="5" t="n"/>
      <c r="G1523" s="5" t="n"/>
      <c r="H1523" s="5" t="n"/>
    </row>
    <row r="1524">
      <c r="A1524" s="5" t="n"/>
      <c r="B1524" s="5" t="n"/>
      <c r="C1524" s="5" t="n"/>
      <c r="D1524" s="5" t="n"/>
      <c r="E1524" s="8" t="n"/>
      <c r="F1524" s="5" t="n"/>
      <c r="G1524" s="5" t="n"/>
      <c r="H1524" s="5" t="n"/>
    </row>
    <row r="1525">
      <c r="A1525" s="5" t="n"/>
      <c r="B1525" s="5" t="n"/>
      <c r="C1525" s="5" t="n"/>
      <c r="D1525" s="5" t="n"/>
      <c r="E1525" s="8" t="n"/>
      <c r="F1525" s="5" t="n"/>
      <c r="G1525" s="5" t="n"/>
      <c r="H1525" s="5" t="n"/>
    </row>
    <row r="1526">
      <c r="A1526" s="5" t="n"/>
      <c r="B1526" s="5" t="n"/>
      <c r="C1526" s="5" t="n"/>
      <c r="D1526" s="5" t="n"/>
      <c r="E1526" s="8" t="n"/>
      <c r="F1526" s="5" t="n"/>
      <c r="G1526" s="5" t="n"/>
      <c r="H1526" s="5" t="n"/>
    </row>
    <row r="1527">
      <c r="A1527" s="5" t="n"/>
      <c r="B1527" s="5" t="n"/>
      <c r="C1527" s="5" t="n"/>
      <c r="D1527" s="5" t="n"/>
      <c r="E1527" s="8" t="n"/>
      <c r="F1527" s="5" t="n"/>
      <c r="G1527" s="5" t="n"/>
      <c r="H1527" s="5" t="n"/>
    </row>
    <row r="1528">
      <c r="A1528" s="5" t="n"/>
      <c r="B1528" s="5" t="n"/>
      <c r="C1528" s="5" t="n"/>
      <c r="D1528" s="5" t="n"/>
      <c r="E1528" s="8" t="n"/>
      <c r="F1528" s="5" t="n"/>
      <c r="G1528" s="5" t="n"/>
      <c r="H1528" s="5" t="n"/>
    </row>
    <row r="1529">
      <c r="A1529" s="5" t="n"/>
      <c r="B1529" s="5" t="n"/>
      <c r="C1529" s="5" t="n"/>
      <c r="D1529" s="5" t="n"/>
      <c r="E1529" s="8" t="n"/>
      <c r="F1529" s="5" t="n"/>
      <c r="G1529" s="5" t="n"/>
      <c r="H1529" s="5" t="n"/>
    </row>
    <row r="1530">
      <c r="A1530" s="5" t="n"/>
      <c r="B1530" s="5" t="n"/>
      <c r="C1530" s="5" t="n"/>
      <c r="D1530" s="5" t="n"/>
      <c r="E1530" s="8" t="n"/>
      <c r="F1530" s="5" t="n"/>
      <c r="G1530" s="5" t="n"/>
      <c r="H1530" s="5" t="n"/>
    </row>
    <row r="1531">
      <c r="A1531" s="5" t="n"/>
      <c r="B1531" s="5" t="n"/>
      <c r="C1531" s="5" t="n"/>
      <c r="D1531" s="5" t="n"/>
      <c r="E1531" s="8" t="n"/>
      <c r="F1531" s="5" t="n"/>
      <c r="G1531" s="5" t="n"/>
      <c r="H1531" s="5" t="n"/>
    </row>
    <row r="1532">
      <c r="A1532" s="5" t="n"/>
      <c r="B1532" s="5" t="n"/>
      <c r="C1532" s="5" t="n"/>
      <c r="D1532" s="5" t="n"/>
      <c r="E1532" s="8" t="n"/>
      <c r="F1532" s="5" t="n"/>
      <c r="G1532" s="5" t="n"/>
      <c r="H1532" s="5" t="n"/>
    </row>
    <row r="1533">
      <c r="A1533" s="5" t="n"/>
      <c r="B1533" s="5" t="n"/>
      <c r="C1533" s="5" t="n"/>
      <c r="D1533" s="5" t="n"/>
      <c r="E1533" s="8" t="n"/>
      <c r="F1533" s="5" t="n"/>
      <c r="G1533" s="5" t="n"/>
      <c r="H1533" s="5" t="n"/>
    </row>
    <row r="1534">
      <c r="A1534" s="5" t="n"/>
      <c r="B1534" s="5" t="n"/>
      <c r="C1534" s="5" t="n"/>
      <c r="D1534" s="5" t="n"/>
      <c r="E1534" s="8" t="n"/>
      <c r="F1534" s="5" t="n"/>
      <c r="G1534" s="5" t="n"/>
      <c r="H1534" s="5" t="n"/>
    </row>
    <row r="1535">
      <c r="A1535" s="5" t="n"/>
      <c r="B1535" s="5" t="n"/>
      <c r="C1535" s="5" t="n"/>
      <c r="D1535" s="5" t="n"/>
      <c r="E1535" s="8" t="n"/>
      <c r="F1535" s="5" t="n"/>
      <c r="G1535" s="5" t="n"/>
      <c r="H1535" s="5" t="n"/>
    </row>
    <row r="1536">
      <c r="A1536" s="5" t="n"/>
      <c r="B1536" s="5" t="n"/>
      <c r="C1536" s="5" t="n"/>
      <c r="D1536" s="5" t="n"/>
      <c r="E1536" s="8" t="n"/>
      <c r="F1536" s="5" t="n"/>
      <c r="G1536" s="5" t="n"/>
      <c r="H1536" s="5" t="n"/>
    </row>
    <row r="1537">
      <c r="A1537" s="5" t="n"/>
      <c r="B1537" s="5" t="n"/>
      <c r="C1537" s="5" t="n"/>
      <c r="D1537" s="5" t="n"/>
      <c r="E1537" s="8" t="n"/>
      <c r="F1537" s="5" t="n"/>
      <c r="G1537" s="5" t="n"/>
      <c r="H1537" s="5" t="n"/>
    </row>
    <row r="1538">
      <c r="A1538" s="5" t="n"/>
      <c r="B1538" s="5" t="n"/>
      <c r="C1538" s="5" t="n"/>
      <c r="D1538" s="5" t="n"/>
      <c r="E1538" s="8" t="n"/>
      <c r="F1538" s="5" t="n"/>
      <c r="G1538" s="5" t="n"/>
      <c r="H1538" s="5" t="n"/>
    </row>
    <row r="1539">
      <c r="A1539" s="5" t="n"/>
      <c r="B1539" s="5" t="n"/>
      <c r="C1539" s="5" t="n"/>
      <c r="D1539" s="5" t="n"/>
      <c r="E1539" s="8" t="n"/>
      <c r="F1539" s="5" t="n"/>
      <c r="G1539" s="5" t="n"/>
      <c r="H1539" s="5" t="n"/>
    </row>
    <row r="1540">
      <c r="A1540" s="5" t="n"/>
      <c r="B1540" s="5" t="n"/>
      <c r="C1540" s="5" t="n"/>
      <c r="D1540" s="5" t="n"/>
      <c r="E1540" s="8" t="n"/>
      <c r="F1540" s="5" t="n"/>
      <c r="G1540" s="5" t="n"/>
      <c r="H1540" s="5" t="n"/>
    </row>
    <row r="1541">
      <c r="A1541" s="5" t="n"/>
      <c r="B1541" s="5" t="n"/>
      <c r="C1541" s="5" t="n"/>
      <c r="D1541" s="5" t="n"/>
      <c r="E1541" s="8" t="n"/>
      <c r="F1541" s="5" t="n"/>
      <c r="G1541" s="5" t="n"/>
      <c r="H1541" s="5" t="n"/>
    </row>
    <row r="1542">
      <c r="A1542" s="5" t="n"/>
      <c r="B1542" s="5" t="n"/>
      <c r="C1542" s="5" t="n"/>
      <c r="D1542" s="5" t="n"/>
      <c r="E1542" s="8" t="n"/>
      <c r="F1542" s="5" t="n"/>
      <c r="G1542" s="5" t="n"/>
      <c r="H1542" s="5" t="n"/>
    </row>
    <row r="1543">
      <c r="A1543" s="5" t="n"/>
      <c r="B1543" s="5" t="n"/>
      <c r="C1543" s="5" t="n"/>
      <c r="D1543" s="5" t="n"/>
      <c r="E1543" s="8" t="n"/>
      <c r="F1543" s="5" t="n"/>
      <c r="G1543" s="5" t="n"/>
      <c r="H1543" s="5" t="n"/>
    </row>
    <row r="1544">
      <c r="A1544" s="5" t="n"/>
      <c r="B1544" s="5" t="n"/>
      <c r="C1544" s="5" t="n"/>
      <c r="D1544" s="5" t="n"/>
      <c r="E1544" s="8" t="n"/>
      <c r="F1544" s="5" t="n"/>
      <c r="G1544" s="5" t="n"/>
      <c r="H1544" s="5" t="n"/>
    </row>
    <row r="1545">
      <c r="A1545" s="5" t="n"/>
      <c r="B1545" s="5" t="n"/>
      <c r="C1545" s="5" t="n"/>
      <c r="D1545" s="5" t="n"/>
      <c r="E1545" s="8" t="n"/>
      <c r="F1545" s="5" t="n"/>
      <c r="G1545" s="5" t="n"/>
      <c r="H1545" s="5" t="n"/>
    </row>
    <row r="1546">
      <c r="A1546" s="5" t="n"/>
      <c r="B1546" s="5" t="n"/>
      <c r="C1546" s="5" t="n"/>
      <c r="D1546" s="5" t="n"/>
      <c r="E1546" s="8" t="n"/>
      <c r="F1546" s="5" t="n"/>
      <c r="G1546" s="5" t="n"/>
      <c r="H1546" s="5" t="n"/>
    </row>
    <row r="1547">
      <c r="A1547" s="5" t="n"/>
      <c r="B1547" s="5" t="n"/>
      <c r="C1547" s="5" t="n"/>
      <c r="D1547" s="5" t="n"/>
      <c r="E1547" s="8" t="n"/>
      <c r="F1547" s="5" t="n"/>
      <c r="G1547" s="5" t="n"/>
      <c r="H1547" s="5" t="n"/>
    </row>
    <row r="1548">
      <c r="A1548" s="5" t="n"/>
      <c r="B1548" s="5" t="n"/>
      <c r="C1548" s="5" t="n"/>
      <c r="D1548" s="5" t="n"/>
      <c r="E1548" s="8" t="n"/>
      <c r="F1548" s="5" t="n"/>
      <c r="G1548" s="5" t="n"/>
      <c r="H1548" s="5" t="n"/>
    </row>
    <row r="1549">
      <c r="A1549" s="5" t="n"/>
      <c r="B1549" s="5" t="n"/>
      <c r="C1549" s="5" t="n"/>
      <c r="D1549" s="5" t="n"/>
      <c r="E1549" s="8" t="n"/>
      <c r="F1549" s="5" t="n"/>
      <c r="G1549" s="5" t="n"/>
      <c r="H1549" s="5" t="n"/>
    </row>
    <row r="1550">
      <c r="A1550" s="5" t="n"/>
      <c r="B1550" s="5" t="n"/>
      <c r="C1550" s="5" t="n"/>
      <c r="D1550" s="5" t="n"/>
      <c r="E1550" s="8" t="n"/>
      <c r="F1550" s="5" t="n"/>
      <c r="G1550" s="5" t="n"/>
      <c r="H1550" s="5" t="n"/>
    </row>
    <row r="1551">
      <c r="A1551" s="5" t="n"/>
      <c r="B1551" s="5" t="n"/>
      <c r="C1551" s="5" t="n"/>
      <c r="D1551" s="5" t="n"/>
      <c r="E1551" s="8" t="n"/>
      <c r="F1551" s="5" t="n"/>
      <c r="G1551" s="5" t="n"/>
      <c r="H1551" s="5" t="n"/>
    </row>
    <row r="1552">
      <c r="A1552" s="5" t="n"/>
      <c r="B1552" s="5" t="n"/>
      <c r="C1552" s="5" t="n"/>
      <c r="D1552" s="5" t="n"/>
      <c r="E1552" s="8" t="n"/>
      <c r="F1552" s="5" t="n"/>
      <c r="G1552" s="5" t="n"/>
      <c r="H1552" s="5" t="n"/>
    </row>
    <row r="1553">
      <c r="A1553" s="5" t="n"/>
      <c r="B1553" s="5" t="n"/>
      <c r="C1553" s="5" t="n"/>
      <c r="D1553" s="5" t="n"/>
      <c r="E1553" s="8" t="n"/>
      <c r="F1553" s="5" t="n"/>
      <c r="G1553" s="5" t="n"/>
      <c r="H1553" s="5" t="n"/>
    </row>
    <row r="1554">
      <c r="A1554" s="5" t="n"/>
      <c r="B1554" s="5" t="n"/>
      <c r="C1554" s="5" t="n"/>
      <c r="D1554" s="5" t="n"/>
      <c r="E1554" s="8" t="n"/>
      <c r="F1554" s="5" t="n"/>
      <c r="G1554" s="5" t="n"/>
      <c r="H1554" s="5" t="n"/>
    </row>
    <row r="1555">
      <c r="A1555" s="5" t="n"/>
      <c r="B1555" s="5" t="n"/>
      <c r="C1555" s="5" t="n"/>
      <c r="D1555" s="5" t="n"/>
      <c r="E1555" s="8" t="n"/>
      <c r="F1555" s="5" t="n"/>
      <c r="G1555" s="5" t="n"/>
      <c r="H1555" s="5" t="n"/>
    </row>
    <row r="1556">
      <c r="A1556" s="5" t="n"/>
      <c r="B1556" s="5" t="n"/>
      <c r="C1556" s="5" t="n"/>
      <c r="D1556" s="5" t="n"/>
      <c r="E1556" s="8" t="n"/>
      <c r="F1556" s="5" t="n"/>
      <c r="G1556" s="5" t="n"/>
      <c r="H1556" s="5" t="n"/>
    </row>
    <row r="1557">
      <c r="A1557" s="5" t="n"/>
      <c r="B1557" s="5" t="n"/>
      <c r="C1557" s="5" t="n"/>
      <c r="D1557" s="5" t="n"/>
      <c r="E1557" s="8" t="n"/>
      <c r="F1557" s="5" t="n"/>
      <c r="G1557" s="5" t="n"/>
      <c r="H1557" s="5" t="n"/>
    </row>
    <row r="1558">
      <c r="A1558" s="5" t="n"/>
      <c r="B1558" s="5" t="n"/>
      <c r="C1558" s="5" t="n"/>
      <c r="D1558" s="5" t="n"/>
      <c r="E1558" s="8" t="n"/>
      <c r="F1558" s="5" t="n"/>
      <c r="G1558" s="5" t="n"/>
      <c r="H1558" s="5" t="n"/>
    </row>
    <row r="1559">
      <c r="A1559" s="5" t="n"/>
      <c r="B1559" s="5" t="n"/>
      <c r="C1559" s="5" t="n"/>
      <c r="D1559" s="5" t="n"/>
      <c r="E1559" s="8" t="n"/>
      <c r="F1559" s="5" t="n"/>
      <c r="G1559" s="5" t="n"/>
      <c r="H1559" s="5" t="n"/>
    </row>
    <row r="1560">
      <c r="A1560" s="5" t="n"/>
      <c r="B1560" s="5" t="n"/>
      <c r="C1560" s="5" t="n"/>
      <c r="D1560" s="5" t="n"/>
      <c r="E1560" s="8" t="n"/>
      <c r="F1560" s="5" t="n"/>
      <c r="G1560" s="5" t="n"/>
      <c r="H1560" s="5" t="n"/>
    </row>
    <row r="1561">
      <c r="A1561" s="5" t="n"/>
      <c r="B1561" s="5" t="n"/>
      <c r="C1561" s="5" t="n"/>
      <c r="D1561" s="5" t="n"/>
      <c r="E1561" s="8" t="n"/>
      <c r="F1561" s="5" t="n"/>
      <c r="G1561" s="5" t="n"/>
      <c r="H1561" s="5" t="n"/>
    </row>
    <row r="1562">
      <c r="A1562" s="5" t="n"/>
      <c r="B1562" s="5" t="n"/>
      <c r="C1562" s="5" t="n"/>
      <c r="D1562" s="5" t="n"/>
      <c r="E1562" s="8" t="n"/>
      <c r="F1562" s="5" t="n"/>
      <c r="G1562" s="5" t="n"/>
      <c r="H1562" s="5" t="n"/>
    </row>
    <row r="1563">
      <c r="A1563" s="5" t="n"/>
      <c r="B1563" s="5" t="n"/>
      <c r="C1563" s="5" t="n"/>
      <c r="D1563" s="5" t="n"/>
      <c r="E1563" s="8" t="n"/>
      <c r="F1563" s="5" t="n"/>
      <c r="G1563" s="5" t="n"/>
      <c r="H1563" s="5" t="n"/>
    </row>
    <row r="1564">
      <c r="A1564" s="5" t="n"/>
      <c r="B1564" s="5" t="n"/>
      <c r="C1564" s="5" t="n"/>
      <c r="D1564" s="5" t="n"/>
      <c r="E1564" s="8" t="n"/>
      <c r="F1564" s="5" t="n"/>
      <c r="G1564" s="5" t="n"/>
      <c r="H1564" s="5" t="n"/>
    </row>
    <row r="1565">
      <c r="A1565" s="5" t="n"/>
      <c r="B1565" s="5" t="n"/>
      <c r="C1565" s="5" t="n"/>
      <c r="D1565" s="5" t="n"/>
      <c r="E1565" s="8" t="n"/>
      <c r="F1565" s="5" t="n"/>
      <c r="G1565" s="5" t="n"/>
      <c r="H1565" s="5" t="n"/>
    </row>
    <row r="1566">
      <c r="A1566" s="5" t="n"/>
      <c r="B1566" s="5" t="n"/>
      <c r="C1566" s="5" t="n"/>
      <c r="D1566" s="5" t="n"/>
      <c r="E1566" s="8" t="n"/>
      <c r="F1566" s="5" t="n"/>
      <c r="G1566" s="5" t="n"/>
      <c r="H1566" s="5" t="n"/>
    </row>
    <row r="1567">
      <c r="A1567" s="5" t="n"/>
      <c r="B1567" s="5" t="n"/>
      <c r="C1567" s="5" t="n"/>
      <c r="D1567" s="5" t="n"/>
      <c r="E1567" s="8" t="n"/>
      <c r="F1567" s="5" t="n"/>
      <c r="G1567" s="5" t="n"/>
      <c r="H1567" s="5" t="n"/>
    </row>
    <row r="1568">
      <c r="A1568" s="5" t="n"/>
      <c r="B1568" s="5" t="n"/>
      <c r="C1568" s="5" t="n"/>
      <c r="D1568" s="5" t="n"/>
      <c r="E1568" s="8" t="n"/>
      <c r="F1568" s="5" t="n"/>
      <c r="G1568" s="5" t="n"/>
      <c r="H1568" s="5" t="n"/>
    </row>
    <row r="1569">
      <c r="A1569" s="5" t="n"/>
      <c r="B1569" s="5" t="n"/>
      <c r="C1569" s="5" t="n"/>
      <c r="D1569" s="5" t="n"/>
      <c r="E1569" s="8" t="n"/>
      <c r="F1569" s="5" t="n"/>
      <c r="G1569" s="5" t="n"/>
      <c r="H1569" s="5" t="n"/>
    </row>
    <row r="1570">
      <c r="A1570" s="5" t="n"/>
      <c r="B1570" s="5" t="n"/>
      <c r="C1570" s="5" t="n"/>
      <c r="D1570" s="5" t="n"/>
      <c r="E1570" s="8" t="n"/>
      <c r="F1570" s="5" t="n"/>
      <c r="G1570" s="5" t="n"/>
      <c r="H1570" s="5" t="n"/>
    </row>
    <row r="1571">
      <c r="A1571" s="5" t="n"/>
      <c r="B1571" s="5" t="n"/>
      <c r="C1571" s="5" t="n"/>
      <c r="D1571" s="5" t="n"/>
      <c r="E1571" s="8" t="n"/>
      <c r="F1571" s="5" t="n"/>
      <c r="G1571" s="5" t="n"/>
      <c r="H1571" s="5" t="n"/>
    </row>
    <row r="1572">
      <c r="A1572" s="5" t="n"/>
      <c r="B1572" s="5" t="n"/>
      <c r="C1572" s="5" t="n"/>
      <c r="D1572" s="5" t="n"/>
      <c r="E1572" s="8" t="n"/>
      <c r="F1572" s="5" t="n"/>
      <c r="G1572" s="5" t="n"/>
      <c r="H1572" s="5" t="n"/>
    </row>
    <row r="1573">
      <c r="A1573" s="5" t="n"/>
      <c r="B1573" s="5" t="n"/>
      <c r="C1573" s="5" t="n"/>
      <c r="D1573" s="5" t="n"/>
      <c r="E1573" s="8" t="n"/>
      <c r="F1573" s="5" t="n"/>
      <c r="G1573" s="5" t="n"/>
      <c r="H1573" s="5" t="n"/>
    </row>
    <row r="1574">
      <c r="A1574" s="5" t="n"/>
      <c r="B1574" s="5" t="n"/>
      <c r="C1574" s="5" t="n"/>
      <c r="D1574" s="5" t="n"/>
      <c r="E1574" s="8" t="n"/>
      <c r="F1574" s="5" t="n"/>
      <c r="G1574" s="5" t="n"/>
      <c r="H1574" s="5" t="n"/>
    </row>
    <row r="1575">
      <c r="A1575" s="5" t="n"/>
      <c r="B1575" s="5" t="n"/>
      <c r="C1575" s="5" t="n"/>
      <c r="D1575" s="5" t="n"/>
      <c r="E1575" s="8" t="n"/>
      <c r="F1575" s="5" t="n"/>
      <c r="G1575" s="5" t="n"/>
      <c r="H1575" s="5" t="n"/>
    </row>
    <row r="1576">
      <c r="A1576" s="5" t="n"/>
      <c r="B1576" s="5" t="n"/>
      <c r="C1576" s="5" t="n"/>
      <c r="D1576" s="5" t="n"/>
      <c r="E1576" s="8" t="n"/>
      <c r="F1576" s="5" t="n"/>
      <c r="G1576" s="5" t="n"/>
      <c r="H1576" s="5" t="n"/>
    </row>
    <row r="1577">
      <c r="A1577" s="5" t="n"/>
      <c r="B1577" s="5" t="n"/>
      <c r="C1577" s="5" t="n"/>
      <c r="D1577" s="5" t="n"/>
      <c r="E1577" s="8" t="n"/>
      <c r="F1577" s="5" t="n"/>
      <c r="G1577" s="5" t="n"/>
      <c r="H1577" s="5" t="n"/>
    </row>
    <row r="1578">
      <c r="A1578" s="5" t="n"/>
      <c r="B1578" s="5" t="n"/>
      <c r="C1578" s="5" t="n"/>
      <c r="D1578" s="5" t="n"/>
      <c r="E1578" s="8" t="n"/>
      <c r="F1578" s="5" t="n"/>
      <c r="G1578" s="5" t="n"/>
      <c r="H1578" s="5" t="n"/>
    </row>
    <row r="1579">
      <c r="A1579" s="5" t="n"/>
      <c r="B1579" s="5" t="n"/>
      <c r="C1579" s="5" t="n"/>
      <c r="D1579" s="5" t="n"/>
      <c r="E1579" s="8" t="n"/>
      <c r="F1579" s="5" t="n"/>
      <c r="G1579" s="5" t="n"/>
      <c r="H1579" s="5" t="n"/>
    </row>
    <row r="1580">
      <c r="A1580" s="5" t="n"/>
      <c r="B1580" s="5" t="n"/>
      <c r="C1580" s="5" t="n"/>
      <c r="D1580" s="5" t="n"/>
      <c r="E1580" s="8" t="n"/>
      <c r="F1580" s="5" t="n"/>
      <c r="G1580" s="5" t="n"/>
      <c r="H1580" s="5" t="n"/>
    </row>
    <row r="1581">
      <c r="A1581" s="5" t="n"/>
      <c r="B1581" s="5" t="n"/>
      <c r="C1581" s="5" t="n"/>
      <c r="D1581" s="5" t="n"/>
      <c r="E1581" s="8" t="n"/>
      <c r="F1581" s="5" t="n"/>
      <c r="G1581" s="5" t="n"/>
      <c r="H1581" s="5" t="n"/>
    </row>
    <row r="1582">
      <c r="A1582" s="5" t="n"/>
      <c r="B1582" s="5" t="n"/>
      <c r="C1582" s="5" t="n"/>
      <c r="D1582" s="5" t="n"/>
      <c r="E1582" s="8" t="n"/>
      <c r="F1582" s="5" t="n"/>
      <c r="G1582" s="5" t="n"/>
      <c r="H1582" s="5" t="n"/>
    </row>
    <row r="1583">
      <c r="A1583" s="5" t="n"/>
      <c r="B1583" s="5" t="n"/>
      <c r="C1583" s="5" t="n"/>
      <c r="D1583" s="5" t="n"/>
      <c r="E1583" s="8" t="n"/>
      <c r="F1583" s="5" t="n"/>
      <c r="G1583" s="5" t="n"/>
      <c r="H1583" s="5" t="n"/>
    </row>
    <row r="1584">
      <c r="A1584" s="5" t="n"/>
      <c r="B1584" s="5" t="n"/>
      <c r="C1584" s="5" t="n"/>
      <c r="D1584" s="5" t="n"/>
      <c r="E1584" s="8" t="n"/>
      <c r="F1584" s="5" t="n"/>
      <c r="G1584" s="5" t="n"/>
      <c r="H1584" s="5" t="n"/>
    </row>
    <row r="1585">
      <c r="A1585" s="5" t="n"/>
      <c r="B1585" s="5" t="n"/>
      <c r="C1585" s="5" t="n"/>
      <c r="D1585" s="5" t="n"/>
      <c r="E1585" s="8" t="n"/>
      <c r="F1585" s="5" t="n"/>
      <c r="G1585" s="5" t="n"/>
      <c r="H1585" s="5" t="n"/>
    </row>
    <row r="1586">
      <c r="A1586" s="5" t="n"/>
      <c r="B1586" s="5" t="n"/>
      <c r="C1586" s="5" t="n"/>
      <c r="D1586" s="5" t="n"/>
      <c r="E1586" s="8" t="n"/>
      <c r="F1586" s="5" t="n"/>
      <c r="G1586" s="5" t="n"/>
      <c r="H1586" s="5" t="n"/>
    </row>
    <row r="1587">
      <c r="A1587" s="5" t="n"/>
      <c r="B1587" s="5" t="n"/>
      <c r="C1587" s="5" t="n"/>
      <c r="D1587" s="5" t="n"/>
      <c r="E1587" s="8" t="n"/>
      <c r="F1587" s="5" t="n"/>
      <c r="G1587" s="5" t="n"/>
      <c r="H1587" s="5" t="n"/>
    </row>
    <row r="1588">
      <c r="A1588" s="5" t="n"/>
      <c r="B1588" s="5" t="n"/>
      <c r="C1588" s="5" t="n"/>
      <c r="D1588" s="5" t="n"/>
      <c r="E1588" s="8" t="n"/>
      <c r="F1588" s="5" t="n"/>
      <c r="G1588" s="5" t="n"/>
      <c r="H1588" s="5" t="n"/>
    </row>
    <row r="1589">
      <c r="A1589" s="5" t="n"/>
      <c r="B1589" s="5" t="n"/>
      <c r="C1589" s="5" t="n"/>
      <c r="D1589" s="5" t="n"/>
      <c r="E1589" s="8" t="n"/>
      <c r="F1589" s="5" t="n"/>
      <c r="G1589" s="5" t="n"/>
      <c r="H1589" s="5" t="n"/>
    </row>
    <row r="1590">
      <c r="A1590" s="5" t="n"/>
      <c r="B1590" s="5" t="n"/>
      <c r="C1590" s="5" t="n"/>
      <c r="D1590" s="5" t="n"/>
      <c r="E1590" s="8" t="n"/>
      <c r="F1590" s="5" t="n"/>
      <c r="G1590" s="5" t="n"/>
      <c r="H1590" s="5" t="n"/>
    </row>
    <row r="1591">
      <c r="A1591" s="5" t="n"/>
      <c r="B1591" s="5" t="n"/>
      <c r="C1591" s="5" t="n"/>
      <c r="D1591" s="5" t="n"/>
      <c r="E1591" s="8" t="n"/>
      <c r="F1591" s="5" t="n"/>
      <c r="G1591" s="5" t="n"/>
      <c r="H1591" s="5" t="n"/>
    </row>
    <row r="1592">
      <c r="A1592" s="5" t="n"/>
      <c r="B1592" s="5" t="n"/>
      <c r="C1592" s="5" t="n"/>
      <c r="D1592" s="5" t="n"/>
      <c r="E1592" s="8" t="n"/>
      <c r="F1592" s="5" t="n"/>
      <c r="G1592" s="5" t="n"/>
      <c r="H1592" s="5" t="n"/>
    </row>
    <row r="1593">
      <c r="A1593" s="5" t="n"/>
      <c r="B1593" s="5" t="n"/>
      <c r="C1593" s="5" t="n"/>
      <c r="D1593" s="5" t="n"/>
      <c r="E1593" s="8" t="n"/>
      <c r="F1593" s="5" t="n"/>
      <c r="G1593" s="5" t="n"/>
      <c r="H1593" s="5" t="n"/>
    </row>
    <row r="1594">
      <c r="A1594" s="5" t="n"/>
      <c r="B1594" s="5" t="n"/>
      <c r="C1594" s="5" t="n"/>
      <c r="D1594" s="5" t="n"/>
      <c r="E1594" s="8" t="n"/>
      <c r="F1594" s="5" t="n"/>
      <c r="G1594" s="5" t="n"/>
      <c r="H1594" s="5" t="n"/>
    </row>
    <row r="1595">
      <c r="A1595" s="5" t="n"/>
      <c r="B1595" s="5" t="n"/>
      <c r="C1595" s="5" t="n"/>
      <c r="D1595" s="5" t="n"/>
      <c r="E1595" s="8" t="n"/>
      <c r="F1595" s="5" t="n"/>
      <c r="G1595" s="5" t="n"/>
      <c r="H1595" s="5" t="n"/>
    </row>
    <row r="1596">
      <c r="A1596" s="5" t="n"/>
      <c r="B1596" s="5" t="n"/>
      <c r="C1596" s="5" t="n"/>
      <c r="D1596" s="5" t="n"/>
      <c r="E1596" s="8" t="n"/>
      <c r="F1596" s="5" t="n"/>
      <c r="G1596" s="5" t="n"/>
      <c r="H1596" s="5" t="n"/>
    </row>
    <row r="1597">
      <c r="A1597" s="5" t="n"/>
      <c r="B1597" s="5" t="n"/>
      <c r="C1597" s="5" t="n"/>
      <c r="D1597" s="5" t="n"/>
      <c r="E1597" s="8" t="n"/>
      <c r="F1597" s="5" t="n"/>
      <c r="G1597" s="5" t="n"/>
      <c r="H1597" s="5" t="n"/>
    </row>
    <row r="1598">
      <c r="A1598" s="5" t="n"/>
      <c r="B1598" s="5" t="n"/>
      <c r="C1598" s="5" t="n"/>
      <c r="D1598" s="5" t="n"/>
      <c r="E1598" s="8" t="n"/>
      <c r="F1598" s="5" t="n"/>
      <c r="G1598" s="5" t="n"/>
      <c r="H1598" s="5" t="n"/>
    </row>
    <row r="1599">
      <c r="A1599" s="5" t="n"/>
      <c r="B1599" s="5" t="n"/>
      <c r="C1599" s="5" t="n"/>
      <c r="D1599" s="5" t="n"/>
      <c r="E1599" s="8" t="n"/>
      <c r="F1599" s="5" t="n"/>
      <c r="G1599" s="5" t="n"/>
      <c r="H1599" s="5" t="n"/>
    </row>
    <row r="1600">
      <c r="A1600" s="5" t="n"/>
      <c r="B1600" s="5" t="n"/>
      <c r="C1600" s="5" t="n"/>
      <c r="D1600" s="5" t="n"/>
      <c r="E1600" s="8" t="n"/>
      <c r="F1600" s="5" t="n"/>
      <c r="G1600" s="5" t="n"/>
      <c r="H1600" s="5" t="n"/>
    </row>
    <row r="1601">
      <c r="A1601" s="5" t="n"/>
      <c r="B1601" s="5" t="n"/>
      <c r="C1601" s="5" t="n"/>
      <c r="D1601" s="5" t="n"/>
      <c r="E1601" s="8" t="n"/>
      <c r="F1601" s="5" t="n"/>
      <c r="G1601" s="5" t="n"/>
      <c r="H1601" s="5" t="n"/>
    </row>
    <row r="1602">
      <c r="A1602" s="5" t="n"/>
      <c r="B1602" s="5" t="n"/>
      <c r="C1602" s="5" t="n"/>
      <c r="D1602" s="5" t="n"/>
      <c r="E1602" s="8" t="n"/>
      <c r="F1602" s="5" t="n"/>
      <c r="G1602" s="5" t="n"/>
      <c r="H1602" s="5" t="n"/>
    </row>
    <row r="1603">
      <c r="A1603" s="5" t="n"/>
      <c r="B1603" s="5" t="n"/>
      <c r="C1603" s="5" t="n"/>
      <c r="D1603" s="5" t="n"/>
      <c r="E1603" s="8" t="n"/>
      <c r="F1603" s="5" t="n"/>
      <c r="G1603" s="5" t="n"/>
      <c r="H1603" s="5" t="n"/>
    </row>
    <row r="1604">
      <c r="A1604" s="5" t="n"/>
      <c r="B1604" s="5" t="n"/>
      <c r="C1604" s="5" t="n"/>
      <c r="D1604" s="5" t="n"/>
      <c r="E1604" s="8" t="n"/>
      <c r="F1604" s="5" t="n"/>
      <c r="G1604" s="5" t="n"/>
      <c r="H1604" s="5" t="n"/>
    </row>
    <row r="1605">
      <c r="A1605" s="5" t="n"/>
      <c r="B1605" s="5" t="n"/>
      <c r="C1605" s="5" t="n"/>
      <c r="D1605" s="5" t="n"/>
      <c r="E1605" s="8" t="n"/>
      <c r="F1605" s="5" t="n"/>
      <c r="G1605" s="5" t="n"/>
      <c r="H1605" s="5" t="n"/>
    </row>
    <row r="1606">
      <c r="A1606" s="5" t="n"/>
      <c r="B1606" s="5" t="n"/>
      <c r="C1606" s="5" t="n"/>
      <c r="D1606" s="5" t="n"/>
      <c r="E1606" s="8" t="n"/>
      <c r="F1606" s="5" t="n"/>
      <c r="G1606" s="5" t="n"/>
      <c r="H1606" s="5" t="n"/>
    </row>
    <row r="1607">
      <c r="A1607" s="5" t="n"/>
      <c r="B1607" s="5" t="n"/>
      <c r="C1607" s="5" t="n"/>
      <c r="D1607" s="5" t="n"/>
      <c r="E1607" s="8" t="n"/>
      <c r="F1607" s="5" t="n"/>
      <c r="G1607" s="5" t="n"/>
      <c r="H1607" s="5" t="n"/>
    </row>
    <row r="1608">
      <c r="A1608" s="5" t="n"/>
      <c r="B1608" s="5" t="n"/>
      <c r="C1608" s="5" t="n"/>
      <c r="D1608" s="5" t="n"/>
      <c r="E1608" s="8" t="n"/>
      <c r="F1608" s="5" t="n"/>
      <c r="G1608" s="5" t="n"/>
      <c r="H1608" s="5" t="n"/>
    </row>
    <row r="1609">
      <c r="A1609" s="5" t="n"/>
      <c r="B1609" s="5" t="n"/>
      <c r="C1609" s="5" t="n"/>
      <c r="D1609" s="5" t="n"/>
      <c r="E1609" s="8" t="n"/>
      <c r="F1609" s="5" t="n"/>
      <c r="G1609" s="5" t="n"/>
      <c r="H1609" s="5" t="n"/>
    </row>
    <row r="1610">
      <c r="A1610" s="5" t="n"/>
      <c r="B1610" s="5" t="n"/>
      <c r="C1610" s="5" t="n"/>
      <c r="D1610" s="5" t="n"/>
      <c r="E1610" s="8" t="n"/>
      <c r="F1610" s="5" t="n"/>
      <c r="G1610" s="5" t="n"/>
      <c r="H1610" s="5" t="n"/>
    </row>
    <row r="1611">
      <c r="A1611" s="5" t="n"/>
      <c r="B1611" s="5" t="n"/>
      <c r="C1611" s="5" t="n"/>
      <c r="D1611" s="5" t="n"/>
      <c r="E1611" s="8" t="n"/>
      <c r="F1611" s="5" t="n"/>
      <c r="G1611" s="5" t="n"/>
      <c r="H1611" s="5" t="n"/>
    </row>
    <row r="1612">
      <c r="A1612" s="5" t="n"/>
      <c r="B1612" s="5" t="n"/>
      <c r="C1612" s="5" t="n"/>
      <c r="D1612" s="5" t="n"/>
      <c r="E1612" s="8" t="n"/>
      <c r="F1612" s="5" t="n"/>
      <c r="G1612" s="5" t="n"/>
      <c r="H1612" s="5" t="n"/>
    </row>
    <row r="1613">
      <c r="A1613" s="5" t="n"/>
      <c r="B1613" s="5" t="n"/>
      <c r="C1613" s="5" t="n"/>
      <c r="D1613" s="5" t="n"/>
      <c r="E1613" s="8" t="n"/>
      <c r="F1613" s="5" t="n"/>
      <c r="G1613" s="5" t="n"/>
      <c r="H1613" s="5" t="n"/>
    </row>
    <row r="1614">
      <c r="A1614" s="5" t="n"/>
      <c r="B1614" s="5" t="n"/>
      <c r="C1614" s="5" t="n"/>
      <c r="D1614" s="5" t="n"/>
      <c r="E1614" s="8" t="n"/>
      <c r="F1614" s="5" t="n"/>
      <c r="G1614" s="5" t="n"/>
      <c r="H1614" s="5" t="n"/>
    </row>
    <row r="1615">
      <c r="A1615" s="5" t="n"/>
      <c r="B1615" s="5" t="n"/>
      <c r="C1615" s="5" t="n"/>
      <c r="D1615" s="5" t="n"/>
      <c r="E1615" s="8" t="n"/>
      <c r="F1615" s="5" t="n"/>
      <c r="G1615" s="5" t="n"/>
      <c r="H1615" s="5" t="n"/>
    </row>
    <row r="1616">
      <c r="A1616" s="5" t="n"/>
      <c r="B1616" s="5" t="n"/>
      <c r="C1616" s="5" t="n"/>
      <c r="D1616" s="5" t="n"/>
      <c r="E1616" s="8" t="n"/>
      <c r="F1616" s="5" t="n"/>
      <c r="G1616" s="5" t="n"/>
      <c r="H1616" s="5" t="n"/>
    </row>
    <row r="1617">
      <c r="A1617" s="5" t="n"/>
      <c r="B1617" s="5" t="n"/>
      <c r="C1617" s="5" t="n"/>
      <c r="D1617" s="5" t="n"/>
      <c r="E1617" s="8" t="n"/>
      <c r="F1617" s="5" t="n"/>
      <c r="G1617" s="5" t="n"/>
      <c r="H1617" s="5" t="n"/>
    </row>
    <row r="1618">
      <c r="A1618" s="5" t="n"/>
      <c r="B1618" s="5" t="n"/>
      <c r="C1618" s="5" t="n"/>
      <c r="D1618" s="5" t="n"/>
      <c r="E1618" s="8" t="n"/>
      <c r="F1618" s="5" t="n"/>
      <c r="G1618" s="5" t="n"/>
      <c r="H1618" s="5" t="n"/>
    </row>
    <row r="1619">
      <c r="A1619" s="5" t="n"/>
      <c r="B1619" s="5" t="n"/>
      <c r="C1619" s="5" t="n"/>
      <c r="D1619" s="5" t="n"/>
      <c r="E1619" s="8" t="n"/>
      <c r="F1619" s="5" t="n"/>
      <c r="G1619" s="5" t="n"/>
      <c r="H1619" s="5" t="n"/>
    </row>
    <row r="1620">
      <c r="A1620" s="5" t="n"/>
      <c r="B1620" s="5" t="n"/>
      <c r="C1620" s="5" t="n"/>
      <c r="D1620" s="5" t="n"/>
      <c r="E1620" s="8" t="n"/>
      <c r="F1620" s="5" t="n"/>
      <c r="G1620" s="5" t="n"/>
      <c r="H1620" s="5" t="n"/>
    </row>
    <row r="1621">
      <c r="A1621" s="5" t="n"/>
      <c r="B1621" s="5" t="n"/>
      <c r="C1621" s="5" t="n"/>
      <c r="D1621" s="5" t="n"/>
      <c r="E1621" s="8" t="n"/>
      <c r="F1621" s="5" t="n"/>
      <c r="G1621" s="5" t="n"/>
      <c r="H1621" s="5" t="n"/>
    </row>
    <row r="1622">
      <c r="A1622" s="5" t="n"/>
      <c r="B1622" s="5" t="n"/>
      <c r="C1622" s="5" t="n"/>
      <c r="D1622" s="5" t="n"/>
      <c r="E1622" s="8" t="n"/>
      <c r="F1622" s="5" t="n"/>
      <c r="G1622" s="5" t="n"/>
      <c r="H1622" s="5" t="n"/>
    </row>
    <row r="1623">
      <c r="A1623" s="5" t="n"/>
      <c r="B1623" s="5" t="n"/>
      <c r="C1623" s="5" t="n"/>
      <c r="D1623" s="5" t="n"/>
      <c r="E1623" s="8" t="n"/>
      <c r="F1623" s="5" t="n"/>
      <c r="G1623" s="5" t="n"/>
      <c r="H1623" s="5" t="n"/>
    </row>
    <row r="1624">
      <c r="A1624" s="5" t="n"/>
      <c r="B1624" s="5" t="n"/>
      <c r="C1624" s="5" t="n"/>
      <c r="D1624" s="5" t="n"/>
      <c r="E1624" s="8" t="n"/>
      <c r="F1624" s="5" t="n"/>
      <c r="G1624" s="5" t="n"/>
      <c r="H1624" s="5" t="n"/>
    </row>
    <row r="1625">
      <c r="A1625" s="5" t="n"/>
      <c r="B1625" s="5" t="n"/>
      <c r="C1625" s="5" t="n"/>
      <c r="D1625" s="5" t="n"/>
      <c r="E1625" s="8" t="n"/>
      <c r="F1625" s="5" t="n"/>
      <c r="G1625" s="5" t="n"/>
      <c r="H1625" s="5" t="n"/>
    </row>
    <row r="1626">
      <c r="A1626" s="5" t="n"/>
      <c r="B1626" s="5" t="n"/>
      <c r="C1626" s="5" t="n"/>
      <c r="D1626" s="5" t="n"/>
      <c r="E1626" s="8" t="n"/>
      <c r="F1626" s="5" t="n"/>
      <c r="G1626" s="5" t="n"/>
      <c r="H1626" s="5" t="n"/>
    </row>
    <row r="1627">
      <c r="A1627" s="5" t="n"/>
      <c r="B1627" s="5" t="n"/>
      <c r="C1627" s="5" t="n"/>
      <c r="D1627" s="5" t="n"/>
      <c r="E1627" s="8" t="n"/>
      <c r="F1627" s="5" t="n"/>
      <c r="G1627" s="5" t="n"/>
      <c r="H1627" s="5" t="n"/>
    </row>
    <row r="1628">
      <c r="A1628" s="5" t="n"/>
      <c r="B1628" s="5" t="n"/>
      <c r="C1628" s="5" t="n"/>
      <c r="D1628" s="5" t="n"/>
      <c r="E1628" s="8" t="n"/>
      <c r="F1628" s="5" t="n"/>
      <c r="G1628" s="5" t="n"/>
      <c r="H1628" s="5" t="n"/>
    </row>
    <row r="1629">
      <c r="A1629" s="5" t="n"/>
      <c r="B1629" s="5" t="n"/>
      <c r="C1629" s="5" t="n"/>
      <c r="D1629" s="5" t="n"/>
      <c r="E1629" s="8" t="n"/>
      <c r="F1629" s="5" t="n"/>
      <c r="G1629" s="5" t="n"/>
      <c r="H1629" s="5" t="n"/>
    </row>
    <row r="1630">
      <c r="A1630" s="5" t="n"/>
      <c r="B1630" s="5" t="n"/>
      <c r="C1630" s="5" t="n"/>
      <c r="D1630" s="5" t="n"/>
      <c r="E1630" s="8" t="n"/>
      <c r="F1630" s="5" t="n"/>
      <c r="G1630" s="5" t="n"/>
      <c r="H1630" s="5" t="n"/>
    </row>
    <row r="1631">
      <c r="A1631" s="5" t="n"/>
      <c r="B1631" s="5" t="n"/>
      <c r="C1631" s="5" t="n"/>
      <c r="D1631" s="5" t="n"/>
      <c r="E1631" s="8" t="n"/>
      <c r="F1631" s="5" t="n"/>
      <c r="G1631" s="5" t="n"/>
      <c r="H1631" s="5" t="n"/>
    </row>
    <row r="1632">
      <c r="A1632" s="5" t="n"/>
      <c r="B1632" s="5" t="n"/>
      <c r="C1632" s="5" t="n"/>
      <c r="D1632" s="5" t="n"/>
      <c r="E1632" s="8" t="n"/>
      <c r="F1632" s="5" t="n"/>
      <c r="G1632" s="5" t="n"/>
      <c r="H1632" s="5" t="n"/>
    </row>
    <row r="1633">
      <c r="A1633" s="5" t="n"/>
      <c r="B1633" s="5" t="n"/>
      <c r="C1633" s="5" t="n"/>
      <c r="D1633" s="5" t="n"/>
      <c r="E1633" s="8" t="n"/>
      <c r="F1633" s="5" t="n"/>
      <c r="G1633" s="5" t="n"/>
      <c r="H1633" s="5" t="n"/>
    </row>
    <row r="1634">
      <c r="A1634" s="5" t="n"/>
      <c r="B1634" s="5" t="n"/>
      <c r="C1634" s="5" t="n"/>
      <c r="D1634" s="5" t="n"/>
      <c r="E1634" s="8" t="n"/>
      <c r="F1634" s="5" t="n"/>
      <c r="G1634" s="5" t="n"/>
      <c r="H1634" s="5" t="n"/>
    </row>
    <row r="1635">
      <c r="A1635" s="5" t="n"/>
      <c r="B1635" s="5" t="n"/>
      <c r="C1635" s="5" t="n"/>
      <c r="D1635" s="5" t="n"/>
      <c r="E1635" s="8" t="n"/>
      <c r="F1635" s="5" t="n"/>
      <c r="G1635" s="5" t="n"/>
      <c r="H1635" s="5" t="n"/>
    </row>
    <row r="1636">
      <c r="A1636" s="5" t="n"/>
      <c r="B1636" s="5" t="n"/>
      <c r="C1636" s="5" t="n"/>
      <c r="D1636" s="5" t="n"/>
      <c r="E1636" s="8" t="n"/>
      <c r="F1636" s="5" t="n"/>
      <c r="G1636" s="5" t="n"/>
      <c r="H1636" s="5" t="n"/>
    </row>
    <row r="1637">
      <c r="A1637" s="5" t="n"/>
      <c r="B1637" s="5" t="n"/>
      <c r="C1637" s="5" t="n"/>
      <c r="D1637" s="5" t="n"/>
      <c r="E1637" s="8" t="n"/>
      <c r="F1637" s="5" t="n"/>
      <c r="G1637" s="5" t="n"/>
      <c r="H1637" s="5" t="n"/>
    </row>
    <row r="1638">
      <c r="A1638" s="5" t="n"/>
      <c r="B1638" s="5" t="n"/>
      <c r="C1638" s="5" t="n"/>
      <c r="D1638" s="5" t="n"/>
      <c r="E1638" s="8" t="n"/>
      <c r="F1638" s="5" t="n"/>
      <c r="G1638" s="5" t="n"/>
      <c r="H1638" s="5" t="n"/>
    </row>
    <row r="1639">
      <c r="A1639" s="5" t="n"/>
      <c r="B1639" s="5" t="n"/>
      <c r="C1639" s="5" t="n"/>
      <c r="D1639" s="5" t="n"/>
      <c r="E1639" s="8" t="n"/>
      <c r="F1639" s="5" t="n"/>
      <c r="G1639" s="5" t="n"/>
      <c r="H1639" s="5" t="n"/>
    </row>
    <row r="1640">
      <c r="A1640" s="5" t="n"/>
      <c r="B1640" s="5" t="n"/>
      <c r="C1640" s="5" t="n"/>
      <c r="D1640" s="5" t="n"/>
      <c r="E1640" s="8" t="n"/>
      <c r="F1640" s="5" t="n"/>
      <c r="G1640" s="5" t="n"/>
      <c r="H1640" s="5" t="n"/>
    </row>
    <row r="1641">
      <c r="A1641" s="5" t="n"/>
      <c r="B1641" s="5" t="n"/>
      <c r="C1641" s="5" t="n"/>
      <c r="D1641" s="5" t="n"/>
      <c r="E1641" s="8" t="n"/>
      <c r="F1641" s="5" t="n"/>
      <c r="G1641" s="5" t="n"/>
      <c r="H1641" s="5" t="n"/>
    </row>
    <row r="1642">
      <c r="A1642" s="5" t="n"/>
      <c r="B1642" s="5" t="n"/>
      <c r="C1642" s="5" t="n"/>
      <c r="D1642" s="5" t="n"/>
      <c r="E1642" s="8" t="n"/>
      <c r="F1642" s="5" t="n"/>
      <c r="G1642" s="5" t="n"/>
      <c r="H1642" s="5" t="n"/>
    </row>
    <row r="1643">
      <c r="A1643" s="5" t="n"/>
      <c r="B1643" s="5" t="n"/>
      <c r="C1643" s="5" t="n"/>
      <c r="D1643" s="5" t="n"/>
      <c r="E1643" s="8" t="n"/>
      <c r="F1643" s="5" t="n"/>
      <c r="G1643" s="5" t="n"/>
      <c r="H1643" s="5" t="n"/>
    </row>
    <row r="1644">
      <c r="A1644" s="5" t="n"/>
      <c r="B1644" s="5" t="n"/>
      <c r="C1644" s="5" t="n"/>
      <c r="D1644" s="5" t="n"/>
      <c r="E1644" s="8" t="n"/>
      <c r="F1644" s="5" t="n"/>
      <c r="G1644" s="5" t="n"/>
      <c r="H1644" s="5" t="n"/>
    </row>
    <row r="1645">
      <c r="A1645" s="5" t="n"/>
      <c r="B1645" s="5" t="n"/>
      <c r="C1645" s="5" t="n"/>
      <c r="D1645" s="5" t="n"/>
      <c r="E1645" s="8" t="n"/>
      <c r="F1645" s="5" t="n"/>
      <c r="G1645" s="5" t="n"/>
      <c r="H1645" s="5" t="n"/>
    </row>
    <row r="1646">
      <c r="A1646" s="5" t="n"/>
      <c r="B1646" s="5" t="n"/>
      <c r="C1646" s="5" t="n"/>
      <c r="D1646" s="5" t="n"/>
      <c r="E1646" s="8" t="n"/>
      <c r="F1646" s="5" t="n"/>
      <c r="G1646" s="5" t="n"/>
      <c r="H1646" s="5" t="n"/>
    </row>
    <row r="1647">
      <c r="A1647" s="5" t="n"/>
      <c r="B1647" s="5" t="n"/>
      <c r="C1647" s="5" t="n"/>
      <c r="D1647" s="5" t="n"/>
      <c r="E1647" s="8" t="n"/>
      <c r="F1647" s="5" t="n"/>
      <c r="G1647" s="5" t="n"/>
      <c r="H1647" s="5" t="n"/>
    </row>
    <row r="1648">
      <c r="A1648" s="5" t="n"/>
      <c r="B1648" s="5" t="n"/>
      <c r="C1648" s="5" t="n"/>
      <c r="D1648" s="5" t="n"/>
      <c r="E1648" s="8" t="n"/>
      <c r="F1648" s="5" t="n"/>
      <c r="G1648" s="5" t="n"/>
      <c r="H1648" s="5" t="n"/>
    </row>
    <row r="1649">
      <c r="A1649" s="5" t="n"/>
      <c r="B1649" s="5" t="n"/>
      <c r="C1649" s="5" t="n"/>
      <c r="D1649" s="5" t="n"/>
      <c r="E1649" s="8" t="n"/>
      <c r="F1649" s="5" t="n"/>
      <c r="G1649" s="5" t="n"/>
      <c r="H1649" s="5" t="n"/>
    </row>
    <row r="1650">
      <c r="A1650" s="5" t="n"/>
      <c r="B1650" s="5" t="n"/>
      <c r="C1650" s="5" t="n"/>
      <c r="D1650" s="5" t="n"/>
      <c r="E1650" s="8" t="n"/>
      <c r="F1650" s="5" t="n"/>
      <c r="G1650" s="5" t="n"/>
      <c r="H1650" s="5" t="n"/>
    </row>
    <row r="1651">
      <c r="A1651" s="5" t="n"/>
      <c r="B1651" s="5" t="n"/>
      <c r="C1651" s="5" t="n"/>
      <c r="D1651" s="5" t="n"/>
      <c r="E1651" s="8" t="n"/>
      <c r="F1651" s="5" t="n"/>
      <c r="G1651" s="5" t="n"/>
      <c r="H1651" s="5" t="n"/>
    </row>
    <row r="1652">
      <c r="A1652" s="5" t="n"/>
      <c r="B1652" s="5" t="n"/>
      <c r="C1652" s="5" t="n"/>
      <c r="D1652" s="5" t="n"/>
      <c r="E1652" s="8" t="n"/>
      <c r="F1652" s="5" t="n"/>
      <c r="G1652" s="5" t="n"/>
      <c r="H1652" s="5" t="n"/>
    </row>
    <row r="1653">
      <c r="A1653" s="5" t="n"/>
      <c r="B1653" s="5" t="n"/>
      <c r="C1653" s="5" t="n"/>
      <c r="D1653" s="5" t="n"/>
      <c r="E1653" s="8" t="n"/>
      <c r="F1653" s="5" t="n"/>
      <c r="G1653" s="5" t="n"/>
      <c r="H1653" s="5" t="n"/>
    </row>
    <row r="1654">
      <c r="A1654" s="5" t="n"/>
      <c r="B1654" s="5" t="n"/>
      <c r="C1654" s="5" t="n"/>
      <c r="D1654" s="5" t="n"/>
      <c r="E1654" s="8" t="n"/>
      <c r="F1654" s="5" t="n"/>
      <c r="G1654" s="5" t="n"/>
      <c r="H1654" s="5" t="n"/>
    </row>
    <row r="1655">
      <c r="A1655" s="5" t="n"/>
      <c r="B1655" s="5" t="n"/>
      <c r="C1655" s="5" t="n"/>
      <c r="D1655" s="5" t="n"/>
      <c r="E1655" s="8" t="n"/>
      <c r="F1655" s="5" t="n"/>
      <c r="G1655" s="5" t="n"/>
      <c r="H1655" s="5" t="n"/>
    </row>
    <row r="1656">
      <c r="A1656" s="5" t="n"/>
      <c r="B1656" s="5" t="n"/>
      <c r="C1656" s="5" t="n"/>
      <c r="D1656" s="5" t="n"/>
      <c r="E1656" s="8" t="n"/>
      <c r="F1656" s="5" t="n"/>
      <c r="G1656" s="5" t="n"/>
      <c r="H1656" s="5" t="n"/>
    </row>
    <row r="1657">
      <c r="A1657" s="5" t="n"/>
      <c r="B1657" s="5" t="n"/>
      <c r="C1657" s="5" t="n"/>
      <c r="D1657" s="5" t="n"/>
      <c r="E1657" s="8" t="n"/>
      <c r="F1657" s="5" t="n"/>
      <c r="G1657" s="5" t="n"/>
      <c r="H1657" s="5" t="n"/>
    </row>
    <row r="1658">
      <c r="A1658" s="5" t="n"/>
      <c r="B1658" s="5" t="n"/>
      <c r="C1658" s="5" t="n"/>
      <c r="D1658" s="5" t="n"/>
      <c r="E1658" s="8" t="n"/>
      <c r="F1658" s="5" t="n"/>
      <c r="G1658" s="5" t="n"/>
      <c r="H1658" s="5" t="n"/>
    </row>
    <row r="1659">
      <c r="A1659" s="5" t="n"/>
      <c r="B1659" s="5" t="n"/>
      <c r="C1659" s="5" t="n"/>
      <c r="D1659" s="5" t="n"/>
      <c r="E1659" s="8" t="n"/>
      <c r="F1659" s="5" t="n"/>
      <c r="G1659" s="5" t="n"/>
      <c r="H1659" s="5" t="n"/>
    </row>
    <row r="1660">
      <c r="A1660" s="5" t="n"/>
      <c r="B1660" s="5" t="n"/>
      <c r="C1660" s="5" t="n"/>
      <c r="D1660" s="5" t="n"/>
      <c r="E1660" s="8" t="n"/>
      <c r="F1660" s="5" t="n"/>
      <c r="G1660" s="5" t="n"/>
      <c r="H1660" s="5" t="n"/>
    </row>
    <row r="1661">
      <c r="A1661" s="5" t="n"/>
      <c r="B1661" s="5" t="n"/>
      <c r="C1661" s="5" t="n"/>
      <c r="D1661" s="5" t="n"/>
      <c r="E1661" s="8" t="n"/>
      <c r="F1661" s="5" t="n"/>
      <c r="G1661" s="5" t="n"/>
      <c r="H1661" s="5" t="n"/>
    </row>
    <row r="1662">
      <c r="A1662" s="5" t="n"/>
      <c r="B1662" s="5" t="n"/>
      <c r="C1662" s="5" t="n"/>
      <c r="D1662" s="5" t="n"/>
      <c r="E1662" s="8" t="n"/>
      <c r="F1662" s="5" t="n"/>
      <c r="G1662" s="5" t="n"/>
      <c r="H1662" s="5" t="n"/>
    </row>
    <row r="1663">
      <c r="A1663" s="5" t="n"/>
      <c r="B1663" s="5" t="n"/>
      <c r="C1663" s="5" t="n"/>
      <c r="D1663" s="5" t="n"/>
      <c r="E1663" s="8" t="n"/>
      <c r="F1663" s="5" t="n"/>
      <c r="G1663" s="5" t="n"/>
      <c r="H1663" s="5" t="n"/>
    </row>
    <row r="1664">
      <c r="A1664" s="5" t="n"/>
      <c r="B1664" s="5" t="n"/>
      <c r="C1664" s="5" t="n"/>
      <c r="D1664" s="5" t="n"/>
      <c r="E1664" s="8" t="n"/>
      <c r="F1664" s="5" t="n"/>
      <c r="G1664" s="5" t="n"/>
      <c r="H1664" s="5" t="n"/>
    </row>
    <row r="1665">
      <c r="A1665" s="5" t="n"/>
      <c r="B1665" s="5" t="n"/>
      <c r="C1665" s="5" t="n"/>
      <c r="D1665" s="5" t="n"/>
      <c r="E1665" s="8" t="n"/>
      <c r="F1665" s="5" t="n"/>
      <c r="G1665" s="5" t="n"/>
      <c r="H1665" s="5" t="n"/>
    </row>
    <row r="1666">
      <c r="A1666" s="5" t="n"/>
      <c r="B1666" s="5" t="n"/>
      <c r="C1666" s="5" t="n"/>
      <c r="D1666" s="5" t="n"/>
      <c r="E1666" s="8" t="n"/>
      <c r="F1666" s="5" t="n"/>
      <c r="G1666" s="5" t="n"/>
      <c r="H1666" s="5" t="n"/>
    </row>
    <row r="1667">
      <c r="A1667" s="5" t="n"/>
      <c r="B1667" s="5" t="n"/>
      <c r="C1667" s="5" t="n"/>
      <c r="D1667" s="5" t="n"/>
      <c r="E1667" s="8" t="n"/>
      <c r="F1667" s="5" t="n"/>
      <c r="G1667" s="5" t="n"/>
      <c r="H1667" s="5" t="n"/>
    </row>
    <row r="1668">
      <c r="A1668" s="5" t="n"/>
      <c r="B1668" s="5" t="n"/>
      <c r="C1668" s="5" t="n"/>
      <c r="D1668" s="5" t="n"/>
      <c r="E1668" s="8" t="n"/>
      <c r="F1668" s="5" t="n"/>
      <c r="G1668" s="5" t="n"/>
      <c r="H1668" s="5" t="n"/>
    </row>
    <row r="1669">
      <c r="A1669" s="5" t="n"/>
      <c r="B1669" s="5" t="n"/>
      <c r="C1669" s="5" t="n"/>
      <c r="D1669" s="5" t="n"/>
      <c r="E1669" s="8" t="n"/>
      <c r="F1669" s="5" t="n"/>
      <c r="G1669" s="5" t="n"/>
      <c r="H1669" s="5" t="n"/>
    </row>
    <row r="1670">
      <c r="A1670" s="5" t="n"/>
      <c r="B1670" s="5" t="n"/>
      <c r="C1670" s="5" t="n"/>
      <c r="D1670" s="5" t="n"/>
      <c r="E1670" s="8" t="n"/>
      <c r="F1670" s="5" t="n"/>
      <c r="G1670" s="5" t="n"/>
      <c r="H1670" s="5" t="n"/>
    </row>
    <row r="1671">
      <c r="A1671" s="5" t="n"/>
      <c r="B1671" s="5" t="n"/>
      <c r="C1671" s="5" t="n"/>
      <c r="D1671" s="5" t="n"/>
      <c r="E1671" s="8" t="n"/>
      <c r="F1671" s="5" t="n"/>
      <c r="G1671" s="5" t="n"/>
      <c r="H1671" s="5" t="n"/>
    </row>
    <row r="1672">
      <c r="A1672" s="5" t="n"/>
      <c r="B1672" s="5" t="n"/>
      <c r="C1672" s="5" t="n"/>
      <c r="D1672" s="5" t="n"/>
      <c r="E1672" s="8" t="n"/>
      <c r="F1672" s="5" t="n"/>
      <c r="G1672" s="5" t="n"/>
      <c r="H1672" s="5" t="n"/>
    </row>
    <row r="1673">
      <c r="A1673" s="5" t="n"/>
      <c r="B1673" s="5" t="n"/>
      <c r="C1673" s="5" t="n"/>
      <c r="D1673" s="5" t="n"/>
      <c r="E1673" s="8" t="n"/>
      <c r="F1673" s="5" t="n"/>
      <c r="G1673" s="5" t="n"/>
      <c r="H1673" s="5" t="n"/>
    </row>
    <row r="1674">
      <c r="A1674" s="5" t="n"/>
      <c r="B1674" s="5" t="n"/>
      <c r="C1674" s="5" t="n"/>
      <c r="D1674" s="5" t="n"/>
      <c r="E1674" s="8" t="n"/>
      <c r="F1674" s="5" t="n"/>
      <c r="G1674" s="5" t="n"/>
      <c r="H1674" s="5" t="n"/>
    </row>
    <row r="1675">
      <c r="A1675" s="5" t="n"/>
      <c r="B1675" s="5" t="n"/>
      <c r="C1675" s="5" t="n"/>
      <c r="D1675" s="5" t="n"/>
      <c r="E1675" s="8" t="n"/>
      <c r="F1675" s="5" t="n"/>
      <c r="G1675" s="5" t="n"/>
      <c r="H1675" s="5" t="n"/>
    </row>
    <row r="1676">
      <c r="A1676" s="5" t="n"/>
      <c r="B1676" s="5" t="n"/>
      <c r="C1676" s="5" t="n"/>
      <c r="D1676" s="5" t="n"/>
      <c r="E1676" s="8" t="n"/>
      <c r="F1676" s="5" t="n"/>
      <c r="G1676" s="5" t="n"/>
      <c r="H1676" s="5" t="n"/>
    </row>
    <row r="1677">
      <c r="A1677" s="5" t="n"/>
      <c r="B1677" s="5" t="n"/>
      <c r="C1677" s="5" t="n"/>
      <c r="D1677" s="5" t="n"/>
      <c r="E1677" s="8" t="n"/>
      <c r="F1677" s="5" t="n"/>
      <c r="G1677" s="5" t="n"/>
      <c r="H1677" s="5" t="n"/>
    </row>
    <row r="1678">
      <c r="A1678" s="5" t="n"/>
      <c r="B1678" s="5" t="n"/>
      <c r="C1678" s="5" t="n"/>
      <c r="D1678" s="5" t="n"/>
      <c r="E1678" s="8" t="n"/>
      <c r="F1678" s="5" t="n"/>
      <c r="G1678" s="5" t="n"/>
      <c r="H1678" s="5" t="n"/>
    </row>
    <row r="1679">
      <c r="A1679" s="5" t="n"/>
      <c r="B1679" s="5" t="n"/>
      <c r="C1679" s="5" t="n"/>
      <c r="D1679" s="5" t="n"/>
      <c r="E1679" s="8" t="n"/>
      <c r="F1679" s="5" t="n"/>
      <c r="G1679" s="5" t="n"/>
      <c r="H1679" s="5" t="n"/>
    </row>
    <row r="1680">
      <c r="A1680" s="5" t="n"/>
      <c r="B1680" s="5" t="n"/>
      <c r="C1680" s="5" t="n"/>
      <c r="D1680" s="5" t="n"/>
      <c r="E1680" s="8" t="n"/>
      <c r="F1680" s="5" t="n"/>
      <c r="G1680" s="5" t="n"/>
      <c r="H1680" s="5" t="n"/>
    </row>
    <row r="1681">
      <c r="A1681" s="5" t="n"/>
      <c r="B1681" s="5" t="n"/>
      <c r="C1681" s="5" t="n"/>
      <c r="D1681" s="5" t="n"/>
      <c r="E1681" s="8" t="n"/>
      <c r="F1681" s="5" t="n"/>
      <c r="G1681" s="5" t="n"/>
      <c r="H1681" s="5" t="n"/>
    </row>
    <row r="1682">
      <c r="A1682" s="5" t="n"/>
      <c r="B1682" s="5" t="n"/>
      <c r="C1682" s="5" t="n"/>
      <c r="D1682" s="5" t="n"/>
      <c r="E1682" s="8" t="n"/>
      <c r="F1682" s="5" t="n"/>
      <c r="G1682" s="5" t="n"/>
      <c r="H1682" s="5" t="n"/>
    </row>
    <row r="1683">
      <c r="A1683" s="5" t="n"/>
      <c r="B1683" s="5" t="n"/>
      <c r="C1683" s="5" t="n"/>
      <c r="D1683" s="5" t="n"/>
      <c r="E1683" s="8" t="n"/>
      <c r="F1683" s="5" t="n"/>
      <c r="G1683" s="5" t="n"/>
      <c r="H1683" s="5" t="n"/>
    </row>
    <row r="1684">
      <c r="A1684" s="5" t="n"/>
      <c r="B1684" s="5" t="n"/>
      <c r="C1684" s="5" t="n"/>
      <c r="D1684" s="5" t="n"/>
      <c r="E1684" s="8" t="n"/>
      <c r="F1684" s="5" t="n"/>
      <c r="G1684" s="5" t="n"/>
      <c r="H1684" s="5" t="n"/>
    </row>
    <row r="1685">
      <c r="A1685" s="5" t="n"/>
      <c r="B1685" s="5" t="n"/>
      <c r="C1685" s="5" t="n"/>
      <c r="D1685" s="5" t="n"/>
      <c r="E1685" s="8" t="n"/>
      <c r="F1685" s="5" t="n"/>
      <c r="G1685" s="5" t="n"/>
      <c r="H1685" s="5" t="n"/>
    </row>
    <row r="1686">
      <c r="A1686" s="5" t="n"/>
      <c r="B1686" s="5" t="n"/>
      <c r="C1686" s="5" t="n"/>
      <c r="D1686" s="5" t="n"/>
      <c r="E1686" s="8" t="n"/>
      <c r="F1686" s="5" t="n"/>
      <c r="G1686" s="5" t="n"/>
      <c r="H1686" s="5" t="n"/>
    </row>
    <row r="1687">
      <c r="A1687" s="5" t="n"/>
      <c r="B1687" s="5" t="n"/>
      <c r="C1687" s="5" t="n"/>
      <c r="D1687" s="5" t="n"/>
      <c r="E1687" s="8" t="n"/>
      <c r="F1687" s="5" t="n"/>
      <c r="G1687" s="5" t="n"/>
      <c r="H1687" s="5" t="n"/>
    </row>
    <row r="1688">
      <c r="A1688" s="5" t="n"/>
      <c r="B1688" s="5" t="n"/>
      <c r="C1688" s="5" t="n"/>
      <c r="D1688" s="5" t="n"/>
      <c r="E1688" s="8" t="n"/>
      <c r="F1688" s="5" t="n"/>
      <c r="G1688" s="5" t="n"/>
      <c r="H1688" s="5" t="n"/>
    </row>
    <row r="1689">
      <c r="A1689" s="5" t="n"/>
      <c r="B1689" s="5" t="n"/>
      <c r="C1689" s="5" t="n"/>
      <c r="D1689" s="5" t="n"/>
      <c r="E1689" s="8" t="n"/>
      <c r="F1689" s="5" t="n"/>
      <c r="G1689" s="5" t="n"/>
      <c r="H1689" s="5" t="n"/>
    </row>
    <row r="1690">
      <c r="A1690" s="5" t="n"/>
      <c r="B1690" s="5" t="n"/>
      <c r="C1690" s="5" t="n"/>
      <c r="D1690" s="5" t="n"/>
      <c r="E1690" s="8" t="n"/>
      <c r="F1690" s="5" t="n"/>
      <c r="G1690" s="5" t="n"/>
      <c r="H1690" s="5" t="n"/>
    </row>
    <row r="1691">
      <c r="A1691" s="5" t="n"/>
      <c r="B1691" s="5" t="n"/>
      <c r="C1691" s="5" t="n"/>
      <c r="D1691" s="5" t="n"/>
      <c r="E1691" s="8" t="n"/>
      <c r="F1691" s="5" t="n"/>
      <c r="G1691" s="5" t="n"/>
      <c r="H1691" s="5" t="n"/>
    </row>
    <row r="1692">
      <c r="A1692" s="5" t="n"/>
      <c r="B1692" s="5" t="n"/>
      <c r="C1692" s="5" t="n"/>
      <c r="D1692" s="5" t="n"/>
      <c r="E1692" s="8" t="n"/>
      <c r="F1692" s="5" t="n"/>
      <c r="G1692" s="5" t="n"/>
      <c r="H1692" s="5" t="n"/>
    </row>
    <row r="1693">
      <c r="A1693" s="5" t="n"/>
      <c r="B1693" s="5" t="n"/>
      <c r="C1693" s="5" t="n"/>
      <c r="D1693" s="5" t="n"/>
      <c r="E1693" s="8" t="n"/>
      <c r="F1693" s="5" t="n"/>
      <c r="G1693" s="5" t="n"/>
      <c r="H1693" s="5" t="n"/>
    </row>
    <row r="1694">
      <c r="A1694" s="5" t="n"/>
      <c r="B1694" s="5" t="n"/>
      <c r="C1694" s="5" t="n"/>
      <c r="D1694" s="5" t="n"/>
      <c r="E1694" s="8" t="n"/>
      <c r="F1694" s="5" t="n"/>
      <c r="G1694" s="5" t="n"/>
      <c r="H1694" s="5" t="n"/>
    </row>
    <row r="1695">
      <c r="A1695" s="5" t="n"/>
      <c r="B1695" s="5" t="n"/>
      <c r="C1695" s="5" t="n"/>
      <c r="D1695" s="5" t="n"/>
      <c r="E1695" s="8" t="n"/>
      <c r="F1695" s="5" t="n"/>
      <c r="G1695" s="5" t="n"/>
      <c r="H1695" s="5" t="n"/>
    </row>
    <row r="1696">
      <c r="A1696" s="5" t="n"/>
      <c r="B1696" s="5" t="n"/>
      <c r="C1696" s="5" t="n"/>
      <c r="D1696" s="5" t="n"/>
      <c r="E1696" s="8" t="n"/>
      <c r="F1696" s="5" t="n"/>
      <c r="G1696" s="5" t="n"/>
      <c r="H1696" s="5" t="n"/>
    </row>
    <row r="1697">
      <c r="A1697" s="5" t="n"/>
      <c r="B1697" s="5" t="n"/>
      <c r="C1697" s="5" t="n"/>
      <c r="D1697" s="5" t="n"/>
      <c r="E1697" s="8" t="n"/>
      <c r="F1697" s="5" t="n"/>
      <c r="G1697" s="5" t="n"/>
      <c r="H1697" s="5" t="n"/>
    </row>
    <row r="1698">
      <c r="A1698" s="5" t="n"/>
      <c r="B1698" s="5" t="n"/>
      <c r="C1698" s="5" t="n"/>
      <c r="D1698" s="5" t="n"/>
      <c r="E1698" s="8" t="n"/>
      <c r="F1698" s="5" t="n"/>
      <c r="G1698" s="5" t="n"/>
      <c r="H1698" s="5" t="n"/>
    </row>
    <row r="1699">
      <c r="A1699" s="5" t="n"/>
      <c r="B1699" s="5" t="n"/>
      <c r="C1699" s="5" t="n"/>
      <c r="D1699" s="5" t="n"/>
      <c r="E1699" s="8" t="n"/>
      <c r="F1699" s="5" t="n"/>
      <c r="G1699" s="5" t="n"/>
      <c r="H1699" s="5" t="n"/>
    </row>
    <row r="1700">
      <c r="A1700" s="5" t="n"/>
      <c r="B1700" s="5" t="n"/>
      <c r="C1700" s="5" t="n"/>
      <c r="D1700" s="5" t="n"/>
      <c r="E1700" s="8" t="n"/>
      <c r="F1700" s="5" t="n"/>
      <c r="G1700" s="5" t="n"/>
      <c r="H1700" s="5" t="n"/>
    </row>
    <row r="1701">
      <c r="A1701" s="5" t="n"/>
      <c r="B1701" s="5" t="n"/>
      <c r="C1701" s="5" t="n"/>
      <c r="D1701" s="5" t="n"/>
      <c r="E1701" s="8" t="n"/>
      <c r="F1701" s="5" t="n"/>
      <c r="G1701" s="5" t="n"/>
      <c r="H1701" s="5" t="n"/>
    </row>
    <row r="1702">
      <c r="A1702" s="5" t="n"/>
      <c r="B1702" s="5" t="n"/>
      <c r="C1702" s="5" t="n"/>
      <c r="D1702" s="5" t="n"/>
      <c r="E1702" s="8" t="n"/>
      <c r="F1702" s="5" t="n"/>
      <c r="G1702" s="5" t="n"/>
      <c r="H1702" s="5" t="n"/>
    </row>
    <row r="1703">
      <c r="A1703" s="5" t="n"/>
      <c r="B1703" s="5" t="n"/>
      <c r="C1703" s="5" t="n"/>
      <c r="D1703" s="5" t="n"/>
      <c r="E1703" s="8" t="n"/>
      <c r="F1703" s="5" t="n"/>
      <c r="G1703" s="5" t="n"/>
      <c r="H1703" s="5" t="n"/>
    </row>
    <row r="1704">
      <c r="A1704" s="5" t="n"/>
      <c r="B1704" s="5" t="n"/>
      <c r="C1704" s="5" t="n"/>
      <c r="D1704" s="5" t="n"/>
      <c r="E1704" s="8" t="n"/>
      <c r="F1704" s="5" t="n"/>
      <c r="G1704" s="5" t="n"/>
      <c r="H1704" s="5" t="n"/>
    </row>
    <row r="1705">
      <c r="A1705" s="5" t="n"/>
      <c r="B1705" s="5" t="n"/>
      <c r="C1705" s="5" t="n"/>
      <c r="D1705" s="5" t="n"/>
      <c r="E1705" s="8" t="n"/>
      <c r="F1705" s="5" t="n"/>
      <c r="G1705" s="5" t="n"/>
      <c r="H1705" s="5" t="n"/>
    </row>
    <row r="1706">
      <c r="A1706" s="5" t="n"/>
      <c r="B1706" s="5" t="n"/>
      <c r="C1706" s="5" t="n"/>
      <c r="D1706" s="5" t="n"/>
      <c r="E1706" s="8" t="n"/>
      <c r="F1706" s="5" t="n"/>
      <c r="G1706" s="5" t="n"/>
      <c r="H1706" s="5" t="n"/>
    </row>
    <row r="1707">
      <c r="A1707" s="5" t="n"/>
      <c r="B1707" s="5" t="n"/>
      <c r="C1707" s="5" t="n"/>
      <c r="D1707" s="5" t="n"/>
      <c r="E1707" s="8" t="n"/>
      <c r="F1707" s="5" t="n"/>
      <c r="G1707" s="5" t="n"/>
      <c r="H1707" s="5" t="n"/>
    </row>
    <row r="1708">
      <c r="A1708" s="5" t="n"/>
      <c r="B1708" s="5" t="n"/>
      <c r="C1708" s="5" t="n"/>
      <c r="D1708" s="5" t="n"/>
      <c r="E1708" s="8" t="n"/>
      <c r="F1708" s="5" t="n"/>
      <c r="G1708" s="5" t="n"/>
      <c r="H1708" s="5" t="n"/>
    </row>
    <row r="1709">
      <c r="A1709" s="5" t="n"/>
      <c r="B1709" s="5" t="n"/>
      <c r="C1709" s="5" t="n"/>
      <c r="D1709" s="5" t="n"/>
      <c r="E1709" s="8" t="n"/>
      <c r="F1709" s="5" t="n"/>
      <c r="G1709" s="5" t="n"/>
      <c r="H1709" s="5" t="n"/>
    </row>
    <row r="1710">
      <c r="A1710" s="5" t="n"/>
      <c r="B1710" s="5" t="n"/>
      <c r="C1710" s="5" t="n"/>
      <c r="D1710" s="5" t="n"/>
      <c r="E1710" s="8" t="n"/>
      <c r="F1710" s="5" t="n"/>
      <c r="G1710" s="5" t="n"/>
      <c r="H1710" s="5" t="n"/>
    </row>
    <row r="1711">
      <c r="A1711" s="5" t="n"/>
      <c r="B1711" s="5" t="n"/>
      <c r="C1711" s="5" t="n"/>
      <c r="D1711" s="5" t="n"/>
      <c r="E1711" s="8" t="n"/>
      <c r="F1711" s="5" t="n"/>
      <c r="G1711" s="5" t="n"/>
      <c r="H1711" s="5" t="n"/>
    </row>
    <row r="1712">
      <c r="A1712" s="5" t="n"/>
      <c r="B1712" s="5" t="n"/>
      <c r="C1712" s="5" t="n"/>
      <c r="D1712" s="5" t="n"/>
      <c r="E1712" s="8" t="n"/>
      <c r="F1712" s="5" t="n"/>
      <c r="G1712" s="5" t="n"/>
      <c r="H1712" s="5" t="n"/>
    </row>
    <row r="1713">
      <c r="A1713" s="5" t="n"/>
      <c r="B1713" s="5" t="n"/>
      <c r="C1713" s="5" t="n"/>
      <c r="D1713" s="5" t="n"/>
      <c r="E1713" s="8" t="n"/>
      <c r="F1713" s="5" t="n"/>
      <c r="G1713" s="5" t="n"/>
      <c r="H1713" s="5" t="n"/>
    </row>
    <row r="1714">
      <c r="A1714" s="5" t="n"/>
      <c r="B1714" s="5" t="n"/>
      <c r="C1714" s="5" t="n"/>
      <c r="D1714" s="5" t="n"/>
      <c r="E1714" s="8" t="n"/>
      <c r="F1714" s="5" t="n"/>
      <c r="G1714" s="5" t="n"/>
      <c r="H1714" s="5" t="n"/>
    </row>
    <row r="1715">
      <c r="A1715" s="5" t="n"/>
      <c r="B1715" s="5" t="n"/>
      <c r="C1715" s="5" t="n"/>
      <c r="D1715" s="5" t="n"/>
      <c r="E1715" s="8" t="n"/>
      <c r="F1715" s="5" t="n"/>
      <c r="G1715" s="5" t="n"/>
      <c r="H1715" s="5" t="n"/>
    </row>
    <row r="1716">
      <c r="A1716" s="5" t="n"/>
      <c r="B1716" s="5" t="n"/>
      <c r="C1716" s="5" t="n"/>
      <c r="D1716" s="5" t="n"/>
      <c r="E1716" s="8" t="n"/>
      <c r="F1716" s="5" t="n"/>
      <c r="G1716" s="5" t="n"/>
      <c r="H1716" s="5" t="n"/>
    </row>
    <row r="1717">
      <c r="A1717" s="5" t="n"/>
      <c r="B1717" s="5" t="n"/>
      <c r="C1717" s="5" t="n"/>
      <c r="D1717" s="5" t="n"/>
      <c r="E1717" s="8" t="n"/>
      <c r="F1717" s="5" t="n"/>
      <c r="G1717" s="5" t="n"/>
      <c r="H1717" s="5" t="n"/>
    </row>
    <row r="1718">
      <c r="A1718" s="5" t="n"/>
      <c r="B1718" s="5" t="n"/>
      <c r="C1718" s="5" t="n"/>
      <c r="D1718" s="5" t="n"/>
      <c r="E1718" s="8" t="n"/>
      <c r="F1718" s="5" t="n"/>
      <c r="G1718" s="5" t="n"/>
      <c r="H1718" s="5" t="n"/>
    </row>
    <row r="1719">
      <c r="A1719" s="5" t="n"/>
      <c r="B1719" s="5" t="n"/>
      <c r="C1719" s="5" t="n"/>
      <c r="D1719" s="5" t="n"/>
      <c r="E1719" s="8" t="n"/>
      <c r="F1719" s="5" t="n"/>
      <c r="G1719" s="5" t="n"/>
      <c r="H1719" s="5" t="n"/>
    </row>
    <row r="1720">
      <c r="A1720" s="5" t="n"/>
      <c r="B1720" s="5" t="n"/>
      <c r="C1720" s="5" t="n"/>
      <c r="D1720" s="5" t="n"/>
      <c r="E1720" s="8" t="n"/>
      <c r="F1720" s="5" t="n"/>
      <c r="G1720" s="5" t="n"/>
      <c r="H1720" s="5" t="n"/>
    </row>
    <row r="1721">
      <c r="A1721" s="5" t="n"/>
      <c r="B1721" s="5" t="n"/>
      <c r="C1721" s="5" t="n"/>
      <c r="D1721" s="5" t="n"/>
      <c r="E1721" s="8" t="n"/>
      <c r="F1721" s="5" t="n"/>
      <c r="G1721" s="5" t="n"/>
      <c r="H1721" s="5" t="n"/>
    </row>
    <row r="1722">
      <c r="A1722" s="5" t="n"/>
      <c r="B1722" s="5" t="n"/>
      <c r="C1722" s="5" t="n"/>
      <c r="D1722" s="5" t="n"/>
      <c r="E1722" s="8" t="n"/>
      <c r="F1722" s="5" t="n"/>
      <c r="G1722" s="5" t="n"/>
      <c r="H1722" s="5" t="n"/>
    </row>
    <row r="1723">
      <c r="A1723" s="5" t="n"/>
      <c r="B1723" s="5" t="n"/>
      <c r="C1723" s="5" t="n"/>
      <c r="D1723" s="5" t="n"/>
      <c r="E1723" s="8" t="n"/>
      <c r="F1723" s="5" t="n"/>
      <c r="G1723" s="5" t="n"/>
      <c r="H1723" s="5" t="n"/>
    </row>
    <row r="1724">
      <c r="A1724" s="5" t="n"/>
      <c r="B1724" s="5" t="n"/>
      <c r="C1724" s="5" t="n"/>
      <c r="D1724" s="5" t="n"/>
      <c r="E1724" s="8" t="n"/>
      <c r="F1724" s="5" t="n"/>
      <c r="G1724" s="5" t="n"/>
      <c r="H1724" s="5" t="n"/>
    </row>
    <row r="1725">
      <c r="A1725" s="5" t="n"/>
      <c r="B1725" s="5" t="n"/>
      <c r="C1725" s="5" t="n"/>
      <c r="D1725" s="5" t="n"/>
      <c r="E1725" s="8" t="n"/>
      <c r="F1725" s="5" t="n"/>
      <c r="G1725" s="5" t="n"/>
      <c r="H1725" s="5" t="n"/>
    </row>
    <row r="1726">
      <c r="A1726" s="5" t="n"/>
      <c r="B1726" s="5" t="n"/>
      <c r="C1726" s="5" t="n"/>
      <c r="D1726" s="5" t="n"/>
      <c r="E1726" s="8" t="n"/>
      <c r="F1726" s="5" t="n"/>
      <c r="G1726" s="5" t="n"/>
      <c r="H1726" s="5" t="n"/>
    </row>
    <row r="1727">
      <c r="A1727" s="5" t="n"/>
      <c r="B1727" s="5" t="n"/>
      <c r="C1727" s="5" t="n"/>
      <c r="D1727" s="5" t="n"/>
      <c r="E1727" s="8" t="n"/>
      <c r="F1727" s="5" t="n"/>
      <c r="G1727" s="5" t="n"/>
      <c r="H1727" s="5" t="n"/>
    </row>
    <row r="1728">
      <c r="A1728" s="5" t="n"/>
      <c r="B1728" s="5" t="n"/>
      <c r="C1728" s="5" t="n"/>
      <c r="D1728" s="5" t="n"/>
      <c r="E1728" s="8" t="n"/>
      <c r="F1728" s="5" t="n"/>
      <c r="G1728" s="5" t="n"/>
      <c r="H1728" s="5" t="n"/>
    </row>
    <row r="1729">
      <c r="A1729" s="5" t="n"/>
      <c r="B1729" s="5" t="n"/>
      <c r="C1729" s="5" t="n"/>
      <c r="D1729" s="5" t="n"/>
      <c r="E1729" s="8" t="n"/>
      <c r="F1729" s="5" t="n"/>
      <c r="G1729" s="5" t="n"/>
      <c r="H1729" s="5" t="n"/>
    </row>
    <row r="1730">
      <c r="A1730" s="5" t="n"/>
      <c r="B1730" s="5" t="n"/>
      <c r="C1730" s="5" t="n"/>
      <c r="D1730" s="5" t="n"/>
      <c r="E1730" s="8" t="n"/>
      <c r="F1730" s="5" t="n"/>
      <c r="G1730" s="5" t="n"/>
      <c r="H1730" s="5" t="n"/>
    </row>
    <row r="1731">
      <c r="A1731" s="5" t="n"/>
      <c r="B1731" s="5" t="n"/>
      <c r="C1731" s="5" t="n"/>
      <c r="D1731" s="5" t="n"/>
      <c r="E1731" s="8" t="n"/>
      <c r="F1731" s="5" t="n"/>
      <c r="G1731" s="5" t="n"/>
      <c r="H1731" s="5" t="n"/>
    </row>
    <row r="1732">
      <c r="A1732" s="5" t="n"/>
      <c r="B1732" s="5" t="n"/>
      <c r="C1732" s="5" t="n"/>
      <c r="D1732" s="5" t="n"/>
      <c r="E1732" s="8" t="n"/>
      <c r="F1732" s="5" t="n"/>
      <c r="G1732" s="5" t="n"/>
      <c r="H1732" s="5" t="n"/>
    </row>
    <row r="1733">
      <c r="A1733" s="5" t="n"/>
      <c r="B1733" s="5" t="n"/>
      <c r="C1733" s="5" t="n"/>
      <c r="D1733" s="5" t="n"/>
      <c r="E1733" s="8" t="n"/>
      <c r="F1733" s="5" t="n"/>
      <c r="G1733" s="5" t="n"/>
      <c r="H1733" s="5" t="n"/>
    </row>
    <row r="1734">
      <c r="A1734" s="5" t="n"/>
      <c r="B1734" s="5" t="n"/>
      <c r="C1734" s="5" t="n"/>
      <c r="D1734" s="5" t="n"/>
      <c r="E1734" s="8" t="n"/>
      <c r="F1734" s="5" t="n"/>
      <c r="G1734" s="5" t="n"/>
      <c r="H1734" s="5" t="n"/>
    </row>
    <row r="1735">
      <c r="A1735" s="5" t="n"/>
      <c r="B1735" s="5" t="n"/>
      <c r="C1735" s="5" t="n"/>
      <c r="D1735" s="5" t="n"/>
      <c r="E1735" s="8" t="n"/>
      <c r="F1735" s="5" t="n"/>
      <c r="G1735" s="5" t="n"/>
      <c r="H1735" s="5" t="n"/>
    </row>
    <row r="1736">
      <c r="A1736" s="5" t="n"/>
      <c r="B1736" s="5" t="n"/>
      <c r="C1736" s="5" t="n"/>
      <c r="D1736" s="5" t="n"/>
      <c r="E1736" s="8" t="n"/>
      <c r="F1736" s="5" t="n"/>
      <c r="G1736" s="5" t="n"/>
      <c r="H1736" s="5" t="n"/>
    </row>
    <row r="1737">
      <c r="A1737" s="5" t="n"/>
      <c r="B1737" s="5" t="n"/>
      <c r="C1737" s="5" t="n"/>
      <c r="D1737" s="5" t="n"/>
      <c r="E1737" s="8" t="n"/>
      <c r="F1737" s="5" t="n"/>
      <c r="G1737" s="5" t="n"/>
      <c r="H1737" s="5" t="n"/>
    </row>
    <row r="1738">
      <c r="A1738" s="5" t="n"/>
      <c r="B1738" s="5" t="n"/>
      <c r="C1738" s="5" t="n"/>
      <c r="D1738" s="5" t="n"/>
      <c r="E1738" s="8" t="n"/>
      <c r="F1738" s="5" t="n"/>
      <c r="G1738" s="5" t="n"/>
      <c r="H1738" s="5" t="n"/>
    </row>
    <row r="1739">
      <c r="A1739" s="5" t="n"/>
      <c r="B1739" s="5" t="n"/>
      <c r="C1739" s="5" t="n"/>
      <c r="D1739" s="5" t="n"/>
      <c r="E1739" s="8" t="n"/>
      <c r="F1739" s="5" t="n"/>
      <c r="G1739" s="5" t="n"/>
      <c r="H1739" s="5" t="n"/>
    </row>
    <row r="1740">
      <c r="A1740" s="5" t="n"/>
      <c r="B1740" s="5" t="n"/>
      <c r="C1740" s="5" t="n"/>
      <c r="D1740" s="5" t="n"/>
      <c r="E1740" s="8" t="n"/>
      <c r="F1740" s="5" t="n"/>
      <c r="G1740" s="5" t="n"/>
      <c r="H1740" s="5" t="n"/>
    </row>
    <row r="1741">
      <c r="A1741" s="5" t="n"/>
      <c r="B1741" s="5" t="n"/>
      <c r="C1741" s="5" t="n"/>
      <c r="D1741" s="5" t="n"/>
      <c r="E1741" s="8" t="n"/>
      <c r="F1741" s="5" t="n"/>
      <c r="G1741" s="5" t="n"/>
      <c r="H1741" s="5" t="n"/>
    </row>
    <row r="1742">
      <c r="A1742" s="5" t="n"/>
      <c r="B1742" s="5" t="n"/>
      <c r="C1742" s="5" t="n"/>
      <c r="D1742" s="5" t="n"/>
      <c r="E1742" s="8" t="n"/>
      <c r="F1742" s="5" t="n"/>
      <c r="G1742" s="5" t="n"/>
      <c r="H1742" s="5" t="n"/>
    </row>
    <row r="1743">
      <c r="A1743" s="5" t="n"/>
      <c r="B1743" s="5" t="n"/>
      <c r="C1743" s="5" t="n"/>
      <c r="D1743" s="5" t="n"/>
      <c r="E1743" s="8" t="n"/>
      <c r="F1743" s="5" t="n"/>
      <c r="G1743" s="5" t="n"/>
      <c r="H1743" s="5" t="n"/>
    </row>
    <row r="1744">
      <c r="A1744" s="5" t="n"/>
      <c r="B1744" s="5" t="n"/>
      <c r="C1744" s="5" t="n"/>
      <c r="D1744" s="5" t="n"/>
      <c r="E1744" s="8" t="n"/>
      <c r="F1744" s="5" t="n"/>
      <c r="G1744" s="5" t="n"/>
      <c r="H1744" s="5" t="n"/>
    </row>
    <row r="1745">
      <c r="A1745" s="5" t="n"/>
      <c r="B1745" s="5" t="n"/>
      <c r="C1745" s="5" t="n"/>
      <c r="D1745" s="5" t="n"/>
      <c r="E1745" s="8" t="n"/>
      <c r="F1745" s="5" t="n"/>
      <c r="G1745" s="5" t="n"/>
      <c r="H1745" s="5" t="n"/>
    </row>
    <row r="1746">
      <c r="A1746" s="5" t="n"/>
      <c r="B1746" s="5" t="n"/>
      <c r="C1746" s="5" t="n"/>
      <c r="D1746" s="5" t="n"/>
      <c r="E1746" s="8" t="n"/>
      <c r="F1746" s="5" t="n"/>
      <c r="G1746" s="5" t="n"/>
      <c r="H1746" s="5" t="n"/>
    </row>
    <row r="1747">
      <c r="A1747" s="5" t="n"/>
      <c r="B1747" s="5" t="n"/>
      <c r="C1747" s="5" t="n"/>
      <c r="D1747" s="5" t="n"/>
      <c r="E1747" s="8" t="n"/>
      <c r="F1747" s="5" t="n"/>
      <c r="G1747" s="5" t="n"/>
      <c r="H1747" s="5" t="n"/>
    </row>
    <row r="1748">
      <c r="A1748" s="5" t="n"/>
      <c r="B1748" s="5" t="n"/>
      <c r="C1748" s="5" t="n"/>
      <c r="D1748" s="5" t="n"/>
      <c r="E1748" s="8" t="n"/>
      <c r="F1748" s="5" t="n"/>
      <c r="G1748" s="5" t="n"/>
      <c r="H1748" s="5" t="n"/>
    </row>
    <row r="1749">
      <c r="A1749" s="5" t="n"/>
      <c r="B1749" s="5" t="n"/>
      <c r="C1749" s="5" t="n"/>
      <c r="D1749" s="5" t="n"/>
      <c r="E1749" s="8" t="n"/>
      <c r="F1749" s="5" t="n"/>
      <c r="G1749" s="5" t="n"/>
      <c r="H1749" s="5" t="n"/>
    </row>
    <row r="1750">
      <c r="A1750" s="5" t="n"/>
      <c r="B1750" s="5" t="n"/>
      <c r="C1750" s="5" t="n"/>
      <c r="D1750" s="5" t="n"/>
      <c r="E1750" s="8" t="n"/>
      <c r="F1750" s="5" t="n"/>
      <c r="G1750" s="5" t="n"/>
      <c r="H1750" s="5" t="n"/>
    </row>
    <row r="1751">
      <c r="A1751" s="5" t="n"/>
      <c r="B1751" s="5" t="n"/>
      <c r="C1751" s="5" t="n"/>
      <c r="D1751" s="5" t="n"/>
      <c r="E1751" s="8" t="n"/>
      <c r="F1751" s="5" t="n"/>
      <c r="G1751" s="5" t="n"/>
      <c r="H1751" s="5" t="n"/>
    </row>
    <row r="1752">
      <c r="A1752" s="5" t="n"/>
      <c r="B1752" s="5" t="n"/>
      <c r="C1752" s="5" t="n"/>
      <c r="D1752" s="5" t="n"/>
      <c r="E1752" s="8" t="n"/>
      <c r="F1752" s="5" t="n"/>
      <c r="G1752" s="5" t="n"/>
      <c r="H1752" s="5" t="n"/>
    </row>
    <row r="1753">
      <c r="A1753" s="5" t="n"/>
      <c r="B1753" s="5" t="n"/>
      <c r="C1753" s="5" t="n"/>
      <c r="D1753" s="5" t="n"/>
      <c r="E1753" s="8" t="n"/>
      <c r="F1753" s="5" t="n"/>
      <c r="G1753" s="5" t="n"/>
      <c r="H1753" s="5" t="n"/>
    </row>
    <row r="1754">
      <c r="A1754" s="5" t="n"/>
      <c r="B1754" s="5" t="n"/>
      <c r="C1754" s="5" t="n"/>
      <c r="D1754" s="5" t="n"/>
      <c r="E1754" s="8" t="n"/>
      <c r="F1754" s="5" t="n"/>
      <c r="G1754" s="5" t="n"/>
      <c r="H1754" s="5" t="n"/>
    </row>
    <row r="1755">
      <c r="A1755" s="5" t="n"/>
      <c r="B1755" s="5" t="n"/>
      <c r="C1755" s="5" t="n"/>
      <c r="D1755" s="5" t="n"/>
      <c r="E1755" s="8" t="n"/>
      <c r="F1755" s="5" t="n"/>
      <c r="G1755" s="5" t="n"/>
      <c r="H1755" s="5" t="n"/>
    </row>
    <row r="1756">
      <c r="A1756" s="5" t="n"/>
      <c r="B1756" s="5" t="n"/>
      <c r="C1756" s="5" t="n"/>
      <c r="D1756" s="5" t="n"/>
      <c r="E1756" s="8" t="n"/>
      <c r="F1756" s="5" t="n"/>
      <c r="G1756" s="5" t="n"/>
      <c r="H1756" s="5" t="n"/>
    </row>
    <row r="1757">
      <c r="A1757" s="5" t="n"/>
      <c r="B1757" s="5" t="n"/>
      <c r="C1757" s="5" t="n"/>
      <c r="D1757" s="5" t="n"/>
      <c r="E1757" s="8" t="n"/>
      <c r="F1757" s="5" t="n"/>
      <c r="G1757" s="5" t="n"/>
      <c r="H1757" s="5" t="n"/>
    </row>
    <row r="1758">
      <c r="A1758" s="5" t="n"/>
      <c r="B1758" s="5" t="n"/>
      <c r="C1758" s="5" t="n"/>
      <c r="D1758" s="5" t="n"/>
      <c r="E1758" s="8" t="n"/>
      <c r="F1758" s="5" t="n"/>
      <c r="G1758" s="5" t="n"/>
      <c r="H1758" s="5" t="n"/>
    </row>
    <row r="1759">
      <c r="A1759" s="5" t="n"/>
      <c r="B1759" s="5" t="n"/>
      <c r="C1759" s="5" t="n"/>
      <c r="D1759" s="5" t="n"/>
      <c r="E1759" s="8" t="n"/>
      <c r="F1759" s="5" t="n"/>
      <c r="G1759" s="5" t="n"/>
      <c r="H1759" s="5" t="n"/>
    </row>
    <row r="1760">
      <c r="A1760" s="5" t="n"/>
      <c r="B1760" s="5" t="n"/>
      <c r="C1760" s="5" t="n"/>
      <c r="D1760" s="5" t="n"/>
      <c r="E1760" s="8" t="n"/>
      <c r="F1760" s="5" t="n"/>
      <c r="G1760" s="5" t="n"/>
      <c r="H1760" s="5" t="n"/>
    </row>
    <row r="1761">
      <c r="A1761" s="5" t="n"/>
      <c r="B1761" s="5" t="n"/>
      <c r="C1761" s="5" t="n"/>
      <c r="D1761" s="5" t="n"/>
      <c r="E1761" s="8" t="n"/>
      <c r="F1761" s="5" t="n"/>
      <c r="G1761" s="5" t="n"/>
      <c r="H1761" s="5" t="n"/>
    </row>
    <row r="1762">
      <c r="A1762" s="5" t="n"/>
      <c r="B1762" s="5" t="n"/>
      <c r="C1762" s="5" t="n"/>
      <c r="D1762" s="5" t="n"/>
      <c r="E1762" s="8" t="n"/>
      <c r="F1762" s="5" t="n"/>
      <c r="G1762" s="5" t="n"/>
      <c r="H1762" s="5" t="n"/>
    </row>
    <row r="1763">
      <c r="A1763" s="5" t="n"/>
      <c r="B1763" s="5" t="n"/>
      <c r="C1763" s="5" t="n"/>
      <c r="D1763" s="5" t="n"/>
      <c r="E1763" s="8" t="n"/>
      <c r="F1763" s="5" t="n"/>
      <c r="G1763" s="5" t="n"/>
      <c r="H1763" s="5" t="n"/>
    </row>
    <row r="1764">
      <c r="A1764" s="5" t="n"/>
      <c r="B1764" s="5" t="n"/>
      <c r="C1764" s="5" t="n"/>
      <c r="D1764" s="5" t="n"/>
      <c r="E1764" s="8" t="n"/>
      <c r="F1764" s="5" t="n"/>
      <c r="G1764" s="5" t="n"/>
      <c r="H1764" s="5" t="n"/>
    </row>
    <row r="1765">
      <c r="A1765" s="5" t="n"/>
      <c r="B1765" s="5" t="n"/>
      <c r="C1765" s="5" t="n"/>
      <c r="D1765" s="5" t="n"/>
      <c r="E1765" s="8" t="n"/>
      <c r="F1765" s="5" t="n"/>
      <c r="G1765" s="5" t="n"/>
      <c r="H1765" s="5" t="n"/>
    </row>
    <row r="1766">
      <c r="A1766" s="5" t="n"/>
      <c r="B1766" s="5" t="n"/>
      <c r="C1766" s="5" t="n"/>
      <c r="D1766" s="5" t="n"/>
      <c r="E1766" s="8" t="n"/>
      <c r="F1766" s="5" t="n"/>
      <c r="G1766" s="5" t="n"/>
      <c r="H1766" s="5" t="n"/>
    </row>
    <row r="1767">
      <c r="A1767" s="5" t="n"/>
      <c r="B1767" s="5" t="n"/>
      <c r="C1767" s="5" t="n"/>
      <c r="D1767" s="5" t="n"/>
      <c r="E1767" s="8" t="n"/>
      <c r="F1767" s="5" t="n"/>
      <c r="G1767" s="5" t="n"/>
      <c r="H1767" s="5" t="n"/>
    </row>
    <row r="1768">
      <c r="A1768" s="5" t="n"/>
      <c r="B1768" s="5" t="n"/>
      <c r="C1768" s="5" t="n"/>
      <c r="D1768" s="5" t="n"/>
      <c r="E1768" s="8" t="n"/>
      <c r="F1768" s="5" t="n"/>
      <c r="G1768" s="5" t="n"/>
      <c r="H1768" s="5" t="n"/>
    </row>
    <row r="1769">
      <c r="A1769" s="5" t="n"/>
      <c r="B1769" s="5" t="n"/>
      <c r="C1769" s="5" t="n"/>
      <c r="D1769" s="5" t="n"/>
      <c r="E1769" s="8" t="n"/>
      <c r="F1769" s="5" t="n"/>
      <c r="G1769" s="5" t="n"/>
      <c r="H1769" s="5" t="n"/>
    </row>
    <row r="1770">
      <c r="A1770" s="5" t="n"/>
      <c r="B1770" s="5" t="n"/>
      <c r="C1770" s="5" t="n"/>
      <c r="D1770" s="5" t="n"/>
      <c r="E1770" s="8" t="n"/>
      <c r="F1770" s="5" t="n"/>
      <c r="G1770" s="5" t="n"/>
      <c r="H1770" s="5" t="n"/>
    </row>
    <row r="1771">
      <c r="A1771" s="5" t="n"/>
      <c r="B1771" s="5" t="n"/>
      <c r="C1771" s="5" t="n"/>
      <c r="D1771" s="5" t="n"/>
      <c r="E1771" s="8" t="n"/>
      <c r="F1771" s="5" t="n"/>
      <c r="G1771" s="5" t="n"/>
      <c r="H1771" s="5" t="n"/>
    </row>
    <row r="1772">
      <c r="A1772" s="5" t="n"/>
      <c r="B1772" s="5" t="n"/>
      <c r="C1772" s="5" t="n"/>
      <c r="D1772" s="5" t="n"/>
      <c r="E1772" s="8" t="n"/>
      <c r="F1772" s="5" t="n"/>
      <c r="G1772" s="5" t="n"/>
      <c r="H1772" s="5" t="n"/>
    </row>
    <row r="1773">
      <c r="A1773" s="5" t="n"/>
      <c r="B1773" s="5" t="n"/>
      <c r="C1773" s="5" t="n"/>
      <c r="D1773" s="5" t="n"/>
      <c r="E1773" s="8" t="n"/>
      <c r="F1773" s="5" t="n"/>
      <c r="G1773" s="5" t="n"/>
      <c r="H1773" s="5" t="n"/>
    </row>
    <row r="1774">
      <c r="A1774" s="5" t="n"/>
      <c r="B1774" s="5" t="n"/>
      <c r="C1774" s="5" t="n"/>
      <c r="D1774" s="5" t="n"/>
      <c r="E1774" s="8" t="n"/>
      <c r="F1774" s="5" t="n"/>
      <c r="G1774" s="5" t="n"/>
      <c r="H1774" s="5" t="n"/>
    </row>
    <row r="1775">
      <c r="A1775" s="5" t="n"/>
      <c r="B1775" s="5" t="n"/>
      <c r="C1775" s="5" t="n"/>
      <c r="D1775" s="5" t="n"/>
      <c r="E1775" s="8" t="n"/>
      <c r="F1775" s="5" t="n"/>
      <c r="G1775" s="5" t="n"/>
      <c r="H1775" s="5" t="n"/>
    </row>
    <row r="1776">
      <c r="A1776" s="5" t="n"/>
      <c r="B1776" s="5" t="n"/>
      <c r="C1776" s="5" t="n"/>
      <c r="D1776" s="5" t="n"/>
      <c r="E1776" s="8" t="n"/>
      <c r="F1776" s="5" t="n"/>
      <c r="G1776" s="5" t="n"/>
      <c r="H1776" s="5" t="n"/>
    </row>
    <row r="1777">
      <c r="A1777" s="5" t="n"/>
      <c r="B1777" s="5" t="n"/>
      <c r="C1777" s="5" t="n"/>
      <c r="D1777" s="5" t="n"/>
      <c r="E1777" s="8" t="n"/>
      <c r="F1777" s="5" t="n"/>
      <c r="G1777" s="5" t="n"/>
      <c r="H1777" s="5" t="n"/>
    </row>
    <row r="1778">
      <c r="A1778" s="5" t="n"/>
      <c r="B1778" s="5" t="n"/>
      <c r="C1778" s="5" t="n"/>
      <c r="D1778" s="5" t="n"/>
      <c r="E1778" s="8" t="n"/>
      <c r="F1778" s="5" t="n"/>
      <c r="G1778" s="5" t="n"/>
      <c r="H1778" s="5" t="n"/>
    </row>
    <row r="1779">
      <c r="A1779" s="5" t="n"/>
      <c r="B1779" s="5" t="n"/>
      <c r="C1779" s="5" t="n"/>
      <c r="D1779" s="5" t="n"/>
      <c r="E1779" s="8" t="n"/>
      <c r="F1779" s="5" t="n"/>
      <c r="G1779" s="5" t="n"/>
      <c r="H1779" s="5" t="n"/>
    </row>
    <row r="1780">
      <c r="A1780" s="5" t="n"/>
      <c r="B1780" s="5" t="n"/>
      <c r="C1780" s="5" t="n"/>
      <c r="D1780" s="5" t="n"/>
      <c r="E1780" s="8" t="n"/>
      <c r="F1780" s="5" t="n"/>
      <c r="G1780" s="5" t="n"/>
      <c r="H1780" s="5" t="n"/>
    </row>
    <row r="1781">
      <c r="A1781" s="5" t="n"/>
      <c r="B1781" s="5" t="n"/>
      <c r="C1781" s="5" t="n"/>
      <c r="D1781" s="5" t="n"/>
      <c r="E1781" s="8" t="n"/>
      <c r="F1781" s="5" t="n"/>
      <c r="G1781" s="5" t="n"/>
      <c r="H1781" s="5" t="n"/>
    </row>
    <row r="1782">
      <c r="A1782" s="5" t="n"/>
      <c r="B1782" s="5" t="n"/>
      <c r="C1782" s="5" t="n"/>
      <c r="D1782" s="5" t="n"/>
      <c r="E1782" s="8" t="n"/>
      <c r="F1782" s="5" t="n"/>
      <c r="G1782" s="5" t="n"/>
      <c r="H1782" s="5" t="n"/>
    </row>
    <row r="1783">
      <c r="A1783" s="5" t="n"/>
      <c r="B1783" s="5" t="n"/>
      <c r="C1783" s="5" t="n"/>
      <c r="D1783" s="5" t="n"/>
      <c r="E1783" s="8" t="n"/>
      <c r="F1783" s="5" t="n"/>
      <c r="G1783" s="5" t="n"/>
      <c r="H1783" s="5" t="n"/>
    </row>
    <row r="1784">
      <c r="A1784" s="5" t="n"/>
      <c r="B1784" s="5" t="n"/>
      <c r="C1784" s="5" t="n"/>
      <c r="D1784" s="5" t="n"/>
      <c r="E1784" s="8" t="n"/>
      <c r="F1784" s="5" t="n"/>
      <c r="G1784" s="5" t="n"/>
      <c r="H1784" s="5" t="n"/>
    </row>
    <row r="1785">
      <c r="A1785" s="5" t="n"/>
      <c r="B1785" s="5" t="n"/>
      <c r="C1785" s="5" t="n"/>
      <c r="D1785" s="5" t="n"/>
      <c r="E1785" s="8" t="n"/>
      <c r="F1785" s="5" t="n"/>
      <c r="G1785" s="5" t="n"/>
      <c r="H1785" s="5" t="n"/>
    </row>
    <row r="1786">
      <c r="A1786" s="5" t="n"/>
      <c r="B1786" s="5" t="n"/>
      <c r="C1786" s="5" t="n"/>
      <c r="D1786" s="5" t="n"/>
      <c r="E1786" s="8" t="n"/>
      <c r="F1786" s="5" t="n"/>
      <c r="G1786" s="5" t="n"/>
      <c r="H1786" s="5" t="n"/>
    </row>
    <row r="1787">
      <c r="A1787" s="5" t="n"/>
      <c r="B1787" s="5" t="n"/>
      <c r="C1787" s="5" t="n"/>
      <c r="D1787" s="5" t="n"/>
      <c r="E1787" s="8" t="n"/>
      <c r="F1787" s="5" t="n"/>
      <c r="G1787" s="5" t="n"/>
      <c r="H1787" s="5" t="n"/>
    </row>
    <row r="1788">
      <c r="A1788" s="5" t="n"/>
      <c r="B1788" s="5" t="n"/>
      <c r="C1788" s="5" t="n"/>
      <c r="D1788" s="5" t="n"/>
      <c r="E1788" s="8" t="n"/>
      <c r="F1788" s="5" t="n"/>
      <c r="G1788" s="5" t="n"/>
      <c r="H1788" s="5" t="n"/>
    </row>
    <row r="1789">
      <c r="A1789" s="5" t="n"/>
      <c r="B1789" s="5" t="n"/>
      <c r="C1789" s="5" t="n"/>
      <c r="D1789" s="5" t="n"/>
      <c r="E1789" s="8" t="n"/>
      <c r="F1789" s="5" t="n"/>
      <c r="G1789" s="5" t="n"/>
      <c r="H1789" s="5" t="n"/>
    </row>
    <row r="1790">
      <c r="A1790" s="5" t="n"/>
      <c r="B1790" s="5" t="n"/>
      <c r="C1790" s="5" t="n"/>
      <c r="D1790" s="5" t="n"/>
      <c r="E1790" s="8" t="n"/>
      <c r="F1790" s="5" t="n"/>
      <c r="G1790" s="5" t="n"/>
      <c r="H1790" s="5" t="n"/>
    </row>
    <row r="1791">
      <c r="A1791" s="5" t="n"/>
      <c r="B1791" s="5" t="n"/>
      <c r="C1791" s="5" t="n"/>
      <c r="D1791" s="5" t="n"/>
      <c r="E1791" s="8" t="n"/>
      <c r="F1791" s="5" t="n"/>
      <c r="G1791" s="5" t="n"/>
      <c r="H1791" s="5" t="n"/>
    </row>
    <row r="1792">
      <c r="A1792" s="5" t="n"/>
      <c r="B1792" s="5" t="n"/>
      <c r="C1792" s="5" t="n"/>
      <c r="D1792" s="5" t="n"/>
      <c r="E1792" s="8" t="n"/>
      <c r="F1792" s="5" t="n"/>
      <c r="G1792" s="5" t="n"/>
      <c r="H1792" s="5" t="n"/>
    </row>
    <row r="1793">
      <c r="A1793" s="5" t="n"/>
      <c r="B1793" s="5" t="n"/>
      <c r="C1793" s="5" t="n"/>
      <c r="D1793" s="5" t="n"/>
      <c r="E1793" s="8" t="n"/>
      <c r="F1793" s="5" t="n"/>
      <c r="G1793" s="5" t="n"/>
      <c r="H1793" s="5" t="n"/>
    </row>
    <row r="1794">
      <c r="A1794" s="5" t="n"/>
      <c r="B1794" s="5" t="n"/>
      <c r="C1794" s="5" t="n"/>
      <c r="D1794" s="5" t="n"/>
      <c r="E1794" s="8" t="n"/>
      <c r="F1794" s="5" t="n"/>
      <c r="G1794" s="5" t="n"/>
      <c r="H1794" s="5" t="n"/>
    </row>
    <row r="1795">
      <c r="A1795" s="5" t="n"/>
      <c r="B1795" s="5" t="n"/>
      <c r="C1795" s="5" t="n"/>
      <c r="D1795" s="5" t="n"/>
      <c r="E1795" s="8" t="n"/>
      <c r="F1795" s="5" t="n"/>
      <c r="G1795" s="5" t="n"/>
      <c r="H1795" s="5" t="n"/>
    </row>
    <row r="1796">
      <c r="A1796" s="5" t="n"/>
      <c r="B1796" s="5" t="n"/>
      <c r="C1796" s="5" t="n"/>
      <c r="D1796" s="5" t="n"/>
      <c r="E1796" s="8" t="n"/>
      <c r="F1796" s="5" t="n"/>
      <c r="G1796" s="5" t="n"/>
      <c r="H1796" s="5" t="n"/>
    </row>
    <row r="1797">
      <c r="A1797" s="5" t="n"/>
      <c r="B1797" s="5" t="n"/>
      <c r="C1797" s="5" t="n"/>
      <c r="D1797" s="5" t="n"/>
      <c r="E1797" s="8" t="n"/>
      <c r="F1797" s="5" t="n"/>
      <c r="G1797" s="5" t="n"/>
      <c r="H1797" s="5" t="n"/>
    </row>
    <row r="1798">
      <c r="A1798" s="5" t="n"/>
      <c r="B1798" s="5" t="n"/>
      <c r="C1798" s="5" t="n"/>
      <c r="D1798" s="5" t="n"/>
      <c r="E1798" s="8" t="n"/>
      <c r="F1798" s="5" t="n"/>
      <c r="G1798" s="5" t="n"/>
      <c r="H1798" s="5" t="n"/>
    </row>
    <row r="1799">
      <c r="A1799" s="5" t="n"/>
      <c r="B1799" s="5" t="n"/>
      <c r="C1799" s="5" t="n"/>
      <c r="D1799" s="5" t="n"/>
      <c r="E1799" s="8" t="n"/>
      <c r="F1799" s="5" t="n"/>
      <c r="G1799" s="5" t="n"/>
      <c r="H1799" s="5" t="n"/>
    </row>
    <row r="1800">
      <c r="A1800" s="5" t="n"/>
      <c r="B1800" s="5" t="n"/>
      <c r="C1800" s="5" t="n"/>
      <c r="D1800" s="5" t="n"/>
      <c r="E1800" s="8" t="n"/>
      <c r="F1800" s="5" t="n"/>
      <c r="G1800" s="5" t="n"/>
      <c r="H1800" s="5" t="n"/>
    </row>
    <row r="1801">
      <c r="A1801" s="5" t="n"/>
      <c r="B1801" s="5" t="n"/>
      <c r="C1801" s="5" t="n"/>
      <c r="D1801" s="5" t="n"/>
      <c r="E1801" s="8" t="n"/>
      <c r="F1801" s="5" t="n"/>
      <c r="G1801" s="5" t="n"/>
      <c r="H1801" s="5" t="n"/>
    </row>
    <row r="1802">
      <c r="A1802" s="5" t="n"/>
      <c r="B1802" s="5" t="n"/>
      <c r="C1802" s="5" t="n"/>
      <c r="D1802" s="5" t="n"/>
      <c r="E1802" s="8" t="n"/>
      <c r="F1802" s="5" t="n"/>
      <c r="G1802" s="5" t="n"/>
      <c r="H1802" s="5" t="n"/>
    </row>
    <row r="1803">
      <c r="A1803" s="5" t="n"/>
      <c r="B1803" s="5" t="n"/>
      <c r="C1803" s="5" t="n"/>
      <c r="D1803" s="5" t="n"/>
      <c r="E1803" s="8" t="n"/>
      <c r="F1803" s="5" t="n"/>
      <c r="G1803" s="5" t="n"/>
      <c r="H1803" s="5" t="n"/>
    </row>
    <row r="1804">
      <c r="A1804" s="5" t="n"/>
      <c r="B1804" s="5" t="n"/>
      <c r="C1804" s="5" t="n"/>
      <c r="D1804" s="5" t="n"/>
      <c r="E1804" s="8" t="n"/>
      <c r="F1804" s="5" t="n"/>
      <c r="G1804" s="5" t="n"/>
      <c r="H1804" s="5" t="n"/>
    </row>
    <row r="1805">
      <c r="A1805" s="5" t="n"/>
      <c r="B1805" s="5" t="n"/>
      <c r="C1805" s="5" t="n"/>
      <c r="D1805" s="5" t="n"/>
      <c r="E1805" s="8" t="n"/>
      <c r="F1805" s="5" t="n"/>
      <c r="G1805" s="5" t="n"/>
      <c r="H1805" s="5" t="n"/>
    </row>
    <row r="1806">
      <c r="A1806" s="5" t="n"/>
      <c r="B1806" s="5" t="n"/>
      <c r="C1806" s="5" t="n"/>
      <c r="D1806" s="5" t="n"/>
      <c r="E1806" s="8" t="n"/>
      <c r="F1806" s="5" t="n"/>
      <c r="G1806" s="5" t="n"/>
      <c r="H1806" s="5" t="n"/>
    </row>
    <row r="1807">
      <c r="A1807" s="5" t="n"/>
      <c r="B1807" s="5" t="n"/>
      <c r="C1807" s="5" t="n"/>
      <c r="D1807" s="5" t="n"/>
      <c r="E1807" s="8" t="n"/>
      <c r="F1807" s="5" t="n"/>
      <c r="G1807" s="5" t="n"/>
      <c r="H1807" s="5" t="n"/>
    </row>
    <row r="1808">
      <c r="A1808" s="5" t="n"/>
      <c r="B1808" s="5" t="n"/>
      <c r="C1808" s="5" t="n"/>
      <c r="D1808" s="5" t="n"/>
      <c r="E1808" s="8" t="n"/>
      <c r="F1808" s="5" t="n"/>
      <c r="G1808" s="5" t="n"/>
      <c r="H1808" s="5" t="n"/>
    </row>
    <row r="1809">
      <c r="A1809" s="5" t="n"/>
      <c r="B1809" s="5" t="n"/>
      <c r="C1809" s="5" t="n"/>
      <c r="D1809" s="5" t="n"/>
      <c r="E1809" s="8" t="n"/>
      <c r="F1809" s="5" t="n"/>
      <c r="G1809" s="5" t="n"/>
      <c r="H1809" s="5" t="n"/>
    </row>
    <row r="1810">
      <c r="A1810" s="5" t="n"/>
      <c r="B1810" s="5" t="n"/>
      <c r="C1810" s="5" t="n"/>
      <c r="D1810" s="5" t="n"/>
      <c r="E1810" s="8" t="n"/>
      <c r="F1810" s="5" t="n"/>
      <c r="G1810" s="5" t="n"/>
      <c r="H1810" s="5" t="n"/>
    </row>
    <row r="1811">
      <c r="A1811" s="5" t="n"/>
      <c r="B1811" s="5" t="n"/>
      <c r="C1811" s="5" t="n"/>
      <c r="D1811" s="5" t="n"/>
      <c r="E1811" s="8" t="n"/>
      <c r="F1811" s="5" t="n"/>
      <c r="G1811" s="5" t="n"/>
      <c r="H1811" s="5" t="n"/>
    </row>
    <row r="1812">
      <c r="A1812" s="5" t="n"/>
      <c r="B1812" s="5" t="n"/>
      <c r="C1812" s="5" t="n"/>
      <c r="D1812" s="5" t="n"/>
      <c r="E1812" s="8" t="n"/>
      <c r="F1812" s="5" t="n"/>
      <c r="G1812" s="5" t="n"/>
      <c r="H1812" s="5" t="n"/>
    </row>
    <row r="1813">
      <c r="A1813" s="5" t="n"/>
      <c r="B1813" s="5" t="n"/>
      <c r="C1813" s="5" t="n"/>
      <c r="D1813" s="5" t="n"/>
      <c r="E1813" s="8" t="n"/>
      <c r="F1813" s="5" t="n"/>
      <c r="G1813" s="5" t="n"/>
      <c r="H1813" s="5" t="n"/>
    </row>
    <row r="1814">
      <c r="A1814" s="5" t="n"/>
      <c r="B1814" s="5" t="n"/>
      <c r="C1814" s="5" t="n"/>
      <c r="D1814" s="5" t="n"/>
      <c r="E1814" s="8" t="n"/>
      <c r="F1814" s="5" t="n"/>
      <c r="G1814" s="5" t="n"/>
      <c r="H1814" s="5" t="n"/>
    </row>
    <row r="1815">
      <c r="A1815" s="5" t="n"/>
      <c r="B1815" s="5" t="n"/>
      <c r="C1815" s="5" t="n"/>
      <c r="D1815" s="5" t="n"/>
      <c r="E1815" s="8" t="n"/>
      <c r="F1815" s="5" t="n"/>
      <c r="G1815" s="5" t="n"/>
      <c r="H1815" s="5" t="n"/>
    </row>
    <row r="1816">
      <c r="A1816" s="5" t="n"/>
      <c r="B1816" s="5" t="n"/>
      <c r="C1816" s="5" t="n"/>
      <c r="D1816" s="5" t="n"/>
      <c r="E1816" s="8" t="n"/>
      <c r="F1816" s="5" t="n"/>
      <c r="G1816" s="5" t="n"/>
      <c r="H1816" s="5" t="n"/>
    </row>
    <row r="1817">
      <c r="A1817" s="5" t="n"/>
      <c r="B1817" s="5" t="n"/>
      <c r="C1817" s="5" t="n"/>
      <c r="D1817" s="5" t="n"/>
      <c r="E1817" s="8" t="n"/>
      <c r="F1817" s="5" t="n"/>
      <c r="G1817" s="5" t="n"/>
      <c r="H1817" s="5" t="n"/>
    </row>
    <row r="1818">
      <c r="A1818" s="5" t="n"/>
      <c r="B1818" s="5" t="n"/>
      <c r="C1818" s="5" t="n"/>
      <c r="D1818" s="5" t="n"/>
      <c r="E1818" s="8" t="n"/>
      <c r="F1818" s="5" t="n"/>
      <c r="G1818" s="5" t="n"/>
      <c r="H1818" s="5" t="n"/>
    </row>
    <row r="1819">
      <c r="A1819" s="5" t="n"/>
      <c r="B1819" s="5" t="n"/>
      <c r="C1819" s="5" t="n"/>
      <c r="D1819" s="5" t="n"/>
      <c r="E1819" s="8" t="n"/>
      <c r="F1819" s="5" t="n"/>
      <c r="G1819" s="5" t="n"/>
      <c r="H1819" s="5" t="n"/>
    </row>
    <row r="1820">
      <c r="A1820" s="5" t="n"/>
      <c r="B1820" s="5" t="n"/>
      <c r="C1820" s="5" t="n"/>
      <c r="D1820" s="5" t="n"/>
      <c r="E1820" s="8" t="n"/>
      <c r="F1820" s="5" t="n"/>
      <c r="G1820" s="5" t="n"/>
      <c r="H1820" s="5" t="n"/>
    </row>
    <row r="1821">
      <c r="A1821" s="5" t="n"/>
      <c r="B1821" s="5" t="n"/>
      <c r="C1821" s="5" t="n"/>
      <c r="D1821" s="5" t="n"/>
      <c r="E1821" s="8" t="n"/>
      <c r="F1821" s="5" t="n"/>
      <c r="G1821" s="5" t="n"/>
      <c r="H1821" s="5" t="n"/>
    </row>
    <row r="1822">
      <c r="A1822" s="5" t="n"/>
      <c r="B1822" s="5" t="n"/>
      <c r="C1822" s="5" t="n"/>
      <c r="D1822" s="5" t="n"/>
      <c r="E1822" s="8" t="n"/>
      <c r="F1822" s="5" t="n"/>
      <c r="G1822" s="5" t="n"/>
      <c r="H1822" s="5" t="n"/>
    </row>
    <row r="1823">
      <c r="A1823" s="5" t="n"/>
      <c r="B1823" s="5" t="n"/>
      <c r="C1823" s="5" t="n"/>
      <c r="D1823" s="5" t="n"/>
      <c r="E1823" s="8" t="n"/>
      <c r="F1823" s="5" t="n"/>
      <c r="G1823" s="5" t="n"/>
      <c r="H1823" s="5" t="n"/>
    </row>
    <row r="1824">
      <c r="A1824" s="5" t="n"/>
      <c r="B1824" s="5" t="n"/>
      <c r="C1824" s="5" t="n"/>
      <c r="D1824" s="5" t="n"/>
      <c r="E1824" s="8" t="n"/>
      <c r="F1824" s="5" t="n"/>
      <c r="G1824" s="5" t="n"/>
      <c r="H1824" s="5" t="n"/>
    </row>
    <row r="1825">
      <c r="A1825" s="5" t="n"/>
      <c r="B1825" s="5" t="n"/>
      <c r="C1825" s="5" t="n"/>
      <c r="D1825" s="5" t="n"/>
      <c r="E1825" s="8" t="n"/>
      <c r="F1825" s="5" t="n"/>
      <c r="G1825" s="5" t="n"/>
      <c r="H1825" s="5" t="n"/>
    </row>
    <row r="1826">
      <c r="A1826" s="5" t="n"/>
      <c r="B1826" s="5" t="n"/>
      <c r="C1826" s="5" t="n"/>
      <c r="D1826" s="5" t="n"/>
      <c r="E1826" s="8" t="n"/>
      <c r="F1826" s="5" t="n"/>
      <c r="G1826" s="5" t="n"/>
      <c r="H1826" s="5" t="n"/>
    </row>
    <row r="1827">
      <c r="A1827" s="5" t="n"/>
      <c r="B1827" s="5" t="n"/>
      <c r="C1827" s="5" t="n"/>
      <c r="D1827" s="5" t="n"/>
      <c r="E1827" s="8" t="n"/>
      <c r="F1827" s="5" t="n"/>
      <c r="G1827" s="5" t="n"/>
      <c r="H1827" s="5" t="n"/>
    </row>
    <row r="1828">
      <c r="A1828" s="5" t="n"/>
      <c r="B1828" s="5" t="n"/>
      <c r="C1828" s="5" t="n"/>
      <c r="D1828" s="5" t="n"/>
      <c r="E1828" s="8" t="n"/>
      <c r="F1828" s="5" t="n"/>
      <c r="G1828" s="5" t="n"/>
      <c r="H1828" s="5" t="n"/>
    </row>
    <row r="1829">
      <c r="A1829" s="5" t="n"/>
      <c r="B1829" s="5" t="n"/>
      <c r="C1829" s="5" t="n"/>
      <c r="D1829" s="5" t="n"/>
      <c r="E1829" s="8" t="n"/>
      <c r="F1829" s="5" t="n"/>
      <c r="G1829" s="5" t="n"/>
      <c r="H1829" s="5" t="n"/>
    </row>
    <row r="1830">
      <c r="A1830" s="5" t="n"/>
      <c r="B1830" s="5" t="n"/>
      <c r="C1830" s="5" t="n"/>
      <c r="D1830" s="5" t="n"/>
      <c r="E1830" s="8" t="n"/>
      <c r="F1830" s="5" t="n"/>
      <c r="G1830" s="5" t="n"/>
      <c r="H1830" s="5" t="n"/>
    </row>
    <row r="1831">
      <c r="A1831" s="5" t="n"/>
      <c r="B1831" s="5" t="n"/>
      <c r="C1831" s="5" t="n"/>
      <c r="D1831" s="5" t="n"/>
      <c r="E1831" s="8" t="n"/>
      <c r="F1831" s="5" t="n"/>
      <c r="G1831" s="5" t="n"/>
      <c r="H1831" s="5" t="n"/>
    </row>
    <row r="1832">
      <c r="A1832" s="5" t="n"/>
      <c r="B1832" s="5" t="n"/>
      <c r="C1832" s="5" t="n"/>
      <c r="D1832" s="5" t="n"/>
      <c r="E1832" s="8" t="n"/>
      <c r="F1832" s="5" t="n"/>
      <c r="G1832" s="5" t="n"/>
      <c r="H1832" s="5" t="n"/>
    </row>
    <row r="1833">
      <c r="A1833" s="5" t="n"/>
      <c r="B1833" s="5" t="n"/>
      <c r="C1833" s="5" t="n"/>
      <c r="D1833" s="5" t="n"/>
      <c r="E1833" s="8" t="n"/>
      <c r="F1833" s="5" t="n"/>
      <c r="G1833" s="5" t="n"/>
      <c r="H1833" s="5" t="n"/>
    </row>
    <row r="1834">
      <c r="A1834" s="5" t="n"/>
      <c r="B1834" s="5" t="n"/>
      <c r="C1834" s="5" t="n"/>
      <c r="D1834" s="5" t="n"/>
      <c r="E1834" s="8" t="n"/>
      <c r="F1834" s="5" t="n"/>
      <c r="G1834" s="5" t="n"/>
      <c r="H1834" s="5" t="n"/>
    </row>
    <row r="1835">
      <c r="A1835" s="5" t="n"/>
      <c r="B1835" s="5" t="n"/>
      <c r="C1835" s="5" t="n"/>
      <c r="D1835" s="5" t="n"/>
      <c r="E1835" s="8" t="n"/>
      <c r="F1835" s="5" t="n"/>
      <c r="G1835" s="5" t="n"/>
      <c r="H1835" s="5" t="n"/>
    </row>
    <row r="1836">
      <c r="A1836" s="5" t="n"/>
      <c r="B1836" s="5" t="n"/>
      <c r="C1836" s="5" t="n"/>
      <c r="D1836" s="5" t="n"/>
      <c r="E1836" s="8" t="n"/>
      <c r="F1836" s="5" t="n"/>
      <c r="G1836" s="5" t="n"/>
      <c r="H1836" s="5" t="n"/>
    </row>
    <row r="1837">
      <c r="A1837" s="5" t="n"/>
      <c r="B1837" s="5" t="n"/>
      <c r="C1837" s="5" t="n"/>
      <c r="D1837" s="5" t="n"/>
      <c r="E1837" s="8" t="n"/>
      <c r="F1837" s="5" t="n"/>
      <c r="G1837" s="5" t="n"/>
      <c r="H1837" s="5" t="n"/>
    </row>
    <row r="1838">
      <c r="A1838" s="5" t="n"/>
      <c r="B1838" s="5" t="n"/>
      <c r="C1838" s="5" t="n"/>
      <c r="D1838" s="5" t="n"/>
      <c r="E1838" s="8" t="n"/>
      <c r="F1838" s="5" t="n"/>
      <c r="G1838" s="5" t="n"/>
      <c r="H1838" s="5" t="n"/>
    </row>
    <row r="1839">
      <c r="A1839" s="5" t="n"/>
      <c r="B1839" s="5" t="n"/>
      <c r="C1839" s="5" t="n"/>
      <c r="D1839" s="5" t="n"/>
      <c r="E1839" s="8" t="n"/>
      <c r="F1839" s="5" t="n"/>
      <c r="G1839" s="5" t="n"/>
      <c r="H1839" s="5" t="n"/>
    </row>
    <row r="1840">
      <c r="A1840" s="5" t="n"/>
      <c r="B1840" s="5" t="n"/>
      <c r="C1840" s="5" t="n"/>
      <c r="D1840" s="5" t="n"/>
      <c r="E1840" s="8" t="n"/>
      <c r="F1840" s="5" t="n"/>
      <c r="G1840" s="5" t="n"/>
      <c r="H1840" s="5" t="n"/>
    </row>
    <row r="1841">
      <c r="A1841" s="5" t="n"/>
      <c r="B1841" s="5" t="n"/>
      <c r="C1841" s="5" t="n"/>
      <c r="D1841" s="5" t="n"/>
      <c r="E1841" s="8" t="n"/>
      <c r="F1841" s="5" t="n"/>
      <c r="G1841" s="5" t="n"/>
      <c r="H1841" s="5" t="n"/>
    </row>
    <row r="1842">
      <c r="A1842" s="5" t="n"/>
      <c r="B1842" s="5" t="n"/>
      <c r="C1842" s="5" t="n"/>
      <c r="D1842" s="5" t="n"/>
      <c r="E1842" s="8" t="n"/>
      <c r="F1842" s="5" t="n"/>
      <c r="G1842" s="5" t="n"/>
      <c r="H1842" s="5" t="n"/>
    </row>
    <row r="1843">
      <c r="A1843" s="5" t="n"/>
      <c r="B1843" s="5" t="n"/>
      <c r="C1843" s="5" t="n"/>
      <c r="D1843" s="5" t="n"/>
      <c r="E1843" s="8" t="n"/>
      <c r="F1843" s="5" t="n"/>
      <c r="G1843" s="5" t="n"/>
      <c r="H1843" s="5" t="n"/>
    </row>
    <row r="1844">
      <c r="A1844" s="5" t="n"/>
      <c r="B1844" s="5" t="n"/>
      <c r="C1844" s="5" t="n"/>
      <c r="D1844" s="5" t="n"/>
      <c r="E1844" s="8" t="n"/>
      <c r="F1844" s="5" t="n"/>
      <c r="G1844" s="5" t="n"/>
      <c r="H1844" s="5" t="n"/>
    </row>
    <row r="1845">
      <c r="A1845" s="5" t="n"/>
      <c r="B1845" s="5" t="n"/>
      <c r="C1845" s="5" t="n"/>
      <c r="D1845" s="5" t="n"/>
      <c r="E1845" s="8" t="n"/>
      <c r="F1845" s="5" t="n"/>
      <c r="G1845" s="5" t="n"/>
      <c r="H1845" s="5" t="n"/>
    </row>
    <row r="1846">
      <c r="A1846" s="5" t="n"/>
      <c r="B1846" s="5" t="n"/>
      <c r="C1846" s="5" t="n"/>
      <c r="D1846" s="5" t="n"/>
      <c r="E1846" s="8" t="n"/>
      <c r="F1846" s="5" t="n"/>
      <c r="G1846" s="5" t="n"/>
      <c r="H1846" s="5" t="n"/>
    </row>
    <row r="1847">
      <c r="A1847" s="5" t="n"/>
      <c r="B1847" s="5" t="n"/>
      <c r="C1847" s="5" t="n"/>
      <c r="D1847" s="5" t="n"/>
      <c r="E1847" s="8" t="n"/>
      <c r="F1847" s="5" t="n"/>
      <c r="G1847" s="5" t="n"/>
      <c r="H1847" s="5" t="n"/>
    </row>
    <row r="1848">
      <c r="A1848" s="5" t="n"/>
      <c r="B1848" s="5" t="n"/>
      <c r="C1848" s="5" t="n"/>
      <c r="D1848" s="5" t="n"/>
      <c r="E1848" s="8" t="n"/>
      <c r="F1848" s="5" t="n"/>
      <c r="G1848" s="5" t="n"/>
      <c r="H1848" s="5" t="n"/>
    </row>
    <row r="1849">
      <c r="A1849" s="5" t="n"/>
      <c r="B1849" s="5" t="n"/>
      <c r="C1849" s="5" t="n"/>
      <c r="D1849" s="5" t="n"/>
      <c r="E1849" s="8" t="n"/>
      <c r="F1849" s="5" t="n"/>
      <c r="G1849" s="5" t="n"/>
      <c r="H1849" s="5" t="n"/>
    </row>
    <row r="1850">
      <c r="A1850" s="5" t="n"/>
      <c r="B1850" s="5" t="n"/>
      <c r="C1850" s="5" t="n"/>
      <c r="D1850" s="5" t="n"/>
      <c r="E1850" s="8" t="n"/>
      <c r="F1850" s="5" t="n"/>
      <c r="G1850" s="5" t="n"/>
      <c r="H1850" s="5" t="n"/>
    </row>
    <row r="1851">
      <c r="A1851" s="5" t="n"/>
      <c r="B1851" s="5" t="n"/>
      <c r="C1851" s="5" t="n"/>
      <c r="D1851" s="5" t="n"/>
      <c r="E1851" s="8" t="n"/>
      <c r="F1851" s="5" t="n"/>
      <c r="G1851" s="5" t="n"/>
      <c r="H1851" s="5" t="n"/>
    </row>
    <row r="1852">
      <c r="A1852" s="5" t="n"/>
      <c r="B1852" s="5" t="n"/>
      <c r="C1852" s="5" t="n"/>
      <c r="D1852" s="5" t="n"/>
      <c r="E1852" s="8" t="n"/>
      <c r="F1852" s="5" t="n"/>
      <c r="G1852" s="5" t="n"/>
      <c r="H1852" s="5" t="n"/>
    </row>
    <row r="1853">
      <c r="A1853" s="5" t="n"/>
      <c r="B1853" s="5" t="n"/>
      <c r="C1853" s="5" t="n"/>
      <c r="D1853" s="5" t="n"/>
      <c r="E1853" s="8" t="n"/>
      <c r="F1853" s="5" t="n"/>
      <c r="G1853" s="5" t="n"/>
      <c r="H1853" s="5" t="n"/>
    </row>
    <row r="1854">
      <c r="A1854" s="5" t="n"/>
      <c r="B1854" s="5" t="n"/>
      <c r="C1854" s="5" t="n"/>
      <c r="D1854" s="5" t="n"/>
      <c r="E1854" s="8" t="n"/>
      <c r="F1854" s="5" t="n"/>
      <c r="G1854" s="5" t="n"/>
      <c r="H1854" s="5" t="n"/>
    </row>
    <row r="1855">
      <c r="A1855" s="5" t="n"/>
      <c r="B1855" s="5" t="n"/>
      <c r="C1855" s="5" t="n"/>
      <c r="D1855" s="5" t="n"/>
      <c r="E1855" s="8" t="n"/>
      <c r="F1855" s="5" t="n"/>
      <c r="G1855" s="5" t="n"/>
      <c r="H1855" s="5" t="n"/>
    </row>
    <row r="1856">
      <c r="A1856" s="5" t="n"/>
      <c r="B1856" s="5" t="n"/>
      <c r="C1856" s="5" t="n"/>
      <c r="D1856" s="5" t="n"/>
      <c r="E1856" s="8" t="n"/>
      <c r="F1856" s="5" t="n"/>
      <c r="G1856" s="5" t="n"/>
      <c r="H1856" s="5" t="n"/>
    </row>
    <row r="1857">
      <c r="A1857" s="5" t="n"/>
      <c r="B1857" s="5" t="n"/>
      <c r="C1857" s="5" t="n"/>
      <c r="D1857" s="5" t="n"/>
      <c r="E1857" s="8" t="n"/>
      <c r="F1857" s="5" t="n"/>
      <c r="G1857" s="5" t="n"/>
      <c r="H1857" s="5" t="n"/>
    </row>
    <row r="1858">
      <c r="A1858" s="5" t="n"/>
      <c r="B1858" s="5" t="n"/>
      <c r="C1858" s="5" t="n"/>
      <c r="D1858" s="5" t="n"/>
      <c r="E1858" s="8" t="n"/>
      <c r="F1858" s="5" t="n"/>
      <c r="G1858" s="5" t="n"/>
      <c r="H1858" s="5" t="n"/>
    </row>
    <row r="1859">
      <c r="A1859" s="5" t="n"/>
      <c r="B1859" s="5" t="n"/>
      <c r="C1859" s="5" t="n"/>
      <c r="D1859" s="5" t="n"/>
      <c r="E1859" s="8" t="n"/>
      <c r="F1859" s="5" t="n"/>
      <c r="G1859" s="5" t="n"/>
      <c r="H1859" s="5" t="n"/>
    </row>
    <row r="1860">
      <c r="A1860" s="5" t="n"/>
      <c r="B1860" s="5" t="n"/>
      <c r="C1860" s="5" t="n"/>
      <c r="D1860" s="5" t="n"/>
      <c r="E1860" s="8" t="n"/>
      <c r="F1860" s="5" t="n"/>
      <c r="G1860" s="5" t="n"/>
      <c r="H1860" s="5" t="n"/>
    </row>
    <row r="1861">
      <c r="A1861" s="5" t="n"/>
      <c r="B1861" s="5" t="n"/>
      <c r="C1861" s="5" t="n"/>
      <c r="D1861" s="5" t="n"/>
      <c r="E1861" s="8" t="n"/>
      <c r="F1861" s="5" t="n"/>
      <c r="G1861" s="5" t="n"/>
      <c r="H1861" s="5" t="n"/>
    </row>
    <row r="1862">
      <c r="A1862" s="5" t="n"/>
      <c r="B1862" s="5" t="n"/>
      <c r="C1862" s="5" t="n"/>
      <c r="D1862" s="5" t="n"/>
      <c r="E1862" s="8" t="n"/>
      <c r="F1862" s="5" t="n"/>
      <c r="G1862" s="5" t="n"/>
      <c r="H1862" s="5" t="n"/>
    </row>
    <row r="1863">
      <c r="A1863" s="5" t="n"/>
      <c r="B1863" s="5" t="n"/>
      <c r="C1863" s="5" t="n"/>
      <c r="D1863" s="5" t="n"/>
      <c r="E1863" s="8" t="n"/>
      <c r="F1863" s="5" t="n"/>
      <c r="G1863" s="5" t="n"/>
      <c r="H1863" s="5" t="n"/>
    </row>
    <row r="1864">
      <c r="A1864" s="5" t="n"/>
      <c r="B1864" s="5" t="n"/>
      <c r="C1864" s="5" t="n"/>
      <c r="D1864" s="5" t="n"/>
      <c r="E1864" s="8" t="n"/>
      <c r="F1864" s="5" t="n"/>
      <c r="G1864" s="5" t="n"/>
      <c r="H1864" s="5" t="n"/>
    </row>
    <row r="1865">
      <c r="A1865" s="5" t="n"/>
      <c r="B1865" s="5" t="n"/>
      <c r="C1865" s="5" t="n"/>
      <c r="D1865" s="5" t="n"/>
      <c r="E1865" s="8" t="n"/>
      <c r="F1865" s="5" t="n"/>
      <c r="G1865" s="5" t="n"/>
      <c r="H1865" s="5" t="n"/>
    </row>
    <row r="1866">
      <c r="A1866" s="5" t="n"/>
      <c r="B1866" s="5" t="n"/>
      <c r="C1866" s="5" t="n"/>
      <c r="D1866" s="5" t="n"/>
      <c r="E1866" s="8" t="n"/>
      <c r="F1866" s="5" t="n"/>
      <c r="G1866" s="5" t="n"/>
      <c r="H1866" s="5" t="n"/>
    </row>
    <row r="1867">
      <c r="A1867" s="5" t="n"/>
      <c r="B1867" s="5" t="n"/>
      <c r="C1867" s="5" t="n"/>
      <c r="D1867" s="5" t="n"/>
      <c r="E1867" s="8" t="n"/>
      <c r="F1867" s="5" t="n"/>
      <c r="G1867" s="5" t="n"/>
      <c r="H1867" s="5" t="n"/>
    </row>
    <row r="1868">
      <c r="A1868" s="5" t="n"/>
      <c r="B1868" s="5" t="n"/>
      <c r="C1868" s="5" t="n"/>
      <c r="D1868" s="5" t="n"/>
      <c r="E1868" s="8" t="n"/>
      <c r="F1868" s="5" t="n"/>
      <c r="G1868" s="5" t="n"/>
      <c r="H1868" s="5" t="n"/>
    </row>
    <row r="1869">
      <c r="A1869" s="5" t="n"/>
      <c r="B1869" s="5" t="n"/>
      <c r="C1869" s="5" t="n"/>
      <c r="D1869" s="5" t="n"/>
      <c r="E1869" s="8" t="n"/>
      <c r="F1869" s="5" t="n"/>
      <c r="G1869" s="5" t="n"/>
      <c r="H1869" s="5" t="n"/>
    </row>
    <row r="1870">
      <c r="A1870" s="5" t="n"/>
      <c r="B1870" s="5" t="n"/>
      <c r="C1870" s="5" t="n"/>
      <c r="D1870" s="5" t="n"/>
      <c r="E1870" s="8" t="n"/>
      <c r="F1870" s="5" t="n"/>
      <c r="G1870" s="5" t="n"/>
      <c r="H1870" s="5" t="n"/>
    </row>
    <row r="1871">
      <c r="A1871" s="5" t="n"/>
      <c r="B1871" s="5" t="n"/>
      <c r="C1871" s="5" t="n"/>
      <c r="D1871" s="5" t="n"/>
      <c r="E1871" s="8" t="n"/>
      <c r="F1871" s="5" t="n"/>
      <c r="G1871" s="5" t="n"/>
      <c r="H1871" s="5" t="n"/>
    </row>
    <row r="1872">
      <c r="A1872" s="5" t="n"/>
      <c r="B1872" s="5" t="n"/>
      <c r="C1872" s="5" t="n"/>
      <c r="D1872" s="5" t="n"/>
      <c r="E1872" s="8" t="n"/>
      <c r="F1872" s="5" t="n"/>
      <c r="G1872" s="5" t="n"/>
      <c r="H1872" s="5" t="n"/>
    </row>
    <row r="1873">
      <c r="A1873" s="5" t="n"/>
      <c r="B1873" s="5" t="n"/>
      <c r="C1873" s="5" t="n"/>
      <c r="D1873" s="5" t="n"/>
      <c r="E1873" s="8" t="n"/>
      <c r="F1873" s="5" t="n"/>
      <c r="G1873" s="5" t="n"/>
      <c r="H1873" s="5" t="n"/>
    </row>
    <row r="1874">
      <c r="A1874" s="5" t="n"/>
      <c r="B1874" s="5" t="n"/>
      <c r="C1874" s="5" t="n"/>
      <c r="D1874" s="5" t="n"/>
      <c r="E1874" s="8" t="n"/>
      <c r="F1874" s="5" t="n"/>
      <c r="G1874" s="5" t="n"/>
      <c r="H1874" s="5" t="n"/>
    </row>
    <row r="1875">
      <c r="A1875" s="5" t="n"/>
      <c r="B1875" s="5" t="n"/>
      <c r="C1875" s="5" t="n"/>
      <c r="D1875" s="5" t="n"/>
      <c r="E1875" s="8" t="n"/>
      <c r="F1875" s="5" t="n"/>
      <c r="G1875" s="5" t="n"/>
      <c r="H1875" s="5" t="n"/>
    </row>
    <row r="1876">
      <c r="A1876" s="5" t="n"/>
      <c r="B1876" s="5" t="n"/>
      <c r="C1876" s="5" t="n"/>
      <c r="D1876" s="5" t="n"/>
      <c r="E1876" s="8" t="n"/>
      <c r="F1876" s="5" t="n"/>
      <c r="G1876" s="5" t="n"/>
      <c r="H1876" s="5" t="n"/>
    </row>
    <row r="1877">
      <c r="A1877" s="5" t="n"/>
      <c r="B1877" s="5" t="n"/>
      <c r="C1877" s="5" t="n"/>
      <c r="D1877" s="5" t="n"/>
      <c r="E1877" s="8" t="n"/>
      <c r="F1877" s="5" t="n"/>
      <c r="G1877" s="5" t="n"/>
      <c r="H1877" s="5" t="n"/>
    </row>
    <row r="1878">
      <c r="A1878" s="5" t="n"/>
      <c r="B1878" s="5" t="n"/>
      <c r="C1878" s="5" t="n"/>
      <c r="D1878" s="5" t="n"/>
      <c r="E1878" s="8" t="n"/>
      <c r="F1878" s="5" t="n"/>
      <c r="G1878" s="5" t="n"/>
      <c r="H1878" s="5" t="n"/>
    </row>
    <row r="1879">
      <c r="A1879" s="5" t="n"/>
      <c r="B1879" s="5" t="n"/>
      <c r="C1879" s="5" t="n"/>
      <c r="D1879" s="5" t="n"/>
      <c r="E1879" s="8" t="n"/>
      <c r="F1879" s="5" t="n"/>
      <c r="G1879" s="5" t="n"/>
      <c r="H1879" s="5" t="n"/>
    </row>
    <row r="1880">
      <c r="A1880" s="5" t="n"/>
      <c r="B1880" s="5" t="n"/>
      <c r="C1880" s="5" t="n"/>
      <c r="D1880" s="5" t="n"/>
      <c r="E1880" s="8" t="n"/>
      <c r="F1880" s="5" t="n"/>
      <c r="G1880" s="5" t="n"/>
      <c r="H1880" s="5" t="n"/>
    </row>
    <row r="1881">
      <c r="A1881" s="5" t="n"/>
      <c r="B1881" s="5" t="n"/>
      <c r="C1881" s="5" t="n"/>
      <c r="D1881" s="5" t="n"/>
      <c r="E1881" s="8" t="n"/>
      <c r="F1881" s="5" t="n"/>
      <c r="G1881" s="5" t="n"/>
      <c r="H1881" s="5" t="n"/>
    </row>
    <row r="1882">
      <c r="A1882" s="5" t="n"/>
      <c r="B1882" s="5" t="n"/>
      <c r="C1882" s="5" t="n"/>
      <c r="D1882" s="5" t="n"/>
      <c r="E1882" s="8" t="n"/>
      <c r="F1882" s="5" t="n"/>
      <c r="G1882" s="5" t="n"/>
      <c r="H1882" s="5" t="n"/>
    </row>
    <row r="1883">
      <c r="A1883" s="5" t="n"/>
      <c r="B1883" s="5" t="n"/>
      <c r="C1883" s="5" t="n"/>
      <c r="D1883" s="5" t="n"/>
      <c r="E1883" s="8" t="n"/>
      <c r="F1883" s="5" t="n"/>
      <c r="G1883" s="5" t="n"/>
      <c r="H1883" s="5" t="n"/>
    </row>
    <row r="1884">
      <c r="A1884" s="5" t="n"/>
      <c r="B1884" s="5" t="n"/>
      <c r="C1884" s="5" t="n"/>
      <c r="D1884" s="5" t="n"/>
      <c r="E1884" s="8" t="n"/>
      <c r="F1884" s="5" t="n"/>
      <c r="G1884" s="5" t="n"/>
      <c r="H1884" s="5" t="n"/>
    </row>
    <row r="1885">
      <c r="A1885" s="5" t="n"/>
      <c r="B1885" s="5" t="n"/>
      <c r="C1885" s="5" t="n"/>
      <c r="D1885" s="5" t="n"/>
      <c r="E1885" s="8" t="n"/>
      <c r="F1885" s="5" t="n"/>
      <c r="G1885" s="5" t="n"/>
      <c r="H1885" s="5" t="n"/>
    </row>
    <row r="1886">
      <c r="A1886" s="5" t="n"/>
      <c r="B1886" s="5" t="n"/>
      <c r="C1886" s="5" t="n"/>
      <c r="D1886" s="5" t="n"/>
      <c r="E1886" s="8" t="n"/>
      <c r="F1886" s="5" t="n"/>
      <c r="G1886" s="5" t="n"/>
      <c r="H1886" s="5" t="n"/>
    </row>
    <row r="1887">
      <c r="A1887" s="5" t="n"/>
      <c r="B1887" s="5" t="n"/>
      <c r="C1887" s="5" t="n"/>
      <c r="D1887" s="5" t="n"/>
      <c r="E1887" s="8" t="n"/>
      <c r="F1887" s="5" t="n"/>
      <c r="G1887" s="5" t="n"/>
      <c r="H1887" s="5" t="n"/>
    </row>
    <row r="1888">
      <c r="A1888" s="5" t="n"/>
      <c r="B1888" s="5" t="n"/>
      <c r="C1888" s="5" t="n"/>
      <c r="D1888" s="5" t="n"/>
      <c r="E1888" s="8" t="n"/>
      <c r="F1888" s="5" t="n"/>
      <c r="G1888" s="5" t="n"/>
      <c r="H1888" s="5" t="n"/>
    </row>
    <row r="1889">
      <c r="A1889" s="5" t="n"/>
      <c r="B1889" s="5" t="n"/>
      <c r="C1889" s="5" t="n"/>
      <c r="D1889" s="5" t="n"/>
      <c r="E1889" s="8" t="n"/>
      <c r="F1889" s="5" t="n"/>
      <c r="G1889" s="5" t="n"/>
      <c r="H1889" s="5" t="n"/>
    </row>
    <row r="1890">
      <c r="A1890" s="5" t="n"/>
      <c r="B1890" s="5" t="n"/>
      <c r="C1890" s="5" t="n"/>
      <c r="D1890" s="5" t="n"/>
      <c r="E1890" s="8" t="n"/>
      <c r="F1890" s="5" t="n"/>
      <c r="G1890" s="5" t="n"/>
      <c r="H1890" s="5" t="n"/>
    </row>
    <row r="1891">
      <c r="A1891" s="5" t="n"/>
      <c r="B1891" s="5" t="n"/>
      <c r="C1891" s="5" t="n"/>
      <c r="D1891" s="5" t="n"/>
      <c r="E1891" s="8" t="n"/>
      <c r="F1891" s="5" t="n"/>
      <c r="G1891" s="5" t="n"/>
      <c r="H1891" s="5" t="n"/>
    </row>
    <row r="1892">
      <c r="A1892" s="5" t="n"/>
      <c r="B1892" s="5" t="n"/>
      <c r="C1892" s="5" t="n"/>
      <c r="D1892" s="5" t="n"/>
      <c r="E1892" s="8" t="n"/>
      <c r="F1892" s="5" t="n"/>
      <c r="G1892" s="5" t="n"/>
      <c r="H1892" s="5" t="n"/>
    </row>
    <row r="1893">
      <c r="A1893" s="5" t="n"/>
      <c r="B1893" s="5" t="n"/>
      <c r="C1893" s="5" t="n"/>
      <c r="D1893" s="5" t="n"/>
      <c r="E1893" s="8" t="n"/>
      <c r="F1893" s="5" t="n"/>
      <c r="G1893" s="5" t="n"/>
      <c r="H1893" s="5" t="n"/>
    </row>
    <row r="1894">
      <c r="A1894" s="5" t="n"/>
      <c r="B1894" s="5" t="n"/>
      <c r="C1894" s="5" t="n"/>
      <c r="D1894" s="5" t="n"/>
      <c r="E1894" s="8" t="n"/>
      <c r="F1894" s="5" t="n"/>
      <c r="G1894" s="5" t="n"/>
      <c r="H1894" s="5" t="n"/>
    </row>
    <row r="1895">
      <c r="A1895" s="5" t="n"/>
      <c r="B1895" s="5" t="n"/>
      <c r="C1895" s="5" t="n"/>
      <c r="D1895" s="5" t="n"/>
      <c r="E1895" s="8" t="n"/>
      <c r="F1895" s="5" t="n"/>
      <c r="G1895" s="5" t="n"/>
      <c r="H1895" s="5" t="n"/>
    </row>
    <row r="1896">
      <c r="A1896" s="5" t="n"/>
      <c r="B1896" s="5" t="n"/>
      <c r="C1896" s="5" t="n"/>
      <c r="D1896" s="5" t="n"/>
      <c r="E1896" s="8" t="n"/>
      <c r="F1896" s="5" t="n"/>
      <c r="G1896" s="5" t="n"/>
      <c r="H1896" s="5" t="n"/>
    </row>
    <row r="1897">
      <c r="A1897" s="5" t="n"/>
      <c r="B1897" s="5" t="n"/>
      <c r="C1897" s="5" t="n"/>
      <c r="D1897" s="5" t="n"/>
      <c r="E1897" s="8" t="n"/>
      <c r="F1897" s="5" t="n"/>
      <c r="G1897" s="5" t="n"/>
      <c r="H1897" s="5" t="n"/>
    </row>
    <row r="1898">
      <c r="A1898" s="5" t="n"/>
      <c r="B1898" s="5" t="n"/>
      <c r="C1898" s="5" t="n"/>
      <c r="D1898" s="5" t="n"/>
      <c r="E1898" s="8" t="n"/>
      <c r="F1898" s="5" t="n"/>
      <c r="G1898" s="5" t="n"/>
      <c r="H1898" s="5" t="n"/>
    </row>
    <row r="1899">
      <c r="A1899" s="5" t="n"/>
      <c r="B1899" s="5" t="n"/>
      <c r="C1899" s="5" t="n"/>
      <c r="D1899" s="5" t="n"/>
      <c r="E1899" s="8" t="n"/>
      <c r="F1899" s="5" t="n"/>
      <c r="G1899" s="5" t="n"/>
      <c r="H1899" s="5" t="n"/>
    </row>
    <row r="1900">
      <c r="A1900" s="5" t="n"/>
      <c r="B1900" s="5" t="n"/>
      <c r="C1900" s="5" t="n"/>
      <c r="D1900" s="5" t="n"/>
      <c r="E1900" s="8" t="n"/>
      <c r="F1900" s="5" t="n"/>
      <c r="G1900" s="5" t="n"/>
      <c r="H1900" s="5" t="n"/>
    </row>
    <row r="1901">
      <c r="A1901" s="5" t="n"/>
      <c r="B1901" s="5" t="n"/>
      <c r="C1901" s="5" t="n"/>
      <c r="D1901" s="5" t="n"/>
      <c r="E1901" s="8" t="n"/>
      <c r="F1901" s="5" t="n"/>
      <c r="G1901" s="5" t="n"/>
      <c r="H1901" s="5" t="n"/>
    </row>
    <row r="1902">
      <c r="A1902" s="5" t="n"/>
      <c r="B1902" s="5" t="n"/>
      <c r="C1902" s="5" t="n"/>
      <c r="D1902" s="5" t="n"/>
      <c r="E1902" s="8" t="n"/>
      <c r="F1902" s="5" t="n"/>
      <c r="G1902" s="5" t="n"/>
      <c r="H1902" s="5" t="n"/>
    </row>
    <row r="1903">
      <c r="A1903" s="5" t="n"/>
      <c r="B1903" s="5" t="n"/>
      <c r="C1903" s="5" t="n"/>
      <c r="D1903" s="5" t="n"/>
      <c r="E1903" s="8" t="n"/>
      <c r="F1903" s="5" t="n"/>
      <c r="G1903" s="5" t="n"/>
      <c r="H1903" s="5" t="n"/>
    </row>
    <row r="1904">
      <c r="A1904" s="5" t="n"/>
      <c r="B1904" s="5" t="n"/>
      <c r="C1904" s="5" t="n"/>
      <c r="D1904" s="5" t="n"/>
      <c r="E1904" s="8" t="n"/>
      <c r="F1904" s="5" t="n"/>
      <c r="G1904" s="5" t="n"/>
      <c r="H1904" s="5" t="n"/>
    </row>
    <row r="1905">
      <c r="A1905" s="5" t="n"/>
      <c r="B1905" s="5" t="n"/>
      <c r="C1905" s="5" t="n"/>
      <c r="D1905" s="5" t="n"/>
      <c r="E1905" s="8" t="n"/>
      <c r="F1905" s="5" t="n"/>
      <c r="G1905" s="5" t="n"/>
      <c r="H1905" s="5" t="n"/>
    </row>
    <row r="1906">
      <c r="A1906" s="5" t="n"/>
      <c r="B1906" s="5" t="n"/>
      <c r="C1906" s="5" t="n"/>
      <c r="D1906" s="5" t="n"/>
      <c r="E1906" s="8" t="n"/>
      <c r="F1906" s="5" t="n"/>
      <c r="G1906" s="5" t="n"/>
      <c r="H1906" s="5" t="n"/>
    </row>
    <row r="1907">
      <c r="A1907" s="5" t="n"/>
      <c r="B1907" s="5" t="n"/>
      <c r="C1907" s="5" t="n"/>
      <c r="D1907" s="5" t="n"/>
      <c r="E1907" s="8" t="n"/>
      <c r="F1907" s="5" t="n"/>
      <c r="G1907" s="5" t="n"/>
      <c r="H1907" s="5" t="n"/>
    </row>
    <row r="1908">
      <c r="A1908" s="5" t="n"/>
      <c r="B1908" s="5" t="n"/>
      <c r="C1908" s="5" t="n"/>
      <c r="D1908" s="5" t="n"/>
      <c r="E1908" s="8" t="n"/>
      <c r="F1908" s="5" t="n"/>
      <c r="G1908" s="5" t="n"/>
      <c r="H1908" s="5" t="n"/>
    </row>
    <row r="1909">
      <c r="A1909" s="5" t="n"/>
      <c r="B1909" s="5" t="n"/>
      <c r="C1909" s="5" t="n"/>
      <c r="D1909" s="5" t="n"/>
      <c r="E1909" s="8" t="n"/>
      <c r="F1909" s="5" t="n"/>
      <c r="G1909" s="5" t="n"/>
      <c r="H1909" s="5" t="n"/>
    </row>
    <row r="1910">
      <c r="A1910" s="5" t="n"/>
      <c r="B1910" s="5" t="n"/>
      <c r="C1910" s="5" t="n"/>
      <c r="D1910" s="5" t="n"/>
      <c r="E1910" s="8" t="n"/>
      <c r="F1910" s="5" t="n"/>
      <c r="G1910" s="5" t="n"/>
      <c r="H1910" s="5" t="n"/>
    </row>
    <row r="1911">
      <c r="A1911" s="5" t="n"/>
      <c r="B1911" s="5" t="n"/>
      <c r="C1911" s="5" t="n"/>
      <c r="D1911" s="5" t="n"/>
      <c r="E1911" s="8" t="n"/>
      <c r="F1911" s="5" t="n"/>
      <c r="G1911" s="5" t="n"/>
      <c r="H1911" s="5" t="n"/>
    </row>
    <row r="1912">
      <c r="A1912" s="5" t="n"/>
      <c r="B1912" s="5" t="n"/>
      <c r="C1912" s="5" t="n"/>
      <c r="D1912" s="5" t="n"/>
      <c r="E1912" s="8" t="n"/>
      <c r="F1912" s="5" t="n"/>
      <c r="G1912" s="5" t="n"/>
      <c r="H1912" s="5" t="n"/>
    </row>
    <row r="1913">
      <c r="A1913" s="5" t="n"/>
      <c r="B1913" s="5" t="n"/>
      <c r="C1913" s="5" t="n"/>
      <c r="D1913" s="5" t="n"/>
      <c r="E1913" s="8" t="n"/>
      <c r="F1913" s="5" t="n"/>
      <c r="G1913" s="5" t="n"/>
      <c r="H1913" s="5" t="n"/>
    </row>
    <row r="1914">
      <c r="A1914" s="5" t="n"/>
      <c r="B1914" s="5" t="n"/>
      <c r="C1914" s="5" t="n"/>
      <c r="D1914" s="5" t="n"/>
      <c r="E1914" s="8" t="n"/>
      <c r="F1914" s="5" t="n"/>
      <c r="G1914" s="5" t="n"/>
      <c r="H1914" s="5" t="n"/>
    </row>
    <row r="1915">
      <c r="A1915" s="5" t="n"/>
      <c r="B1915" s="5" t="n"/>
      <c r="C1915" s="5" t="n"/>
      <c r="D1915" s="5" t="n"/>
      <c r="E1915" s="8" t="n"/>
      <c r="F1915" s="5" t="n"/>
      <c r="G1915" s="5" t="n"/>
      <c r="H1915" s="5" t="n"/>
    </row>
    <row r="1916">
      <c r="A1916" s="5" t="n"/>
      <c r="B1916" s="5" t="n"/>
      <c r="C1916" s="5" t="n"/>
      <c r="D1916" s="5" t="n"/>
      <c r="E1916" s="8" t="n"/>
      <c r="F1916" s="5" t="n"/>
      <c r="G1916" s="5" t="n"/>
      <c r="H1916" s="5" t="n"/>
    </row>
    <row r="1917">
      <c r="A1917" s="5" t="n"/>
      <c r="B1917" s="5" t="n"/>
      <c r="C1917" s="5" t="n"/>
      <c r="D1917" s="5" t="n"/>
      <c r="E1917" s="8" t="n"/>
      <c r="F1917" s="5" t="n"/>
      <c r="G1917" s="5" t="n"/>
      <c r="H1917" s="5" t="n"/>
    </row>
    <row r="1918">
      <c r="A1918" s="5" t="n"/>
      <c r="B1918" s="5" t="n"/>
      <c r="C1918" s="5" t="n"/>
      <c r="D1918" s="5" t="n"/>
      <c r="E1918" s="8" t="n"/>
      <c r="F1918" s="5" t="n"/>
      <c r="G1918" s="5" t="n"/>
      <c r="H1918" s="5" t="n"/>
    </row>
    <row r="1919">
      <c r="A1919" s="5" t="n"/>
      <c r="B1919" s="5" t="n"/>
      <c r="C1919" s="5" t="n"/>
      <c r="D1919" s="5" t="n"/>
      <c r="E1919" s="8" t="n"/>
      <c r="F1919" s="5" t="n"/>
      <c r="G1919" s="5" t="n"/>
      <c r="H1919" s="5" t="n"/>
    </row>
    <row r="1920">
      <c r="A1920" s="5" t="n"/>
      <c r="B1920" s="5" t="n"/>
      <c r="C1920" s="5" t="n"/>
      <c r="D1920" s="5" t="n"/>
      <c r="E1920" s="8" t="n"/>
      <c r="F1920" s="5" t="n"/>
      <c r="G1920" s="5" t="n"/>
      <c r="H1920" s="5" t="n"/>
    </row>
    <row r="1921">
      <c r="A1921" s="5" t="n"/>
      <c r="B1921" s="5" t="n"/>
      <c r="C1921" s="5" t="n"/>
      <c r="D1921" s="5" t="n"/>
      <c r="E1921" s="8" t="n"/>
      <c r="F1921" s="5" t="n"/>
      <c r="G1921" s="5" t="n"/>
      <c r="H1921" s="5" t="n"/>
    </row>
    <row r="1922">
      <c r="A1922" s="5" t="n"/>
      <c r="B1922" s="5" t="n"/>
      <c r="C1922" s="5" t="n"/>
      <c r="D1922" s="5" t="n"/>
      <c r="E1922" s="8" t="n"/>
      <c r="F1922" s="5" t="n"/>
      <c r="G1922" s="5" t="n"/>
      <c r="H1922" s="5" t="n"/>
    </row>
    <row r="1923">
      <c r="A1923" s="5" t="n"/>
      <c r="B1923" s="5" t="n"/>
      <c r="C1923" s="5" t="n"/>
      <c r="D1923" s="5" t="n"/>
      <c r="E1923" s="8" t="n"/>
      <c r="F1923" s="5" t="n"/>
      <c r="G1923" s="5" t="n"/>
      <c r="H1923" s="5" t="n"/>
    </row>
    <row r="1924">
      <c r="A1924" s="5" t="n"/>
      <c r="B1924" s="5" t="n"/>
      <c r="C1924" s="5" t="n"/>
      <c r="D1924" s="5" t="n"/>
      <c r="E1924" s="8" t="n"/>
      <c r="F1924" s="5" t="n"/>
      <c r="G1924" s="5" t="n"/>
      <c r="H1924" s="5" t="n"/>
    </row>
    <row r="1925">
      <c r="A1925" s="5" t="n"/>
      <c r="B1925" s="5" t="n"/>
      <c r="C1925" s="5" t="n"/>
      <c r="D1925" s="5" t="n"/>
      <c r="E1925" s="8" t="n"/>
      <c r="F1925" s="5" t="n"/>
      <c r="G1925" s="5" t="n"/>
      <c r="H1925" s="5" t="n"/>
    </row>
    <row r="1926">
      <c r="A1926" s="5" t="n"/>
      <c r="B1926" s="5" t="n"/>
      <c r="C1926" s="5" t="n"/>
      <c r="D1926" s="5" t="n"/>
      <c r="E1926" s="8" t="n"/>
      <c r="F1926" s="5" t="n"/>
      <c r="G1926" s="5" t="n"/>
      <c r="H1926" s="5" t="n"/>
    </row>
    <row r="1927">
      <c r="A1927" s="5" t="n"/>
      <c r="B1927" s="5" t="n"/>
      <c r="C1927" s="5" t="n"/>
      <c r="D1927" s="5" t="n"/>
      <c r="E1927" s="8" t="n"/>
      <c r="F1927" s="5" t="n"/>
      <c r="G1927" s="5" t="n"/>
      <c r="H1927" s="5" t="n"/>
    </row>
    <row r="1928">
      <c r="A1928" s="5" t="n"/>
      <c r="B1928" s="5" t="n"/>
      <c r="C1928" s="5" t="n"/>
      <c r="D1928" s="5" t="n"/>
      <c r="E1928" s="8" t="n"/>
      <c r="F1928" s="5" t="n"/>
      <c r="G1928" s="5" t="n"/>
      <c r="H1928" s="5" t="n"/>
    </row>
    <row r="1929">
      <c r="A1929" s="5" t="n"/>
      <c r="B1929" s="5" t="n"/>
      <c r="C1929" s="5" t="n"/>
      <c r="D1929" s="5" t="n"/>
      <c r="E1929" s="8" t="n"/>
      <c r="F1929" s="5" t="n"/>
      <c r="G1929" s="5" t="n"/>
      <c r="H1929" s="5" t="n"/>
    </row>
    <row r="1930">
      <c r="A1930" s="5" t="n"/>
      <c r="B1930" s="5" t="n"/>
      <c r="C1930" s="5" t="n"/>
      <c r="D1930" s="5" t="n"/>
      <c r="E1930" s="8" t="n"/>
      <c r="F1930" s="5" t="n"/>
      <c r="G1930" s="5" t="n"/>
      <c r="H1930" s="5" t="n"/>
    </row>
    <row r="1931">
      <c r="A1931" s="5" t="n"/>
      <c r="B1931" s="5" t="n"/>
      <c r="C1931" s="5" t="n"/>
      <c r="D1931" s="5" t="n"/>
      <c r="E1931" s="8" t="n"/>
      <c r="F1931" s="5" t="n"/>
      <c r="G1931" s="5" t="n"/>
      <c r="H1931" s="5" t="n"/>
    </row>
    <row r="1932">
      <c r="A1932" s="5" t="n"/>
      <c r="B1932" s="5" t="n"/>
      <c r="C1932" s="5" t="n"/>
      <c r="D1932" s="5" t="n"/>
      <c r="E1932" s="8" t="n"/>
      <c r="F1932" s="5" t="n"/>
      <c r="G1932" s="5" t="n"/>
      <c r="H1932" s="5" t="n"/>
    </row>
    <row r="1933">
      <c r="A1933" s="5" t="n"/>
      <c r="B1933" s="5" t="n"/>
      <c r="C1933" s="5" t="n"/>
      <c r="D1933" s="5" t="n"/>
      <c r="E1933" s="8" t="n"/>
      <c r="F1933" s="5" t="n"/>
      <c r="G1933" s="5" t="n"/>
      <c r="H1933" s="5" t="n"/>
    </row>
    <row r="1934">
      <c r="A1934" s="5" t="n"/>
      <c r="B1934" s="5" t="n"/>
      <c r="C1934" s="5" t="n"/>
      <c r="D1934" s="5" t="n"/>
      <c r="E1934" s="8" t="n"/>
      <c r="F1934" s="5" t="n"/>
      <c r="G1934" s="5" t="n"/>
      <c r="H1934" s="5" t="n"/>
    </row>
    <row r="1935">
      <c r="A1935" s="5" t="n"/>
      <c r="B1935" s="5" t="n"/>
      <c r="C1935" s="5" t="n"/>
      <c r="D1935" s="5" t="n"/>
      <c r="E1935" s="8" t="n"/>
      <c r="F1935" s="5" t="n"/>
      <c r="G1935" s="5" t="n"/>
      <c r="H1935" s="5" t="n"/>
    </row>
    <row r="1936">
      <c r="A1936" s="5" t="n"/>
      <c r="B1936" s="5" t="n"/>
      <c r="C1936" s="5" t="n"/>
      <c r="D1936" s="5" t="n"/>
      <c r="E1936" s="8" t="n"/>
      <c r="F1936" s="5" t="n"/>
      <c r="G1936" s="5" t="n"/>
      <c r="H1936" s="5" t="n"/>
    </row>
    <row r="1937">
      <c r="A1937" s="5" t="n"/>
      <c r="B1937" s="5" t="n"/>
      <c r="C1937" s="5" t="n"/>
      <c r="D1937" s="5" t="n"/>
      <c r="E1937" s="8" t="n"/>
      <c r="F1937" s="5" t="n"/>
      <c r="G1937" s="5" t="n"/>
      <c r="H1937" s="5" t="n"/>
    </row>
    <row r="1938">
      <c r="A1938" s="5" t="n"/>
      <c r="B1938" s="5" t="n"/>
      <c r="C1938" s="5" t="n"/>
      <c r="D1938" s="5" t="n"/>
      <c r="E1938" s="8" t="n"/>
      <c r="F1938" s="5" t="n"/>
      <c r="G1938" s="5" t="n"/>
      <c r="H1938" s="5" t="n"/>
    </row>
    <row r="1939">
      <c r="A1939" s="5" t="n"/>
      <c r="B1939" s="5" t="n"/>
      <c r="C1939" s="5" t="n"/>
      <c r="D1939" s="5" t="n"/>
      <c r="E1939" s="8" t="n"/>
      <c r="F1939" s="5" t="n"/>
      <c r="G1939" s="5" t="n"/>
      <c r="H1939" s="5" t="n"/>
    </row>
    <row r="1940">
      <c r="A1940" s="5" t="n"/>
      <c r="B1940" s="5" t="n"/>
      <c r="C1940" s="5" t="n"/>
      <c r="D1940" s="5" t="n"/>
      <c r="E1940" s="8" t="n"/>
      <c r="F1940" s="5" t="n"/>
      <c r="G1940" s="5" t="n"/>
      <c r="H1940" s="5" t="n"/>
    </row>
    <row r="1941">
      <c r="A1941" s="5" t="n"/>
      <c r="B1941" s="5" t="n"/>
      <c r="C1941" s="5" t="n"/>
      <c r="D1941" s="5" t="n"/>
      <c r="E1941" s="8" t="n"/>
      <c r="F1941" s="5" t="n"/>
      <c r="G1941" s="5" t="n"/>
      <c r="H1941" s="5" t="n"/>
    </row>
    <row r="1942">
      <c r="A1942" s="5" t="n"/>
      <c r="B1942" s="5" t="n"/>
      <c r="C1942" s="5" t="n"/>
      <c r="D1942" s="5" t="n"/>
      <c r="E1942" s="8" t="n"/>
      <c r="F1942" s="5" t="n"/>
      <c r="G1942" s="5" t="n"/>
      <c r="H1942" s="5" t="n"/>
    </row>
    <row r="1943">
      <c r="A1943" s="5" t="n"/>
      <c r="B1943" s="5" t="n"/>
      <c r="C1943" s="5" t="n"/>
      <c r="D1943" s="5" t="n"/>
      <c r="E1943" s="8" t="n"/>
      <c r="F1943" s="5" t="n"/>
      <c r="G1943" s="5" t="n"/>
      <c r="H1943" s="5" t="n"/>
    </row>
    <row r="1944">
      <c r="A1944" s="5" t="n"/>
      <c r="B1944" s="5" t="n"/>
      <c r="C1944" s="5" t="n"/>
      <c r="D1944" s="5" t="n"/>
      <c r="E1944" s="8" t="n"/>
      <c r="F1944" s="5" t="n"/>
      <c r="G1944" s="5" t="n"/>
      <c r="H1944" s="5" t="n"/>
    </row>
    <row r="1945">
      <c r="A1945" s="5" t="n"/>
      <c r="B1945" s="5" t="n"/>
      <c r="C1945" s="5" t="n"/>
      <c r="D1945" s="5" t="n"/>
      <c r="E1945" s="8" t="n"/>
      <c r="F1945" s="5" t="n"/>
      <c r="G1945" s="5" t="n"/>
      <c r="H1945" s="5" t="n"/>
    </row>
    <row r="1946">
      <c r="A1946" s="5" t="n"/>
      <c r="B1946" s="5" t="n"/>
      <c r="C1946" s="5" t="n"/>
      <c r="D1946" s="5" t="n"/>
      <c r="E1946" s="8" t="n"/>
      <c r="F1946" s="5" t="n"/>
      <c r="G1946" s="5" t="n"/>
      <c r="H1946" s="5" t="n"/>
    </row>
    <row r="1947">
      <c r="A1947" s="5" t="n"/>
      <c r="B1947" s="5" t="n"/>
      <c r="C1947" s="5" t="n"/>
      <c r="D1947" s="5" t="n"/>
      <c r="E1947" s="8" t="n"/>
      <c r="F1947" s="5" t="n"/>
      <c r="G1947" s="5" t="n"/>
      <c r="H1947" s="5" t="n"/>
    </row>
    <row r="1948">
      <c r="A1948" s="5" t="n"/>
      <c r="B1948" s="5" t="n"/>
      <c r="C1948" s="5" t="n"/>
      <c r="D1948" s="5" t="n"/>
      <c r="E1948" s="8" t="n"/>
      <c r="F1948" s="5" t="n"/>
      <c r="G1948" s="5" t="n"/>
      <c r="H1948" s="5" t="n"/>
    </row>
    <row r="1949">
      <c r="A1949" s="5" t="n"/>
      <c r="B1949" s="5" t="n"/>
      <c r="C1949" s="5" t="n"/>
      <c r="D1949" s="5" t="n"/>
      <c r="E1949" s="8" t="n"/>
      <c r="F1949" s="5" t="n"/>
      <c r="G1949" s="5" t="n"/>
      <c r="H1949" s="5" t="n"/>
    </row>
    <row r="1950">
      <c r="A1950" s="5" t="n"/>
      <c r="B1950" s="5" t="n"/>
      <c r="C1950" s="5" t="n"/>
      <c r="D1950" s="5" t="n"/>
      <c r="E1950" s="8" t="n"/>
      <c r="F1950" s="5" t="n"/>
      <c r="G1950" s="5" t="n"/>
      <c r="H1950" s="5" t="n"/>
    </row>
    <row r="1951">
      <c r="A1951" s="5" t="n"/>
      <c r="B1951" s="5" t="n"/>
      <c r="C1951" s="5" t="n"/>
      <c r="D1951" s="5" t="n"/>
      <c r="E1951" s="8" t="n"/>
      <c r="F1951" s="5" t="n"/>
      <c r="G1951" s="5" t="n"/>
      <c r="H1951" s="5" t="n"/>
    </row>
    <row r="1952">
      <c r="A1952" s="5" t="n"/>
      <c r="B1952" s="5" t="n"/>
      <c r="C1952" s="5" t="n"/>
      <c r="D1952" s="5" t="n"/>
      <c r="E1952" s="8" t="n"/>
      <c r="F1952" s="5" t="n"/>
      <c r="G1952" s="5" t="n"/>
      <c r="H1952" s="5" t="n"/>
    </row>
    <row r="1953">
      <c r="A1953" s="5" t="n"/>
      <c r="B1953" s="5" t="n"/>
      <c r="C1953" s="5" t="n"/>
      <c r="D1953" s="5" t="n"/>
      <c r="E1953" s="8" t="n"/>
      <c r="F1953" s="5" t="n"/>
      <c r="G1953" s="5" t="n"/>
      <c r="H1953" s="5" t="n"/>
    </row>
    <row r="1954">
      <c r="A1954" s="5" t="n"/>
      <c r="B1954" s="5" t="n"/>
      <c r="C1954" s="5" t="n"/>
      <c r="D1954" s="5" t="n"/>
      <c r="E1954" s="8" t="n"/>
      <c r="F1954" s="5" t="n"/>
      <c r="G1954" s="5" t="n"/>
      <c r="H1954" s="5" t="n"/>
    </row>
    <row r="1955">
      <c r="A1955" s="5" t="n"/>
      <c r="B1955" s="5" t="n"/>
      <c r="C1955" s="5" t="n"/>
      <c r="D1955" s="5" t="n"/>
      <c r="E1955" s="8" t="n"/>
      <c r="F1955" s="5" t="n"/>
      <c r="G1955" s="5" t="n"/>
      <c r="H1955" s="5" t="n"/>
    </row>
    <row r="1956">
      <c r="A1956" s="5" t="n"/>
      <c r="B1956" s="5" t="n"/>
      <c r="C1956" s="5" t="n"/>
      <c r="D1956" s="5" t="n"/>
      <c r="E1956" s="8" t="n"/>
      <c r="F1956" s="5" t="n"/>
      <c r="G1956" s="5" t="n"/>
      <c r="H1956" s="5" t="n"/>
    </row>
    <row r="1957">
      <c r="A1957" s="5" t="n"/>
      <c r="B1957" s="5" t="n"/>
      <c r="C1957" s="5" t="n"/>
      <c r="D1957" s="5" t="n"/>
      <c r="E1957" s="8" t="n"/>
      <c r="F1957" s="5" t="n"/>
      <c r="G1957" s="5" t="n"/>
      <c r="H1957" s="5" t="n"/>
    </row>
    <row r="1958">
      <c r="A1958" s="5" t="n"/>
      <c r="B1958" s="5" t="n"/>
      <c r="C1958" s="5" t="n"/>
      <c r="D1958" s="5" t="n"/>
      <c r="E1958" s="8" t="n"/>
      <c r="F1958" s="5" t="n"/>
      <c r="G1958" s="5" t="n"/>
      <c r="H1958" s="5" t="n"/>
    </row>
    <row r="1959">
      <c r="A1959" s="5" t="n"/>
      <c r="B1959" s="5" t="n"/>
      <c r="C1959" s="5" t="n"/>
      <c r="D1959" s="5" t="n"/>
      <c r="E1959" s="8" t="n"/>
      <c r="F1959" s="5" t="n"/>
      <c r="G1959" s="5" t="n"/>
      <c r="H1959" s="5" t="n"/>
    </row>
    <row r="1960">
      <c r="A1960" s="5" t="n"/>
      <c r="B1960" s="5" t="n"/>
      <c r="C1960" s="5" t="n"/>
      <c r="D1960" s="5" t="n"/>
      <c r="E1960" s="8" t="n"/>
      <c r="F1960" s="5" t="n"/>
      <c r="G1960" s="5" t="n"/>
      <c r="H1960" s="5" t="n"/>
    </row>
    <row r="1961">
      <c r="A1961" s="5" t="n"/>
      <c r="B1961" s="5" t="n"/>
      <c r="C1961" s="5" t="n"/>
      <c r="D1961" s="5" t="n"/>
      <c r="E1961" s="8" t="n"/>
      <c r="F1961" s="5" t="n"/>
      <c r="G1961" s="5" t="n"/>
      <c r="H1961" s="5" t="n"/>
    </row>
    <row r="1962">
      <c r="A1962" s="5" t="n"/>
      <c r="B1962" s="5" t="n"/>
      <c r="C1962" s="5" t="n"/>
      <c r="D1962" s="5" t="n"/>
      <c r="E1962" s="8" t="n"/>
      <c r="F1962" s="5" t="n"/>
      <c r="G1962" s="5" t="n"/>
      <c r="H1962" s="5" t="n"/>
    </row>
    <row r="1963">
      <c r="A1963" s="5" t="n"/>
      <c r="B1963" s="5" t="n"/>
      <c r="C1963" s="5" t="n"/>
      <c r="D1963" s="5" t="n"/>
      <c r="E1963" s="8" t="n"/>
      <c r="F1963" s="5" t="n"/>
      <c r="G1963" s="5" t="n"/>
      <c r="H1963" s="5" t="n"/>
    </row>
    <row r="1964">
      <c r="A1964" s="5" t="n"/>
      <c r="B1964" s="5" t="n"/>
      <c r="C1964" s="5" t="n"/>
      <c r="D1964" s="5" t="n"/>
      <c r="E1964" s="8" t="n"/>
      <c r="F1964" s="5" t="n"/>
      <c r="G1964" s="5" t="n"/>
      <c r="H1964" s="5" t="n"/>
    </row>
    <row r="1965">
      <c r="A1965" s="5" t="n"/>
      <c r="B1965" s="5" t="n"/>
      <c r="C1965" s="5" t="n"/>
      <c r="D1965" s="5" t="n"/>
      <c r="E1965" s="8" t="n"/>
      <c r="F1965" s="5" t="n"/>
      <c r="G1965" s="5" t="n"/>
      <c r="H1965" s="5" t="n"/>
    </row>
    <row r="1966">
      <c r="A1966" s="5" t="n"/>
      <c r="B1966" s="5" t="n"/>
      <c r="C1966" s="5" t="n"/>
      <c r="D1966" s="5" t="n"/>
      <c r="E1966" s="8" t="n"/>
      <c r="F1966" s="5" t="n"/>
      <c r="G1966" s="5" t="n"/>
      <c r="H1966" s="5" t="n"/>
    </row>
    <row r="1967">
      <c r="A1967" s="5" t="n"/>
      <c r="B1967" s="5" t="n"/>
      <c r="C1967" s="5" t="n"/>
      <c r="D1967" s="5" t="n"/>
      <c r="E1967" s="8" t="n"/>
      <c r="F1967" s="5" t="n"/>
      <c r="G1967" s="5" t="n"/>
      <c r="H1967" s="5" t="n"/>
    </row>
    <row r="1968">
      <c r="A1968" s="5" t="n"/>
      <c r="B1968" s="5" t="n"/>
      <c r="C1968" s="5" t="n"/>
      <c r="D1968" s="5" t="n"/>
      <c r="E1968" s="8" t="n"/>
      <c r="F1968" s="5" t="n"/>
      <c r="G1968" s="5" t="n"/>
      <c r="H1968" s="5" t="n"/>
    </row>
    <row r="1969">
      <c r="A1969" s="5" t="n"/>
      <c r="B1969" s="5" t="n"/>
      <c r="C1969" s="5" t="n"/>
      <c r="D1969" s="5" t="n"/>
      <c r="E1969" s="8" t="n"/>
      <c r="F1969" s="5" t="n"/>
      <c r="G1969" s="5" t="n"/>
      <c r="H1969" s="5" t="n"/>
    </row>
    <row r="1970">
      <c r="A1970" s="5" t="n"/>
      <c r="B1970" s="5" t="n"/>
      <c r="C1970" s="5" t="n"/>
      <c r="D1970" s="5" t="n"/>
      <c r="E1970" s="8" t="n"/>
      <c r="F1970" s="5" t="n"/>
      <c r="G1970" s="5" t="n"/>
      <c r="H1970" s="5" t="n"/>
    </row>
    <row r="1971">
      <c r="A1971" s="5" t="n"/>
      <c r="B1971" s="5" t="n"/>
      <c r="C1971" s="5" t="n"/>
      <c r="D1971" s="5" t="n"/>
      <c r="E1971" s="8" t="n"/>
      <c r="F1971" s="5" t="n"/>
      <c r="G1971" s="5" t="n"/>
      <c r="H1971" s="5" t="n"/>
    </row>
    <row r="1972">
      <c r="A1972" s="5" t="n"/>
      <c r="B1972" s="5" t="n"/>
      <c r="C1972" s="5" t="n"/>
      <c r="D1972" s="5" t="n"/>
      <c r="E1972" s="8" t="n"/>
      <c r="F1972" s="5" t="n"/>
      <c r="G1972" s="5" t="n"/>
      <c r="H1972" s="5" t="n"/>
    </row>
    <row r="1973">
      <c r="A1973" s="5" t="n"/>
      <c r="B1973" s="5" t="n"/>
      <c r="C1973" s="5" t="n"/>
      <c r="D1973" s="5" t="n"/>
      <c r="E1973" s="8" t="n"/>
      <c r="F1973" s="5" t="n"/>
      <c r="G1973" s="5" t="n"/>
      <c r="H1973" s="5" t="n"/>
    </row>
    <row r="1974">
      <c r="A1974" s="5" t="n"/>
      <c r="B1974" s="5" t="n"/>
      <c r="C1974" s="5" t="n"/>
      <c r="D1974" s="5" t="n"/>
      <c r="E1974" s="8" t="n"/>
      <c r="F1974" s="5" t="n"/>
      <c r="G1974" s="5" t="n"/>
      <c r="H1974" s="5" t="n"/>
    </row>
    <row r="1975">
      <c r="A1975" s="5" t="n"/>
      <c r="B1975" s="5" t="n"/>
      <c r="C1975" s="5" t="n"/>
      <c r="D1975" s="5" t="n"/>
      <c r="E1975" s="8" t="n"/>
      <c r="F1975" s="5" t="n"/>
      <c r="G1975" s="5" t="n"/>
      <c r="H1975" s="5" t="n"/>
    </row>
    <row r="1976">
      <c r="A1976" s="5" t="n"/>
      <c r="B1976" s="5" t="n"/>
      <c r="C1976" s="5" t="n"/>
      <c r="D1976" s="5" t="n"/>
      <c r="E1976" s="8" t="n"/>
      <c r="F1976" s="5" t="n"/>
      <c r="G1976" s="5" t="n"/>
      <c r="H1976" s="5" t="n"/>
    </row>
    <row r="1977">
      <c r="A1977" s="5" t="n"/>
      <c r="B1977" s="5" t="n"/>
      <c r="C1977" s="5" t="n"/>
      <c r="D1977" s="5" t="n"/>
      <c r="E1977" s="8" t="n"/>
      <c r="F1977" s="5" t="n"/>
      <c r="G1977" s="5" t="n"/>
      <c r="H1977" s="5" t="n"/>
    </row>
    <row r="1978">
      <c r="A1978" s="5" t="n"/>
      <c r="B1978" s="5" t="n"/>
      <c r="C1978" s="5" t="n"/>
      <c r="D1978" s="5" t="n"/>
      <c r="E1978" s="8" t="n"/>
      <c r="F1978" s="5" t="n"/>
      <c r="G1978" s="5" t="n"/>
      <c r="H1978" s="5" t="n"/>
    </row>
    <row r="1979">
      <c r="A1979" s="5" t="n"/>
      <c r="B1979" s="5" t="n"/>
      <c r="C1979" s="5" t="n"/>
      <c r="D1979" s="5" t="n"/>
      <c r="E1979" s="8" t="n"/>
      <c r="F1979" s="5" t="n"/>
      <c r="G1979" s="5" t="n"/>
      <c r="H1979" s="5" t="n"/>
    </row>
    <row r="1980">
      <c r="A1980" s="5" t="n"/>
      <c r="B1980" s="5" t="n"/>
      <c r="C1980" s="5" t="n"/>
      <c r="D1980" s="5" t="n"/>
      <c r="E1980" s="8" t="n"/>
      <c r="F1980" s="5" t="n"/>
      <c r="G1980" s="5" t="n"/>
      <c r="H1980" s="5" t="n"/>
    </row>
    <row r="1981">
      <c r="A1981" s="5" t="n"/>
      <c r="B1981" s="5" t="n"/>
      <c r="C1981" s="5" t="n"/>
      <c r="D1981" s="5" t="n"/>
      <c r="E1981" s="8" t="n"/>
      <c r="F1981" s="5" t="n"/>
      <c r="G1981" s="5" t="n"/>
      <c r="H1981" s="5" t="n"/>
    </row>
    <row r="1982">
      <c r="A1982" s="5" t="n"/>
      <c r="B1982" s="5" t="n"/>
      <c r="C1982" s="5" t="n"/>
      <c r="D1982" s="5" t="n"/>
      <c r="E1982" s="8" t="n"/>
      <c r="F1982" s="5" t="n"/>
      <c r="G1982" s="5" t="n"/>
      <c r="H1982" s="5" t="n"/>
    </row>
    <row r="1983">
      <c r="A1983" s="5" t="n"/>
      <c r="B1983" s="5" t="n"/>
      <c r="C1983" s="5" t="n"/>
      <c r="D1983" s="5" t="n"/>
      <c r="E1983" s="8" t="n"/>
      <c r="F1983" s="5" t="n"/>
      <c r="G1983" s="5" t="n"/>
      <c r="H1983" s="5" t="n"/>
    </row>
    <row r="1984">
      <c r="A1984" s="5" t="n"/>
      <c r="B1984" s="5" t="n"/>
      <c r="C1984" s="5" t="n"/>
      <c r="D1984" s="5" t="n"/>
      <c r="E1984" s="8" t="n"/>
      <c r="F1984" s="5" t="n"/>
      <c r="G1984" s="5" t="n"/>
      <c r="H1984" s="5" t="n"/>
    </row>
    <row r="1985">
      <c r="A1985" s="5" t="n"/>
      <c r="B1985" s="5" t="n"/>
      <c r="C1985" s="5" t="n"/>
      <c r="D1985" s="5" t="n"/>
      <c r="E1985" s="8" t="n"/>
      <c r="F1985" s="5" t="n"/>
      <c r="G1985" s="5" t="n"/>
      <c r="H1985" s="5" t="n"/>
    </row>
    <row r="1986">
      <c r="A1986" s="5" t="n"/>
      <c r="B1986" s="5" t="n"/>
      <c r="C1986" s="5" t="n"/>
      <c r="D1986" s="5" t="n"/>
      <c r="E1986" s="8" t="n"/>
      <c r="F1986" s="5" t="n"/>
      <c r="G1986" s="5" t="n"/>
      <c r="H1986" s="5" t="n"/>
    </row>
    <row r="1987">
      <c r="A1987" s="5" t="n"/>
      <c r="B1987" s="5" t="n"/>
      <c r="C1987" s="5" t="n"/>
      <c r="D1987" s="5" t="n"/>
      <c r="E1987" s="8" t="n"/>
      <c r="F1987" s="5" t="n"/>
      <c r="G1987" s="5" t="n"/>
      <c r="H1987" s="5" t="n"/>
    </row>
    <row r="1988">
      <c r="A1988" s="5" t="n"/>
      <c r="B1988" s="5" t="n"/>
      <c r="C1988" s="5" t="n"/>
      <c r="D1988" s="5" t="n"/>
      <c r="E1988" s="8" t="n"/>
      <c r="F1988" s="5" t="n"/>
      <c r="G1988" s="5" t="n"/>
      <c r="H1988" s="5" t="n"/>
    </row>
    <row r="1989">
      <c r="A1989" s="5" t="n"/>
      <c r="B1989" s="5" t="n"/>
      <c r="C1989" s="5" t="n"/>
      <c r="D1989" s="5" t="n"/>
      <c r="E1989" s="8" t="n"/>
      <c r="F1989" s="5" t="n"/>
      <c r="G1989" s="5" t="n"/>
      <c r="H1989" s="5" t="n"/>
    </row>
    <row r="1990">
      <c r="A1990" s="5" t="n"/>
      <c r="B1990" s="5" t="n"/>
      <c r="C1990" s="5" t="n"/>
      <c r="D1990" s="5" t="n"/>
      <c r="E1990" s="8" t="n"/>
      <c r="F1990" s="5" t="n"/>
      <c r="G1990" s="5" t="n"/>
      <c r="H1990" s="5" t="n"/>
    </row>
    <row r="1991">
      <c r="A1991" s="5" t="n"/>
      <c r="B1991" s="5" t="n"/>
      <c r="C1991" s="5" t="n"/>
      <c r="D1991" s="5" t="n"/>
      <c r="E1991" s="8" t="n"/>
      <c r="F1991" s="5" t="n"/>
      <c r="G1991" s="5" t="n"/>
      <c r="H1991" s="5" t="n"/>
    </row>
    <row r="1992">
      <c r="A1992" s="5" t="n"/>
      <c r="B1992" s="5" t="n"/>
      <c r="C1992" s="5" t="n"/>
      <c r="D1992" s="5" t="n"/>
      <c r="E1992" s="8" t="n"/>
      <c r="F1992" s="5" t="n"/>
      <c r="G1992" s="5" t="n"/>
      <c r="H1992" s="5" t="n"/>
    </row>
    <row r="1993">
      <c r="A1993" s="5" t="n"/>
      <c r="B1993" s="5" t="n"/>
      <c r="C1993" s="5" t="n"/>
      <c r="D1993" s="5" t="n"/>
      <c r="E1993" s="8" t="n"/>
      <c r="F1993" s="5" t="n"/>
      <c r="G1993" s="5" t="n"/>
      <c r="H1993" s="5" t="n"/>
    </row>
    <row r="1994">
      <c r="A1994" s="5" t="n"/>
      <c r="B1994" s="5" t="n"/>
      <c r="C1994" s="5" t="n"/>
      <c r="D1994" s="5" t="n"/>
      <c r="E1994" s="8" t="n"/>
      <c r="F1994" s="5" t="n"/>
      <c r="G1994" s="5" t="n"/>
      <c r="H1994" s="5" t="n"/>
    </row>
    <row r="1995">
      <c r="A1995" s="5" t="n"/>
      <c r="B1995" s="5" t="n"/>
      <c r="C1995" s="5" t="n"/>
      <c r="D1995" s="5" t="n"/>
      <c r="E1995" s="8" t="n"/>
      <c r="F1995" s="5" t="n"/>
      <c r="G1995" s="5" t="n"/>
      <c r="H1995" s="5" t="n"/>
    </row>
    <row r="1996">
      <c r="A1996" s="5" t="n"/>
      <c r="B1996" s="5" t="n"/>
      <c r="C1996" s="5" t="n"/>
      <c r="D1996" s="5" t="n"/>
      <c r="E1996" s="8" t="n"/>
      <c r="F1996" s="5" t="n"/>
      <c r="G1996" s="5" t="n"/>
      <c r="H1996" s="5" t="n"/>
    </row>
    <row r="1997">
      <c r="A1997" s="5" t="n"/>
      <c r="B1997" s="5" t="n"/>
      <c r="C1997" s="5" t="n"/>
      <c r="D1997" s="5" t="n"/>
      <c r="E1997" s="8" t="n"/>
      <c r="F1997" s="5" t="n"/>
      <c r="G1997" s="5" t="n"/>
      <c r="H1997" s="5" t="n"/>
    </row>
    <row r="1998">
      <c r="A1998" s="5" t="n"/>
      <c r="B1998" s="5" t="n"/>
      <c r="C1998" s="5" t="n"/>
      <c r="D1998" s="5" t="n"/>
      <c r="E1998" s="8" t="n"/>
      <c r="F1998" s="5" t="n"/>
      <c r="G1998" s="5" t="n"/>
      <c r="H1998" s="5" t="n"/>
    </row>
    <row r="1999">
      <c r="A1999" s="5" t="n"/>
      <c r="B1999" s="5" t="n"/>
      <c r="C1999" s="5" t="n"/>
      <c r="D1999" s="5" t="n"/>
      <c r="E1999" s="8" t="n"/>
      <c r="F1999" s="5" t="n"/>
      <c r="G1999" s="5" t="n"/>
      <c r="H1999" s="5" t="n"/>
    </row>
    <row r="2000">
      <c r="A2000" s="5" t="n"/>
      <c r="B2000" s="5" t="n"/>
      <c r="C2000" s="5" t="n"/>
      <c r="D2000" s="5" t="n"/>
      <c r="E2000" s="8" t="n"/>
      <c r="F2000" s="5" t="n"/>
      <c r="G2000" s="5" t="n"/>
      <c r="H2000" s="5" t="n"/>
    </row>
    <row r="2001">
      <c r="A2001" s="5" t="n"/>
      <c r="B2001" s="5" t="n"/>
      <c r="C2001" s="5" t="n"/>
      <c r="D2001" s="5" t="n"/>
      <c r="E2001" s="8" t="n"/>
      <c r="F2001" s="5" t="n"/>
      <c r="G2001" s="5" t="n"/>
      <c r="H2001" s="5" t="n"/>
    </row>
    <row r="2002">
      <c r="A2002" s="5" t="n"/>
      <c r="B2002" s="5" t="n"/>
      <c r="C2002" s="5" t="n"/>
      <c r="D2002" s="5" t="n"/>
      <c r="E2002" s="8" t="n"/>
      <c r="F2002" s="5" t="n"/>
      <c r="G2002" s="5" t="n"/>
      <c r="H2002" s="5" t="n"/>
    </row>
    <row r="2003">
      <c r="A2003" s="5" t="n"/>
      <c r="B2003" s="5" t="n"/>
      <c r="C2003" s="5" t="n"/>
      <c r="D2003" s="5" t="n"/>
      <c r="E2003" s="8" t="n"/>
      <c r="F2003" s="5" t="n"/>
      <c r="G2003" s="5" t="n"/>
      <c r="H2003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69A2"/>
    <outlinePr summaryBelow="1" summaryRight="1"/>
    <pageSetUpPr/>
  </sheetPr>
  <dimension ref="A1:I20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4" customWidth="1" min="9" max="9"/>
  </cols>
  <sheetData>
    <row r="1">
      <c r="A1" s="1" t="inlineStr">
        <is>
          <t>DEE CLEANERS — PAYMENTS</t>
        </is>
      </c>
    </row>
    <row r="2">
      <c r="A2" s="2" t="inlineStr">
        <is>
          <t>Use the app to add and edit records. IDs are assigned automatically.</t>
        </is>
      </c>
    </row>
    <row r="3">
      <c r="A3" s="10" t="inlineStr">
        <is>
          <t>Payment ID</t>
        </is>
      </c>
      <c r="B3" s="10" t="inlineStr">
        <is>
          <t>Date</t>
        </is>
      </c>
      <c r="C3" s="10" t="inlineStr">
        <is>
          <t>Customer</t>
        </is>
      </c>
      <c r="D3" s="10" t="inlineStr">
        <is>
          <t>Order ID</t>
        </is>
      </c>
      <c r="E3" s="10" t="inlineStr">
        <is>
          <t>Amount</t>
        </is>
      </c>
      <c r="F3" s="10" t="inlineStr">
        <is>
          <t>Payment Method</t>
        </is>
      </c>
      <c r="G3" s="10" t="inlineStr">
        <is>
          <t>Reference</t>
        </is>
      </c>
      <c r="H3" s="10" t="inlineStr">
        <is>
          <t>Received By</t>
        </is>
      </c>
      <c r="I3" s="10" t="inlineStr">
        <is>
          <t>Notes</t>
        </is>
      </c>
    </row>
    <row r="4">
      <c r="A4" s="5" t="n"/>
      <c r="B4" s="5" t="n"/>
      <c r="C4" s="5" t="n"/>
      <c r="D4" s="5" t="n"/>
      <c r="E4" s="8" t="n"/>
      <c r="F4" s="5" t="n"/>
      <c r="G4" s="5" t="n"/>
      <c r="H4" s="5" t="n"/>
      <c r="I4" s="5" t="n"/>
    </row>
    <row r="5">
      <c r="A5" s="5" t="n"/>
      <c r="B5" s="5" t="n"/>
      <c r="C5" s="5" t="n"/>
      <c r="D5" s="5" t="n"/>
      <c r="E5" s="8" t="n"/>
      <c r="F5" s="5" t="n"/>
      <c r="G5" s="5" t="n"/>
      <c r="H5" s="5" t="n"/>
      <c r="I5" s="5" t="n"/>
    </row>
    <row r="6">
      <c r="A6" s="5" t="n"/>
      <c r="B6" s="5" t="n"/>
      <c r="C6" s="5" t="n"/>
      <c r="D6" s="5" t="n"/>
      <c r="E6" s="8" t="n"/>
      <c r="F6" s="5" t="n"/>
      <c r="G6" s="5" t="n"/>
      <c r="H6" s="5" t="n"/>
      <c r="I6" s="5" t="n"/>
    </row>
    <row r="7">
      <c r="A7" s="5" t="n"/>
      <c r="B7" s="5" t="n"/>
      <c r="C7" s="5" t="n"/>
      <c r="D7" s="5" t="n"/>
      <c r="E7" s="8" t="n"/>
      <c r="F7" s="5" t="n"/>
      <c r="G7" s="5" t="n"/>
      <c r="H7" s="5" t="n"/>
      <c r="I7" s="5" t="n"/>
    </row>
    <row r="8">
      <c r="A8" s="5" t="n"/>
      <c r="B8" s="5" t="n"/>
      <c r="C8" s="5" t="n"/>
      <c r="D8" s="5" t="n"/>
      <c r="E8" s="8" t="n"/>
      <c r="F8" s="5" t="n"/>
      <c r="G8" s="5" t="n"/>
      <c r="H8" s="5" t="n"/>
      <c r="I8" s="5" t="n"/>
    </row>
    <row r="9">
      <c r="A9" s="5" t="n"/>
      <c r="B9" s="5" t="n"/>
      <c r="C9" s="5" t="n"/>
      <c r="D9" s="5" t="n"/>
      <c r="E9" s="8" t="n"/>
      <c r="F9" s="5" t="n"/>
      <c r="G9" s="5" t="n"/>
      <c r="H9" s="5" t="n"/>
      <c r="I9" s="5" t="n"/>
    </row>
    <row r="10">
      <c r="A10" s="5" t="n"/>
      <c r="B10" s="5" t="n"/>
      <c r="C10" s="5" t="n"/>
      <c r="D10" s="5" t="n"/>
      <c r="E10" s="8" t="n"/>
      <c r="F10" s="5" t="n"/>
      <c r="G10" s="5" t="n"/>
      <c r="H10" s="5" t="n"/>
      <c r="I10" s="5" t="n"/>
    </row>
    <row r="11">
      <c r="A11" s="5" t="n"/>
      <c r="B11" s="5" t="n"/>
      <c r="C11" s="5" t="n"/>
      <c r="D11" s="5" t="n"/>
      <c r="E11" s="8" t="n"/>
      <c r="F11" s="5" t="n"/>
      <c r="G11" s="5" t="n"/>
      <c r="H11" s="5" t="n"/>
      <c r="I11" s="5" t="n"/>
    </row>
    <row r="12">
      <c r="A12" s="5" t="n"/>
      <c r="B12" s="5" t="n"/>
      <c r="C12" s="5" t="n"/>
      <c r="D12" s="5" t="n"/>
      <c r="E12" s="8" t="n"/>
      <c r="F12" s="5" t="n"/>
      <c r="G12" s="5" t="n"/>
      <c r="H12" s="5" t="n"/>
      <c r="I12" s="5" t="n"/>
    </row>
    <row r="13">
      <c r="A13" s="5" t="n"/>
      <c r="B13" s="5" t="n"/>
      <c r="C13" s="5" t="n"/>
      <c r="D13" s="5" t="n"/>
      <c r="E13" s="8" t="n"/>
      <c r="F13" s="5" t="n"/>
      <c r="G13" s="5" t="n"/>
      <c r="H13" s="5" t="n"/>
      <c r="I13" s="5" t="n"/>
    </row>
    <row r="14">
      <c r="A14" s="5" t="n"/>
      <c r="B14" s="5" t="n"/>
      <c r="C14" s="5" t="n"/>
      <c r="D14" s="5" t="n"/>
      <c r="E14" s="8" t="n"/>
      <c r="F14" s="5" t="n"/>
      <c r="G14" s="5" t="n"/>
      <c r="H14" s="5" t="n"/>
      <c r="I14" s="5" t="n"/>
    </row>
    <row r="15">
      <c r="A15" s="5" t="n"/>
      <c r="B15" s="5" t="n"/>
      <c r="C15" s="5" t="n"/>
      <c r="D15" s="5" t="n"/>
      <c r="E15" s="8" t="n"/>
      <c r="F15" s="5" t="n"/>
      <c r="G15" s="5" t="n"/>
      <c r="H15" s="5" t="n"/>
      <c r="I15" s="5" t="n"/>
    </row>
    <row r="16">
      <c r="A16" s="5" t="n"/>
      <c r="B16" s="5" t="n"/>
      <c r="C16" s="5" t="n"/>
      <c r="D16" s="5" t="n"/>
      <c r="E16" s="8" t="n"/>
      <c r="F16" s="5" t="n"/>
      <c r="G16" s="5" t="n"/>
      <c r="H16" s="5" t="n"/>
      <c r="I16" s="5" t="n"/>
    </row>
    <row r="17">
      <c r="A17" s="5" t="n"/>
      <c r="B17" s="5" t="n"/>
      <c r="C17" s="5" t="n"/>
      <c r="D17" s="5" t="n"/>
      <c r="E17" s="8" t="n"/>
      <c r="F17" s="5" t="n"/>
      <c r="G17" s="5" t="n"/>
      <c r="H17" s="5" t="n"/>
      <c r="I17" s="5" t="n"/>
    </row>
    <row r="18">
      <c r="A18" s="5" t="n"/>
      <c r="B18" s="5" t="n"/>
      <c r="C18" s="5" t="n"/>
      <c r="D18" s="5" t="n"/>
      <c r="E18" s="8" t="n"/>
      <c r="F18" s="5" t="n"/>
      <c r="G18" s="5" t="n"/>
      <c r="H18" s="5" t="n"/>
      <c r="I18" s="5" t="n"/>
    </row>
    <row r="19">
      <c r="A19" s="5" t="n"/>
      <c r="B19" s="5" t="n"/>
      <c r="C19" s="5" t="n"/>
      <c r="D19" s="5" t="n"/>
      <c r="E19" s="8" t="n"/>
      <c r="F19" s="5" t="n"/>
      <c r="G19" s="5" t="n"/>
      <c r="H19" s="5" t="n"/>
      <c r="I19" s="5" t="n"/>
    </row>
    <row r="20">
      <c r="A20" s="5" t="n"/>
      <c r="B20" s="5" t="n"/>
      <c r="C20" s="5" t="n"/>
      <c r="D20" s="5" t="n"/>
      <c r="E20" s="8" t="n"/>
      <c r="F20" s="5" t="n"/>
      <c r="G20" s="5" t="n"/>
      <c r="H20" s="5" t="n"/>
      <c r="I20" s="5" t="n"/>
    </row>
    <row r="21">
      <c r="A21" s="5" t="n"/>
      <c r="B21" s="5" t="n"/>
      <c r="C21" s="5" t="n"/>
      <c r="D21" s="5" t="n"/>
      <c r="E21" s="8" t="n"/>
      <c r="F21" s="5" t="n"/>
      <c r="G21" s="5" t="n"/>
      <c r="H21" s="5" t="n"/>
      <c r="I21" s="5" t="n"/>
    </row>
    <row r="22">
      <c r="A22" s="5" t="n"/>
      <c r="B22" s="5" t="n"/>
      <c r="C22" s="5" t="n"/>
      <c r="D22" s="5" t="n"/>
      <c r="E22" s="8" t="n"/>
      <c r="F22" s="5" t="n"/>
      <c r="G22" s="5" t="n"/>
      <c r="H22" s="5" t="n"/>
      <c r="I22" s="5" t="n"/>
    </row>
    <row r="23">
      <c r="A23" s="5" t="n"/>
      <c r="B23" s="5" t="n"/>
      <c r="C23" s="5" t="n"/>
      <c r="D23" s="5" t="n"/>
      <c r="E23" s="8" t="n"/>
      <c r="F23" s="5" t="n"/>
      <c r="G23" s="5" t="n"/>
      <c r="H23" s="5" t="n"/>
      <c r="I23" s="5" t="n"/>
    </row>
    <row r="24">
      <c r="A24" s="5" t="n"/>
      <c r="B24" s="5" t="n"/>
      <c r="C24" s="5" t="n"/>
      <c r="D24" s="5" t="n"/>
      <c r="E24" s="8" t="n"/>
      <c r="F24" s="5" t="n"/>
      <c r="G24" s="5" t="n"/>
      <c r="H24" s="5" t="n"/>
      <c r="I24" s="5" t="n"/>
    </row>
    <row r="25">
      <c r="A25" s="5" t="n"/>
      <c r="B25" s="5" t="n"/>
      <c r="C25" s="5" t="n"/>
      <c r="D25" s="5" t="n"/>
      <c r="E25" s="8" t="n"/>
      <c r="F25" s="5" t="n"/>
      <c r="G25" s="5" t="n"/>
      <c r="H25" s="5" t="n"/>
      <c r="I25" s="5" t="n"/>
    </row>
    <row r="26">
      <c r="A26" s="5" t="n"/>
      <c r="B26" s="5" t="n"/>
      <c r="C26" s="5" t="n"/>
      <c r="D26" s="5" t="n"/>
      <c r="E26" s="8" t="n"/>
      <c r="F26" s="5" t="n"/>
      <c r="G26" s="5" t="n"/>
      <c r="H26" s="5" t="n"/>
      <c r="I26" s="5" t="n"/>
    </row>
    <row r="27">
      <c r="A27" s="5" t="n"/>
      <c r="B27" s="5" t="n"/>
      <c r="C27" s="5" t="n"/>
      <c r="D27" s="5" t="n"/>
      <c r="E27" s="8" t="n"/>
      <c r="F27" s="5" t="n"/>
      <c r="G27" s="5" t="n"/>
      <c r="H27" s="5" t="n"/>
      <c r="I27" s="5" t="n"/>
    </row>
    <row r="28">
      <c r="A28" s="5" t="n"/>
      <c r="B28" s="5" t="n"/>
      <c r="C28" s="5" t="n"/>
      <c r="D28" s="5" t="n"/>
      <c r="E28" s="8" t="n"/>
      <c r="F28" s="5" t="n"/>
      <c r="G28" s="5" t="n"/>
      <c r="H28" s="5" t="n"/>
      <c r="I28" s="5" t="n"/>
    </row>
    <row r="29">
      <c r="A29" s="5" t="n"/>
      <c r="B29" s="5" t="n"/>
      <c r="C29" s="5" t="n"/>
      <c r="D29" s="5" t="n"/>
      <c r="E29" s="8" t="n"/>
      <c r="F29" s="5" t="n"/>
      <c r="G29" s="5" t="n"/>
      <c r="H29" s="5" t="n"/>
      <c r="I29" s="5" t="n"/>
    </row>
    <row r="30">
      <c r="A30" s="5" t="n"/>
      <c r="B30" s="5" t="n"/>
      <c r="C30" s="5" t="n"/>
      <c r="D30" s="5" t="n"/>
      <c r="E30" s="8" t="n"/>
      <c r="F30" s="5" t="n"/>
      <c r="G30" s="5" t="n"/>
      <c r="H30" s="5" t="n"/>
      <c r="I30" s="5" t="n"/>
    </row>
    <row r="31">
      <c r="A31" s="5" t="n"/>
      <c r="B31" s="5" t="n"/>
      <c r="C31" s="5" t="n"/>
      <c r="D31" s="5" t="n"/>
      <c r="E31" s="8" t="n"/>
      <c r="F31" s="5" t="n"/>
      <c r="G31" s="5" t="n"/>
      <c r="H31" s="5" t="n"/>
      <c r="I31" s="5" t="n"/>
    </row>
    <row r="32">
      <c r="A32" s="5" t="n"/>
      <c r="B32" s="5" t="n"/>
      <c r="C32" s="5" t="n"/>
      <c r="D32" s="5" t="n"/>
      <c r="E32" s="8" t="n"/>
      <c r="F32" s="5" t="n"/>
      <c r="G32" s="5" t="n"/>
      <c r="H32" s="5" t="n"/>
      <c r="I32" s="5" t="n"/>
    </row>
    <row r="33">
      <c r="A33" s="5" t="n"/>
      <c r="B33" s="5" t="n"/>
      <c r="C33" s="5" t="n"/>
      <c r="D33" s="5" t="n"/>
      <c r="E33" s="8" t="n"/>
      <c r="F33" s="5" t="n"/>
      <c r="G33" s="5" t="n"/>
      <c r="H33" s="5" t="n"/>
      <c r="I33" s="5" t="n"/>
    </row>
    <row r="34">
      <c r="A34" s="5" t="n"/>
      <c r="B34" s="5" t="n"/>
      <c r="C34" s="5" t="n"/>
      <c r="D34" s="5" t="n"/>
      <c r="E34" s="8" t="n"/>
      <c r="F34" s="5" t="n"/>
      <c r="G34" s="5" t="n"/>
      <c r="H34" s="5" t="n"/>
      <c r="I34" s="5" t="n"/>
    </row>
    <row r="35">
      <c r="A35" s="5" t="n"/>
      <c r="B35" s="5" t="n"/>
      <c r="C35" s="5" t="n"/>
      <c r="D35" s="5" t="n"/>
      <c r="E35" s="8" t="n"/>
      <c r="F35" s="5" t="n"/>
      <c r="G35" s="5" t="n"/>
      <c r="H35" s="5" t="n"/>
      <c r="I35" s="5" t="n"/>
    </row>
    <row r="36">
      <c r="A36" s="5" t="n"/>
      <c r="B36" s="5" t="n"/>
      <c r="C36" s="5" t="n"/>
      <c r="D36" s="5" t="n"/>
      <c r="E36" s="8" t="n"/>
      <c r="F36" s="5" t="n"/>
      <c r="G36" s="5" t="n"/>
      <c r="H36" s="5" t="n"/>
      <c r="I36" s="5" t="n"/>
    </row>
    <row r="37">
      <c r="A37" s="5" t="n"/>
      <c r="B37" s="5" t="n"/>
      <c r="C37" s="5" t="n"/>
      <c r="D37" s="5" t="n"/>
      <c r="E37" s="8" t="n"/>
      <c r="F37" s="5" t="n"/>
      <c r="G37" s="5" t="n"/>
      <c r="H37" s="5" t="n"/>
      <c r="I37" s="5" t="n"/>
    </row>
    <row r="38">
      <c r="A38" s="5" t="n"/>
      <c r="B38" s="5" t="n"/>
      <c r="C38" s="5" t="n"/>
      <c r="D38" s="5" t="n"/>
      <c r="E38" s="8" t="n"/>
      <c r="F38" s="5" t="n"/>
      <c r="G38" s="5" t="n"/>
      <c r="H38" s="5" t="n"/>
      <c r="I38" s="5" t="n"/>
    </row>
    <row r="39">
      <c r="A39" s="5" t="n"/>
      <c r="B39" s="5" t="n"/>
      <c r="C39" s="5" t="n"/>
      <c r="D39" s="5" t="n"/>
      <c r="E39" s="8" t="n"/>
      <c r="F39" s="5" t="n"/>
      <c r="G39" s="5" t="n"/>
      <c r="H39" s="5" t="n"/>
      <c r="I39" s="5" t="n"/>
    </row>
    <row r="40">
      <c r="A40" s="5" t="n"/>
      <c r="B40" s="5" t="n"/>
      <c r="C40" s="5" t="n"/>
      <c r="D40" s="5" t="n"/>
      <c r="E40" s="8" t="n"/>
      <c r="F40" s="5" t="n"/>
      <c r="G40" s="5" t="n"/>
      <c r="H40" s="5" t="n"/>
      <c r="I40" s="5" t="n"/>
    </row>
    <row r="41">
      <c r="A41" s="5" t="n"/>
      <c r="B41" s="5" t="n"/>
      <c r="C41" s="5" t="n"/>
      <c r="D41" s="5" t="n"/>
      <c r="E41" s="8" t="n"/>
      <c r="F41" s="5" t="n"/>
      <c r="G41" s="5" t="n"/>
      <c r="H41" s="5" t="n"/>
      <c r="I41" s="5" t="n"/>
    </row>
    <row r="42">
      <c r="A42" s="5" t="n"/>
      <c r="B42" s="5" t="n"/>
      <c r="C42" s="5" t="n"/>
      <c r="D42" s="5" t="n"/>
      <c r="E42" s="8" t="n"/>
      <c r="F42" s="5" t="n"/>
      <c r="G42" s="5" t="n"/>
      <c r="H42" s="5" t="n"/>
      <c r="I42" s="5" t="n"/>
    </row>
    <row r="43">
      <c r="A43" s="5" t="n"/>
      <c r="B43" s="5" t="n"/>
      <c r="C43" s="5" t="n"/>
      <c r="D43" s="5" t="n"/>
      <c r="E43" s="8" t="n"/>
      <c r="F43" s="5" t="n"/>
      <c r="G43" s="5" t="n"/>
      <c r="H43" s="5" t="n"/>
      <c r="I43" s="5" t="n"/>
    </row>
    <row r="44">
      <c r="A44" s="5" t="n"/>
      <c r="B44" s="5" t="n"/>
      <c r="C44" s="5" t="n"/>
      <c r="D44" s="5" t="n"/>
      <c r="E44" s="8" t="n"/>
      <c r="F44" s="5" t="n"/>
      <c r="G44" s="5" t="n"/>
      <c r="H44" s="5" t="n"/>
      <c r="I44" s="5" t="n"/>
    </row>
    <row r="45">
      <c r="A45" s="5" t="n"/>
      <c r="B45" s="5" t="n"/>
      <c r="C45" s="5" t="n"/>
      <c r="D45" s="5" t="n"/>
      <c r="E45" s="8" t="n"/>
      <c r="F45" s="5" t="n"/>
      <c r="G45" s="5" t="n"/>
      <c r="H45" s="5" t="n"/>
      <c r="I45" s="5" t="n"/>
    </row>
    <row r="46">
      <c r="A46" s="5" t="n"/>
      <c r="B46" s="5" t="n"/>
      <c r="C46" s="5" t="n"/>
      <c r="D46" s="5" t="n"/>
      <c r="E46" s="8" t="n"/>
      <c r="F46" s="5" t="n"/>
      <c r="G46" s="5" t="n"/>
      <c r="H46" s="5" t="n"/>
      <c r="I46" s="5" t="n"/>
    </row>
    <row r="47">
      <c r="A47" s="5" t="n"/>
      <c r="B47" s="5" t="n"/>
      <c r="C47" s="5" t="n"/>
      <c r="D47" s="5" t="n"/>
      <c r="E47" s="8" t="n"/>
      <c r="F47" s="5" t="n"/>
      <c r="G47" s="5" t="n"/>
      <c r="H47" s="5" t="n"/>
      <c r="I47" s="5" t="n"/>
    </row>
    <row r="48">
      <c r="A48" s="5" t="n"/>
      <c r="B48" s="5" t="n"/>
      <c r="C48" s="5" t="n"/>
      <c r="D48" s="5" t="n"/>
      <c r="E48" s="8" t="n"/>
      <c r="F48" s="5" t="n"/>
      <c r="G48" s="5" t="n"/>
      <c r="H48" s="5" t="n"/>
      <c r="I48" s="5" t="n"/>
    </row>
    <row r="49">
      <c r="A49" s="5" t="n"/>
      <c r="B49" s="5" t="n"/>
      <c r="C49" s="5" t="n"/>
      <c r="D49" s="5" t="n"/>
      <c r="E49" s="8" t="n"/>
      <c r="F49" s="5" t="n"/>
      <c r="G49" s="5" t="n"/>
      <c r="H49" s="5" t="n"/>
      <c r="I49" s="5" t="n"/>
    </row>
    <row r="50">
      <c r="A50" s="5" t="n"/>
      <c r="B50" s="5" t="n"/>
      <c r="C50" s="5" t="n"/>
      <c r="D50" s="5" t="n"/>
      <c r="E50" s="8" t="n"/>
      <c r="F50" s="5" t="n"/>
      <c r="G50" s="5" t="n"/>
      <c r="H50" s="5" t="n"/>
      <c r="I50" s="5" t="n"/>
    </row>
    <row r="51">
      <c r="A51" s="5" t="n"/>
      <c r="B51" s="5" t="n"/>
      <c r="C51" s="5" t="n"/>
      <c r="D51" s="5" t="n"/>
      <c r="E51" s="8" t="n"/>
      <c r="F51" s="5" t="n"/>
      <c r="G51" s="5" t="n"/>
      <c r="H51" s="5" t="n"/>
      <c r="I51" s="5" t="n"/>
    </row>
    <row r="52">
      <c r="A52" s="5" t="n"/>
      <c r="B52" s="5" t="n"/>
      <c r="C52" s="5" t="n"/>
      <c r="D52" s="5" t="n"/>
      <c r="E52" s="8" t="n"/>
      <c r="F52" s="5" t="n"/>
      <c r="G52" s="5" t="n"/>
      <c r="H52" s="5" t="n"/>
      <c r="I52" s="5" t="n"/>
    </row>
    <row r="53">
      <c r="A53" s="5" t="n"/>
      <c r="B53" s="5" t="n"/>
      <c r="C53" s="5" t="n"/>
      <c r="D53" s="5" t="n"/>
      <c r="E53" s="8" t="n"/>
      <c r="F53" s="5" t="n"/>
      <c r="G53" s="5" t="n"/>
      <c r="H53" s="5" t="n"/>
      <c r="I53" s="5" t="n"/>
    </row>
    <row r="54">
      <c r="A54" s="5" t="n"/>
      <c r="B54" s="5" t="n"/>
      <c r="C54" s="5" t="n"/>
      <c r="D54" s="5" t="n"/>
      <c r="E54" s="8" t="n"/>
      <c r="F54" s="5" t="n"/>
      <c r="G54" s="5" t="n"/>
      <c r="H54" s="5" t="n"/>
      <c r="I54" s="5" t="n"/>
    </row>
    <row r="55">
      <c r="A55" s="5" t="n"/>
      <c r="B55" s="5" t="n"/>
      <c r="C55" s="5" t="n"/>
      <c r="D55" s="5" t="n"/>
      <c r="E55" s="8" t="n"/>
      <c r="F55" s="5" t="n"/>
      <c r="G55" s="5" t="n"/>
      <c r="H55" s="5" t="n"/>
      <c r="I55" s="5" t="n"/>
    </row>
    <row r="56">
      <c r="A56" s="5" t="n"/>
      <c r="B56" s="5" t="n"/>
      <c r="C56" s="5" t="n"/>
      <c r="D56" s="5" t="n"/>
      <c r="E56" s="8" t="n"/>
      <c r="F56" s="5" t="n"/>
      <c r="G56" s="5" t="n"/>
      <c r="H56" s="5" t="n"/>
      <c r="I56" s="5" t="n"/>
    </row>
    <row r="57">
      <c r="A57" s="5" t="n"/>
      <c r="B57" s="5" t="n"/>
      <c r="C57" s="5" t="n"/>
      <c r="D57" s="5" t="n"/>
      <c r="E57" s="8" t="n"/>
      <c r="F57" s="5" t="n"/>
      <c r="G57" s="5" t="n"/>
      <c r="H57" s="5" t="n"/>
      <c r="I57" s="5" t="n"/>
    </row>
    <row r="58">
      <c r="A58" s="5" t="n"/>
      <c r="B58" s="5" t="n"/>
      <c r="C58" s="5" t="n"/>
      <c r="D58" s="5" t="n"/>
      <c r="E58" s="8" t="n"/>
      <c r="F58" s="5" t="n"/>
      <c r="G58" s="5" t="n"/>
      <c r="H58" s="5" t="n"/>
      <c r="I58" s="5" t="n"/>
    </row>
    <row r="59">
      <c r="A59" s="5" t="n"/>
      <c r="B59" s="5" t="n"/>
      <c r="C59" s="5" t="n"/>
      <c r="D59" s="5" t="n"/>
      <c r="E59" s="8" t="n"/>
      <c r="F59" s="5" t="n"/>
      <c r="G59" s="5" t="n"/>
      <c r="H59" s="5" t="n"/>
      <c r="I59" s="5" t="n"/>
    </row>
    <row r="60">
      <c r="A60" s="5" t="n"/>
      <c r="B60" s="5" t="n"/>
      <c r="C60" s="5" t="n"/>
      <c r="D60" s="5" t="n"/>
      <c r="E60" s="8" t="n"/>
      <c r="F60" s="5" t="n"/>
      <c r="G60" s="5" t="n"/>
      <c r="H60" s="5" t="n"/>
      <c r="I60" s="5" t="n"/>
    </row>
    <row r="61">
      <c r="A61" s="5" t="n"/>
      <c r="B61" s="5" t="n"/>
      <c r="C61" s="5" t="n"/>
      <c r="D61" s="5" t="n"/>
      <c r="E61" s="8" t="n"/>
      <c r="F61" s="5" t="n"/>
      <c r="G61" s="5" t="n"/>
      <c r="H61" s="5" t="n"/>
      <c r="I61" s="5" t="n"/>
    </row>
    <row r="62">
      <c r="A62" s="5" t="n"/>
      <c r="B62" s="5" t="n"/>
      <c r="C62" s="5" t="n"/>
      <c r="D62" s="5" t="n"/>
      <c r="E62" s="8" t="n"/>
      <c r="F62" s="5" t="n"/>
      <c r="G62" s="5" t="n"/>
      <c r="H62" s="5" t="n"/>
      <c r="I62" s="5" t="n"/>
    </row>
    <row r="63">
      <c r="A63" s="5" t="n"/>
      <c r="B63" s="5" t="n"/>
      <c r="C63" s="5" t="n"/>
      <c r="D63" s="5" t="n"/>
      <c r="E63" s="8" t="n"/>
      <c r="F63" s="5" t="n"/>
      <c r="G63" s="5" t="n"/>
      <c r="H63" s="5" t="n"/>
      <c r="I63" s="5" t="n"/>
    </row>
    <row r="64">
      <c r="A64" s="5" t="n"/>
      <c r="B64" s="5" t="n"/>
      <c r="C64" s="5" t="n"/>
      <c r="D64" s="5" t="n"/>
      <c r="E64" s="8" t="n"/>
      <c r="F64" s="5" t="n"/>
      <c r="G64" s="5" t="n"/>
      <c r="H64" s="5" t="n"/>
      <c r="I64" s="5" t="n"/>
    </row>
    <row r="65">
      <c r="A65" s="5" t="n"/>
      <c r="B65" s="5" t="n"/>
      <c r="C65" s="5" t="n"/>
      <c r="D65" s="5" t="n"/>
      <c r="E65" s="8" t="n"/>
      <c r="F65" s="5" t="n"/>
      <c r="G65" s="5" t="n"/>
      <c r="H65" s="5" t="n"/>
      <c r="I65" s="5" t="n"/>
    </row>
    <row r="66">
      <c r="A66" s="5" t="n"/>
      <c r="B66" s="5" t="n"/>
      <c r="C66" s="5" t="n"/>
      <c r="D66" s="5" t="n"/>
      <c r="E66" s="8" t="n"/>
      <c r="F66" s="5" t="n"/>
      <c r="G66" s="5" t="n"/>
      <c r="H66" s="5" t="n"/>
      <c r="I66" s="5" t="n"/>
    </row>
    <row r="67">
      <c r="A67" s="5" t="n"/>
      <c r="B67" s="5" t="n"/>
      <c r="C67" s="5" t="n"/>
      <c r="D67" s="5" t="n"/>
      <c r="E67" s="8" t="n"/>
      <c r="F67" s="5" t="n"/>
      <c r="G67" s="5" t="n"/>
      <c r="H67" s="5" t="n"/>
      <c r="I67" s="5" t="n"/>
    </row>
    <row r="68">
      <c r="A68" s="5" t="n"/>
      <c r="B68" s="5" t="n"/>
      <c r="C68" s="5" t="n"/>
      <c r="D68" s="5" t="n"/>
      <c r="E68" s="8" t="n"/>
      <c r="F68" s="5" t="n"/>
      <c r="G68" s="5" t="n"/>
      <c r="H68" s="5" t="n"/>
      <c r="I68" s="5" t="n"/>
    </row>
    <row r="69">
      <c r="A69" s="5" t="n"/>
      <c r="B69" s="5" t="n"/>
      <c r="C69" s="5" t="n"/>
      <c r="D69" s="5" t="n"/>
      <c r="E69" s="8" t="n"/>
      <c r="F69" s="5" t="n"/>
      <c r="G69" s="5" t="n"/>
      <c r="H69" s="5" t="n"/>
      <c r="I69" s="5" t="n"/>
    </row>
    <row r="70">
      <c r="A70" s="5" t="n"/>
      <c r="B70" s="5" t="n"/>
      <c r="C70" s="5" t="n"/>
      <c r="D70" s="5" t="n"/>
      <c r="E70" s="8" t="n"/>
      <c r="F70" s="5" t="n"/>
      <c r="G70" s="5" t="n"/>
      <c r="H70" s="5" t="n"/>
      <c r="I70" s="5" t="n"/>
    </row>
    <row r="71">
      <c r="A71" s="5" t="n"/>
      <c r="B71" s="5" t="n"/>
      <c r="C71" s="5" t="n"/>
      <c r="D71" s="5" t="n"/>
      <c r="E71" s="8" t="n"/>
      <c r="F71" s="5" t="n"/>
      <c r="G71" s="5" t="n"/>
      <c r="H71" s="5" t="n"/>
      <c r="I71" s="5" t="n"/>
    </row>
    <row r="72">
      <c r="A72" s="5" t="n"/>
      <c r="B72" s="5" t="n"/>
      <c r="C72" s="5" t="n"/>
      <c r="D72" s="5" t="n"/>
      <c r="E72" s="8" t="n"/>
      <c r="F72" s="5" t="n"/>
      <c r="G72" s="5" t="n"/>
      <c r="H72" s="5" t="n"/>
      <c r="I72" s="5" t="n"/>
    </row>
    <row r="73">
      <c r="A73" s="5" t="n"/>
      <c r="B73" s="5" t="n"/>
      <c r="C73" s="5" t="n"/>
      <c r="D73" s="5" t="n"/>
      <c r="E73" s="8" t="n"/>
      <c r="F73" s="5" t="n"/>
      <c r="G73" s="5" t="n"/>
      <c r="H73" s="5" t="n"/>
      <c r="I73" s="5" t="n"/>
    </row>
    <row r="74">
      <c r="A74" s="5" t="n"/>
      <c r="B74" s="5" t="n"/>
      <c r="C74" s="5" t="n"/>
      <c r="D74" s="5" t="n"/>
      <c r="E74" s="8" t="n"/>
      <c r="F74" s="5" t="n"/>
      <c r="G74" s="5" t="n"/>
      <c r="H74" s="5" t="n"/>
      <c r="I74" s="5" t="n"/>
    </row>
    <row r="75">
      <c r="A75" s="5" t="n"/>
      <c r="B75" s="5" t="n"/>
      <c r="C75" s="5" t="n"/>
      <c r="D75" s="5" t="n"/>
      <c r="E75" s="8" t="n"/>
      <c r="F75" s="5" t="n"/>
      <c r="G75" s="5" t="n"/>
      <c r="H75" s="5" t="n"/>
      <c r="I75" s="5" t="n"/>
    </row>
    <row r="76">
      <c r="A76" s="5" t="n"/>
      <c r="B76" s="5" t="n"/>
      <c r="C76" s="5" t="n"/>
      <c r="D76" s="5" t="n"/>
      <c r="E76" s="8" t="n"/>
      <c r="F76" s="5" t="n"/>
      <c r="G76" s="5" t="n"/>
      <c r="H76" s="5" t="n"/>
      <c r="I76" s="5" t="n"/>
    </row>
    <row r="77">
      <c r="A77" s="5" t="n"/>
      <c r="B77" s="5" t="n"/>
      <c r="C77" s="5" t="n"/>
      <c r="D77" s="5" t="n"/>
      <c r="E77" s="8" t="n"/>
      <c r="F77" s="5" t="n"/>
      <c r="G77" s="5" t="n"/>
      <c r="H77" s="5" t="n"/>
      <c r="I77" s="5" t="n"/>
    </row>
    <row r="78">
      <c r="A78" s="5" t="n"/>
      <c r="B78" s="5" t="n"/>
      <c r="C78" s="5" t="n"/>
      <c r="D78" s="5" t="n"/>
      <c r="E78" s="8" t="n"/>
      <c r="F78" s="5" t="n"/>
      <c r="G78" s="5" t="n"/>
      <c r="H78" s="5" t="n"/>
      <c r="I78" s="5" t="n"/>
    </row>
    <row r="79">
      <c r="A79" s="5" t="n"/>
      <c r="B79" s="5" t="n"/>
      <c r="C79" s="5" t="n"/>
      <c r="D79" s="5" t="n"/>
      <c r="E79" s="8" t="n"/>
      <c r="F79" s="5" t="n"/>
      <c r="G79" s="5" t="n"/>
      <c r="H79" s="5" t="n"/>
      <c r="I79" s="5" t="n"/>
    </row>
    <row r="80">
      <c r="A80" s="5" t="n"/>
      <c r="B80" s="5" t="n"/>
      <c r="C80" s="5" t="n"/>
      <c r="D80" s="5" t="n"/>
      <c r="E80" s="8" t="n"/>
      <c r="F80" s="5" t="n"/>
      <c r="G80" s="5" t="n"/>
      <c r="H80" s="5" t="n"/>
      <c r="I80" s="5" t="n"/>
    </row>
    <row r="81">
      <c r="A81" s="5" t="n"/>
      <c r="B81" s="5" t="n"/>
      <c r="C81" s="5" t="n"/>
      <c r="D81" s="5" t="n"/>
      <c r="E81" s="8" t="n"/>
      <c r="F81" s="5" t="n"/>
      <c r="G81" s="5" t="n"/>
      <c r="H81" s="5" t="n"/>
      <c r="I81" s="5" t="n"/>
    </row>
    <row r="82">
      <c r="A82" s="5" t="n"/>
      <c r="B82" s="5" t="n"/>
      <c r="C82" s="5" t="n"/>
      <c r="D82" s="5" t="n"/>
      <c r="E82" s="8" t="n"/>
      <c r="F82" s="5" t="n"/>
      <c r="G82" s="5" t="n"/>
      <c r="H82" s="5" t="n"/>
      <c r="I82" s="5" t="n"/>
    </row>
    <row r="83">
      <c r="A83" s="5" t="n"/>
      <c r="B83" s="5" t="n"/>
      <c r="C83" s="5" t="n"/>
      <c r="D83" s="5" t="n"/>
      <c r="E83" s="8" t="n"/>
      <c r="F83" s="5" t="n"/>
      <c r="G83" s="5" t="n"/>
      <c r="H83" s="5" t="n"/>
      <c r="I83" s="5" t="n"/>
    </row>
    <row r="84">
      <c r="A84" s="5" t="n"/>
      <c r="B84" s="5" t="n"/>
      <c r="C84" s="5" t="n"/>
      <c r="D84" s="5" t="n"/>
      <c r="E84" s="8" t="n"/>
      <c r="F84" s="5" t="n"/>
      <c r="G84" s="5" t="n"/>
      <c r="H84" s="5" t="n"/>
      <c r="I84" s="5" t="n"/>
    </row>
    <row r="85">
      <c r="A85" s="5" t="n"/>
      <c r="B85" s="5" t="n"/>
      <c r="C85" s="5" t="n"/>
      <c r="D85" s="5" t="n"/>
      <c r="E85" s="8" t="n"/>
      <c r="F85" s="5" t="n"/>
      <c r="G85" s="5" t="n"/>
      <c r="H85" s="5" t="n"/>
      <c r="I85" s="5" t="n"/>
    </row>
    <row r="86">
      <c r="A86" s="5" t="n"/>
      <c r="B86" s="5" t="n"/>
      <c r="C86" s="5" t="n"/>
      <c r="D86" s="5" t="n"/>
      <c r="E86" s="8" t="n"/>
      <c r="F86" s="5" t="n"/>
      <c r="G86" s="5" t="n"/>
      <c r="H86" s="5" t="n"/>
      <c r="I86" s="5" t="n"/>
    </row>
    <row r="87">
      <c r="A87" s="5" t="n"/>
      <c r="B87" s="5" t="n"/>
      <c r="C87" s="5" t="n"/>
      <c r="D87" s="5" t="n"/>
      <c r="E87" s="8" t="n"/>
      <c r="F87" s="5" t="n"/>
      <c r="G87" s="5" t="n"/>
      <c r="H87" s="5" t="n"/>
      <c r="I87" s="5" t="n"/>
    </row>
    <row r="88">
      <c r="A88" s="5" t="n"/>
      <c r="B88" s="5" t="n"/>
      <c r="C88" s="5" t="n"/>
      <c r="D88" s="5" t="n"/>
      <c r="E88" s="8" t="n"/>
      <c r="F88" s="5" t="n"/>
      <c r="G88" s="5" t="n"/>
      <c r="H88" s="5" t="n"/>
      <c r="I88" s="5" t="n"/>
    </row>
    <row r="89">
      <c r="A89" s="5" t="n"/>
      <c r="B89" s="5" t="n"/>
      <c r="C89" s="5" t="n"/>
      <c r="D89" s="5" t="n"/>
      <c r="E89" s="8" t="n"/>
      <c r="F89" s="5" t="n"/>
      <c r="G89" s="5" t="n"/>
      <c r="H89" s="5" t="n"/>
      <c r="I89" s="5" t="n"/>
    </row>
    <row r="90">
      <c r="A90" s="5" t="n"/>
      <c r="B90" s="5" t="n"/>
      <c r="C90" s="5" t="n"/>
      <c r="D90" s="5" t="n"/>
      <c r="E90" s="8" t="n"/>
      <c r="F90" s="5" t="n"/>
      <c r="G90" s="5" t="n"/>
      <c r="H90" s="5" t="n"/>
      <c r="I90" s="5" t="n"/>
    </row>
    <row r="91">
      <c r="A91" s="5" t="n"/>
      <c r="B91" s="5" t="n"/>
      <c r="C91" s="5" t="n"/>
      <c r="D91" s="5" t="n"/>
      <c r="E91" s="8" t="n"/>
      <c r="F91" s="5" t="n"/>
      <c r="G91" s="5" t="n"/>
      <c r="H91" s="5" t="n"/>
      <c r="I91" s="5" t="n"/>
    </row>
    <row r="92">
      <c r="A92" s="5" t="n"/>
      <c r="B92" s="5" t="n"/>
      <c r="C92" s="5" t="n"/>
      <c r="D92" s="5" t="n"/>
      <c r="E92" s="8" t="n"/>
      <c r="F92" s="5" t="n"/>
      <c r="G92" s="5" t="n"/>
      <c r="H92" s="5" t="n"/>
      <c r="I92" s="5" t="n"/>
    </row>
    <row r="93">
      <c r="A93" s="5" t="n"/>
      <c r="B93" s="5" t="n"/>
      <c r="C93" s="5" t="n"/>
      <c r="D93" s="5" t="n"/>
      <c r="E93" s="8" t="n"/>
      <c r="F93" s="5" t="n"/>
      <c r="G93" s="5" t="n"/>
      <c r="H93" s="5" t="n"/>
      <c r="I93" s="5" t="n"/>
    </row>
    <row r="94">
      <c r="A94" s="5" t="n"/>
      <c r="B94" s="5" t="n"/>
      <c r="C94" s="5" t="n"/>
      <c r="D94" s="5" t="n"/>
      <c r="E94" s="8" t="n"/>
      <c r="F94" s="5" t="n"/>
      <c r="G94" s="5" t="n"/>
      <c r="H94" s="5" t="n"/>
      <c r="I94" s="5" t="n"/>
    </row>
    <row r="95">
      <c r="A95" s="5" t="n"/>
      <c r="B95" s="5" t="n"/>
      <c r="C95" s="5" t="n"/>
      <c r="D95" s="5" t="n"/>
      <c r="E95" s="8" t="n"/>
      <c r="F95" s="5" t="n"/>
      <c r="G95" s="5" t="n"/>
      <c r="H95" s="5" t="n"/>
      <c r="I95" s="5" t="n"/>
    </row>
    <row r="96">
      <c r="A96" s="5" t="n"/>
      <c r="B96" s="5" t="n"/>
      <c r="C96" s="5" t="n"/>
      <c r="D96" s="5" t="n"/>
      <c r="E96" s="8" t="n"/>
      <c r="F96" s="5" t="n"/>
      <c r="G96" s="5" t="n"/>
      <c r="H96" s="5" t="n"/>
      <c r="I96" s="5" t="n"/>
    </row>
    <row r="97">
      <c r="A97" s="5" t="n"/>
      <c r="B97" s="5" t="n"/>
      <c r="C97" s="5" t="n"/>
      <c r="D97" s="5" t="n"/>
      <c r="E97" s="8" t="n"/>
      <c r="F97" s="5" t="n"/>
      <c r="G97" s="5" t="n"/>
      <c r="H97" s="5" t="n"/>
      <c r="I97" s="5" t="n"/>
    </row>
    <row r="98">
      <c r="A98" s="5" t="n"/>
      <c r="B98" s="5" t="n"/>
      <c r="C98" s="5" t="n"/>
      <c r="D98" s="5" t="n"/>
      <c r="E98" s="8" t="n"/>
      <c r="F98" s="5" t="n"/>
      <c r="G98" s="5" t="n"/>
      <c r="H98" s="5" t="n"/>
      <c r="I98" s="5" t="n"/>
    </row>
    <row r="99">
      <c r="A99" s="5" t="n"/>
      <c r="B99" s="5" t="n"/>
      <c r="C99" s="5" t="n"/>
      <c r="D99" s="5" t="n"/>
      <c r="E99" s="8" t="n"/>
      <c r="F99" s="5" t="n"/>
      <c r="G99" s="5" t="n"/>
      <c r="H99" s="5" t="n"/>
      <c r="I99" s="5" t="n"/>
    </row>
    <row r="100">
      <c r="A100" s="5" t="n"/>
      <c r="B100" s="5" t="n"/>
      <c r="C100" s="5" t="n"/>
      <c r="D100" s="5" t="n"/>
      <c r="E100" s="8" t="n"/>
      <c r="F100" s="5" t="n"/>
      <c r="G100" s="5" t="n"/>
      <c r="H100" s="5" t="n"/>
      <c r="I100" s="5" t="n"/>
    </row>
    <row r="101">
      <c r="A101" s="5" t="n"/>
      <c r="B101" s="5" t="n"/>
      <c r="C101" s="5" t="n"/>
      <c r="D101" s="5" t="n"/>
      <c r="E101" s="8" t="n"/>
      <c r="F101" s="5" t="n"/>
      <c r="G101" s="5" t="n"/>
      <c r="H101" s="5" t="n"/>
      <c r="I101" s="5" t="n"/>
    </row>
    <row r="102">
      <c r="A102" s="5" t="n"/>
      <c r="B102" s="5" t="n"/>
      <c r="C102" s="5" t="n"/>
      <c r="D102" s="5" t="n"/>
      <c r="E102" s="8" t="n"/>
      <c r="F102" s="5" t="n"/>
      <c r="G102" s="5" t="n"/>
      <c r="H102" s="5" t="n"/>
      <c r="I102" s="5" t="n"/>
    </row>
    <row r="103">
      <c r="A103" s="5" t="n"/>
      <c r="B103" s="5" t="n"/>
      <c r="C103" s="5" t="n"/>
      <c r="D103" s="5" t="n"/>
      <c r="E103" s="8" t="n"/>
      <c r="F103" s="5" t="n"/>
      <c r="G103" s="5" t="n"/>
      <c r="H103" s="5" t="n"/>
      <c r="I103" s="5" t="n"/>
    </row>
    <row r="104">
      <c r="A104" s="5" t="n"/>
      <c r="B104" s="5" t="n"/>
      <c r="C104" s="5" t="n"/>
      <c r="D104" s="5" t="n"/>
      <c r="E104" s="8" t="n"/>
      <c r="F104" s="5" t="n"/>
      <c r="G104" s="5" t="n"/>
      <c r="H104" s="5" t="n"/>
      <c r="I104" s="5" t="n"/>
    </row>
    <row r="105">
      <c r="A105" s="5" t="n"/>
      <c r="B105" s="5" t="n"/>
      <c r="C105" s="5" t="n"/>
      <c r="D105" s="5" t="n"/>
      <c r="E105" s="8" t="n"/>
      <c r="F105" s="5" t="n"/>
      <c r="G105" s="5" t="n"/>
      <c r="H105" s="5" t="n"/>
      <c r="I105" s="5" t="n"/>
    </row>
    <row r="106">
      <c r="A106" s="5" t="n"/>
      <c r="B106" s="5" t="n"/>
      <c r="C106" s="5" t="n"/>
      <c r="D106" s="5" t="n"/>
      <c r="E106" s="8" t="n"/>
      <c r="F106" s="5" t="n"/>
      <c r="G106" s="5" t="n"/>
      <c r="H106" s="5" t="n"/>
      <c r="I106" s="5" t="n"/>
    </row>
    <row r="107">
      <c r="A107" s="5" t="n"/>
      <c r="B107" s="5" t="n"/>
      <c r="C107" s="5" t="n"/>
      <c r="D107" s="5" t="n"/>
      <c r="E107" s="8" t="n"/>
      <c r="F107" s="5" t="n"/>
      <c r="G107" s="5" t="n"/>
      <c r="H107" s="5" t="n"/>
      <c r="I107" s="5" t="n"/>
    </row>
    <row r="108">
      <c r="A108" s="5" t="n"/>
      <c r="B108" s="5" t="n"/>
      <c r="C108" s="5" t="n"/>
      <c r="D108" s="5" t="n"/>
      <c r="E108" s="8" t="n"/>
      <c r="F108" s="5" t="n"/>
      <c r="G108" s="5" t="n"/>
      <c r="H108" s="5" t="n"/>
      <c r="I108" s="5" t="n"/>
    </row>
    <row r="109">
      <c r="A109" s="5" t="n"/>
      <c r="B109" s="5" t="n"/>
      <c r="C109" s="5" t="n"/>
      <c r="D109" s="5" t="n"/>
      <c r="E109" s="8" t="n"/>
      <c r="F109" s="5" t="n"/>
      <c r="G109" s="5" t="n"/>
      <c r="H109" s="5" t="n"/>
      <c r="I109" s="5" t="n"/>
    </row>
    <row r="110">
      <c r="A110" s="5" t="n"/>
      <c r="B110" s="5" t="n"/>
      <c r="C110" s="5" t="n"/>
      <c r="D110" s="5" t="n"/>
      <c r="E110" s="8" t="n"/>
      <c r="F110" s="5" t="n"/>
      <c r="G110" s="5" t="n"/>
      <c r="H110" s="5" t="n"/>
      <c r="I110" s="5" t="n"/>
    </row>
    <row r="111">
      <c r="A111" s="5" t="n"/>
      <c r="B111" s="5" t="n"/>
      <c r="C111" s="5" t="n"/>
      <c r="D111" s="5" t="n"/>
      <c r="E111" s="8" t="n"/>
      <c r="F111" s="5" t="n"/>
      <c r="G111" s="5" t="n"/>
      <c r="H111" s="5" t="n"/>
      <c r="I111" s="5" t="n"/>
    </row>
    <row r="112">
      <c r="A112" s="5" t="n"/>
      <c r="B112" s="5" t="n"/>
      <c r="C112" s="5" t="n"/>
      <c r="D112" s="5" t="n"/>
      <c r="E112" s="8" t="n"/>
      <c r="F112" s="5" t="n"/>
      <c r="G112" s="5" t="n"/>
      <c r="H112" s="5" t="n"/>
      <c r="I112" s="5" t="n"/>
    </row>
    <row r="113">
      <c r="A113" s="5" t="n"/>
      <c r="B113" s="5" t="n"/>
      <c r="C113" s="5" t="n"/>
      <c r="D113" s="5" t="n"/>
      <c r="E113" s="8" t="n"/>
      <c r="F113" s="5" t="n"/>
      <c r="G113" s="5" t="n"/>
      <c r="H113" s="5" t="n"/>
      <c r="I113" s="5" t="n"/>
    </row>
    <row r="114">
      <c r="A114" s="5" t="n"/>
      <c r="B114" s="5" t="n"/>
      <c r="C114" s="5" t="n"/>
      <c r="D114" s="5" t="n"/>
      <c r="E114" s="8" t="n"/>
      <c r="F114" s="5" t="n"/>
      <c r="G114" s="5" t="n"/>
      <c r="H114" s="5" t="n"/>
      <c r="I114" s="5" t="n"/>
    </row>
    <row r="115">
      <c r="A115" s="5" t="n"/>
      <c r="B115" s="5" t="n"/>
      <c r="C115" s="5" t="n"/>
      <c r="D115" s="5" t="n"/>
      <c r="E115" s="8" t="n"/>
      <c r="F115" s="5" t="n"/>
      <c r="G115" s="5" t="n"/>
      <c r="H115" s="5" t="n"/>
      <c r="I115" s="5" t="n"/>
    </row>
    <row r="116">
      <c r="A116" s="5" t="n"/>
      <c r="B116" s="5" t="n"/>
      <c r="C116" s="5" t="n"/>
      <c r="D116" s="5" t="n"/>
      <c r="E116" s="8" t="n"/>
      <c r="F116" s="5" t="n"/>
      <c r="G116" s="5" t="n"/>
      <c r="H116" s="5" t="n"/>
      <c r="I116" s="5" t="n"/>
    </row>
    <row r="117">
      <c r="A117" s="5" t="n"/>
      <c r="B117" s="5" t="n"/>
      <c r="C117" s="5" t="n"/>
      <c r="D117" s="5" t="n"/>
      <c r="E117" s="8" t="n"/>
      <c r="F117" s="5" t="n"/>
      <c r="G117" s="5" t="n"/>
      <c r="H117" s="5" t="n"/>
      <c r="I117" s="5" t="n"/>
    </row>
    <row r="118">
      <c r="A118" s="5" t="n"/>
      <c r="B118" s="5" t="n"/>
      <c r="C118" s="5" t="n"/>
      <c r="D118" s="5" t="n"/>
      <c r="E118" s="8" t="n"/>
      <c r="F118" s="5" t="n"/>
      <c r="G118" s="5" t="n"/>
      <c r="H118" s="5" t="n"/>
      <c r="I118" s="5" t="n"/>
    </row>
    <row r="119">
      <c r="A119" s="5" t="n"/>
      <c r="B119" s="5" t="n"/>
      <c r="C119" s="5" t="n"/>
      <c r="D119" s="5" t="n"/>
      <c r="E119" s="8" t="n"/>
      <c r="F119" s="5" t="n"/>
      <c r="G119" s="5" t="n"/>
      <c r="H119" s="5" t="n"/>
      <c r="I119" s="5" t="n"/>
    </row>
    <row r="120">
      <c r="A120" s="5" t="n"/>
      <c r="B120" s="5" t="n"/>
      <c r="C120" s="5" t="n"/>
      <c r="D120" s="5" t="n"/>
      <c r="E120" s="8" t="n"/>
      <c r="F120" s="5" t="n"/>
      <c r="G120" s="5" t="n"/>
      <c r="H120" s="5" t="n"/>
      <c r="I120" s="5" t="n"/>
    </row>
    <row r="121">
      <c r="A121" s="5" t="n"/>
      <c r="B121" s="5" t="n"/>
      <c r="C121" s="5" t="n"/>
      <c r="D121" s="5" t="n"/>
      <c r="E121" s="8" t="n"/>
      <c r="F121" s="5" t="n"/>
      <c r="G121" s="5" t="n"/>
      <c r="H121" s="5" t="n"/>
      <c r="I121" s="5" t="n"/>
    </row>
    <row r="122">
      <c r="A122" s="5" t="n"/>
      <c r="B122" s="5" t="n"/>
      <c r="C122" s="5" t="n"/>
      <c r="D122" s="5" t="n"/>
      <c r="E122" s="8" t="n"/>
      <c r="F122" s="5" t="n"/>
      <c r="G122" s="5" t="n"/>
      <c r="H122" s="5" t="n"/>
      <c r="I122" s="5" t="n"/>
    </row>
    <row r="123">
      <c r="A123" s="5" t="n"/>
      <c r="B123" s="5" t="n"/>
      <c r="C123" s="5" t="n"/>
      <c r="D123" s="5" t="n"/>
      <c r="E123" s="8" t="n"/>
      <c r="F123" s="5" t="n"/>
      <c r="G123" s="5" t="n"/>
      <c r="H123" s="5" t="n"/>
      <c r="I123" s="5" t="n"/>
    </row>
    <row r="124">
      <c r="A124" s="5" t="n"/>
      <c r="B124" s="5" t="n"/>
      <c r="C124" s="5" t="n"/>
      <c r="D124" s="5" t="n"/>
      <c r="E124" s="8" t="n"/>
      <c r="F124" s="5" t="n"/>
      <c r="G124" s="5" t="n"/>
      <c r="H124" s="5" t="n"/>
      <c r="I124" s="5" t="n"/>
    </row>
    <row r="125">
      <c r="A125" s="5" t="n"/>
      <c r="B125" s="5" t="n"/>
      <c r="C125" s="5" t="n"/>
      <c r="D125" s="5" t="n"/>
      <c r="E125" s="8" t="n"/>
      <c r="F125" s="5" t="n"/>
      <c r="G125" s="5" t="n"/>
      <c r="H125" s="5" t="n"/>
      <c r="I125" s="5" t="n"/>
    </row>
    <row r="126">
      <c r="A126" s="5" t="n"/>
      <c r="B126" s="5" t="n"/>
      <c r="C126" s="5" t="n"/>
      <c r="D126" s="5" t="n"/>
      <c r="E126" s="8" t="n"/>
      <c r="F126" s="5" t="n"/>
      <c r="G126" s="5" t="n"/>
      <c r="H126" s="5" t="n"/>
      <c r="I126" s="5" t="n"/>
    </row>
    <row r="127">
      <c r="A127" s="5" t="n"/>
      <c r="B127" s="5" t="n"/>
      <c r="C127" s="5" t="n"/>
      <c r="D127" s="5" t="n"/>
      <c r="E127" s="8" t="n"/>
      <c r="F127" s="5" t="n"/>
      <c r="G127" s="5" t="n"/>
      <c r="H127" s="5" t="n"/>
      <c r="I127" s="5" t="n"/>
    </row>
    <row r="128">
      <c r="A128" s="5" t="n"/>
      <c r="B128" s="5" t="n"/>
      <c r="C128" s="5" t="n"/>
      <c r="D128" s="5" t="n"/>
      <c r="E128" s="8" t="n"/>
      <c r="F128" s="5" t="n"/>
      <c r="G128" s="5" t="n"/>
      <c r="H128" s="5" t="n"/>
      <c r="I128" s="5" t="n"/>
    </row>
    <row r="129">
      <c r="A129" s="5" t="n"/>
      <c r="B129" s="5" t="n"/>
      <c r="C129" s="5" t="n"/>
      <c r="D129" s="5" t="n"/>
      <c r="E129" s="8" t="n"/>
      <c r="F129" s="5" t="n"/>
      <c r="G129" s="5" t="n"/>
      <c r="H129" s="5" t="n"/>
      <c r="I129" s="5" t="n"/>
    </row>
    <row r="130">
      <c r="A130" s="5" t="n"/>
      <c r="B130" s="5" t="n"/>
      <c r="C130" s="5" t="n"/>
      <c r="D130" s="5" t="n"/>
      <c r="E130" s="8" t="n"/>
      <c r="F130" s="5" t="n"/>
      <c r="G130" s="5" t="n"/>
      <c r="H130" s="5" t="n"/>
      <c r="I130" s="5" t="n"/>
    </row>
    <row r="131">
      <c r="A131" s="5" t="n"/>
      <c r="B131" s="5" t="n"/>
      <c r="C131" s="5" t="n"/>
      <c r="D131" s="5" t="n"/>
      <c r="E131" s="8" t="n"/>
      <c r="F131" s="5" t="n"/>
      <c r="G131" s="5" t="n"/>
      <c r="H131" s="5" t="n"/>
      <c r="I131" s="5" t="n"/>
    </row>
    <row r="132">
      <c r="A132" s="5" t="n"/>
      <c r="B132" s="5" t="n"/>
      <c r="C132" s="5" t="n"/>
      <c r="D132" s="5" t="n"/>
      <c r="E132" s="8" t="n"/>
      <c r="F132" s="5" t="n"/>
      <c r="G132" s="5" t="n"/>
      <c r="H132" s="5" t="n"/>
      <c r="I132" s="5" t="n"/>
    </row>
    <row r="133">
      <c r="A133" s="5" t="n"/>
      <c r="B133" s="5" t="n"/>
      <c r="C133" s="5" t="n"/>
      <c r="D133" s="5" t="n"/>
      <c r="E133" s="8" t="n"/>
      <c r="F133" s="5" t="n"/>
      <c r="G133" s="5" t="n"/>
      <c r="H133" s="5" t="n"/>
      <c r="I133" s="5" t="n"/>
    </row>
    <row r="134">
      <c r="A134" s="5" t="n"/>
      <c r="B134" s="5" t="n"/>
      <c r="C134" s="5" t="n"/>
      <c r="D134" s="5" t="n"/>
      <c r="E134" s="8" t="n"/>
      <c r="F134" s="5" t="n"/>
      <c r="G134" s="5" t="n"/>
      <c r="H134" s="5" t="n"/>
      <c r="I134" s="5" t="n"/>
    </row>
    <row r="135">
      <c r="A135" s="5" t="n"/>
      <c r="B135" s="5" t="n"/>
      <c r="C135" s="5" t="n"/>
      <c r="D135" s="5" t="n"/>
      <c r="E135" s="8" t="n"/>
      <c r="F135" s="5" t="n"/>
      <c r="G135" s="5" t="n"/>
      <c r="H135" s="5" t="n"/>
      <c r="I135" s="5" t="n"/>
    </row>
    <row r="136">
      <c r="A136" s="5" t="n"/>
      <c r="B136" s="5" t="n"/>
      <c r="C136" s="5" t="n"/>
      <c r="D136" s="5" t="n"/>
      <c r="E136" s="8" t="n"/>
      <c r="F136" s="5" t="n"/>
      <c r="G136" s="5" t="n"/>
      <c r="H136" s="5" t="n"/>
      <c r="I136" s="5" t="n"/>
    </row>
    <row r="137">
      <c r="A137" s="5" t="n"/>
      <c r="B137" s="5" t="n"/>
      <c r="C137" s="5" t="n"/>
      <c r="D137" s="5" t="n"/>
      <c r="E137" s="8" t="n"/>
      <c r="F137" s="5" t="n"/>
      <c r="G137" s="5" t="n"/>
      <c r="H137" s="5" t="n"/>
      <c r="I137" s="5" t="n"/>
    </row>
    <row r="138">
      <c r="A138" s="5" t="n"/>
      <c r="B138" s="5" t="n"/>
      <c r="C138" s="5" t="n"/>
      <c r="D138" s="5" t="n"/>
      <c r="E138" s="8" t="n"/>
      <c r="F138" s="5" t="n"/>
      <c r="G138" s="5" t="n"/>
      <c r="H138" s="5" t="n"/>
      <c r="I138" s="5" t="n"/>
    </row>
    <row r="139">
      <c r="A139" s="5" t="n"/>
      <c r="B139" s="5" t="n"/>
      <c r="C139" s="5" t="n"/>
      <c r="D139" s="5" t="n"/>
      <c r="E139" s="8" t="n"/>
      <c r="F139" s="5" t="n"/>
      <c r="G139" s="5" t="n"/>
      <c r="H139" s="5" t="n"/>
      <c r="I139" s="5" t="n"/>
    </row>
    <row r="140">
      <c r="A140" s="5" t="n"/>
      <c r="B140" s="5" t="n"/>
      <c r="C140" s="5" t="n"/>
      <c r="D140" s="5" t="n"/>
      <c r="E140" s="8" t="n"/>
      <c r="F140" s="5" t="n"/>
      <c r="G140" s="5" t="n"/>
      <c r="H140" s="5" t="n"/>
      <c r="I140" s="5" t="n"/>
    </row>
    <row r="141">
      <c r="A141" s="5" t="n"/>
      <c r="B141" s="5" t="n"/>
      <c r="C141" s="5" t="n"/>
      <c r="D141" s="5" t="n"/>
      <c r="E141" s="8" t="n"/>
      <c r="F141" s="5" t="n"/>
      <c r="G141" s="5" t="n"/>
      <c r="H141" s="5" t="n"/>
      <c r="I141" s="5" t="n"/>
    </row>
    <row r="142">
      <c r="A142" s="5" t="n"/>
      <c r="B142" s="5" t="n"/>
      <c r="C142" s="5" t="n"/>
      <c r="D142" s="5" t="n"/>
      <c r="E142" s="8" t="n"/>
      <c r="F142" s="5" t="n"/>
      <c r="G142" s="5" t="n"/>
      <c r="H142" s="5" t="n"/>
      <c r="I142" s="5" t="n"/>
    </row>
    <row r="143">
      <c r="A143" s="5" t="n"/>
      <c r="B143" s="5" t="n"/>
      <c r="C143" s="5" t="n"/>
      <c r="D143" s="5" t="n"/>
      <c r="E143" s="8" t="n"/>
      <c r="F143" s="5" t="n"/>
      <c r="G143" s="5" t="n"/>
      <c r="H143" s="5" t="n"/>
      <c r="I143" s="5" t="n"/>
    </row>
    <row r="144">
      <c r="A144" s="5" t="n"/>
      <c r="B144" s="5" t="n"/>
      <c r="C144" s="5" t="n"/>
      <c r="D144" s="5" t="n"/>
      <c r="E144" s="8" t="n"/>
      <c r="F144" s="5" t="n"/>
      <c r="G144" s="5" t="n"/>
      <c r="H144" s="5" t="n"/>
      <c r="I144" s="5" t="n"/>
    </row>
    <row r="145">
      <c r="A145" s="5" t="n"/>
      <c r="B145" s="5" t="n"/>
      <c r="C145" s="5" t="n"/>
      <c r="D145" s="5" t="n"/>
      <c r="E145" s="8" t="n"/>
      <c r="F145" s="5" t="n"/>
      <c r="G145" s="5" t="n"/>
      <c r="H145" s="5" t="n"/>
      <c r="I145" s="5" t="n"/>
    </row>
    <row r="146">
      <c r="A146" s="5" t="n"/>
      <c r="B146" s="5" t="n"/>
      <c r="C146" s="5" t="n"/>
      <c r="D146" s="5" t="n"/>
      <c r="E146" s="8" t="n"/>
      <c r="F146" s="5" t="n"/>
      <c r="G146" s="5" t="n"/>
      <c r="H146" s="5" t="n"/>
      <c r="I146" s="5" t="n"/>
    </row>
    <row r="147">
      <c r="A147" s="5" t="n"/>
      <c r="B147" s="5" t="n"/>
      <c r="C147" s="5" t="n"/>
      <c r="D147" s="5" t="n"/>
      <c r="E147" s="8" t="n"/>
      <c r="F147" s="5" t="n"/>
      <c r="G147" s="5" t="n"/>
      <c r="H147" s="5" t="n"/>
      <c r="I147" s="5" t="n"/>
    </row>
    <row r="148">
      <c r="A148" s="5" t="n"/>
      <c r="B148" s="5" t="n"/>
      <c r="C148" s="5" t="n"/>
      <c r="D148" s="5" t="n"/>
      <c r="E148" s="8" t="n"/>
      <c r="F148" s="5" t="n"/>
      <c r="G148" s="5" t="n"/>
      <c r="H148" s="5" t="n"/>
      <c r="I148" s="5" t="n"/>
    </row>
    <row r="149">
      <c r="A149" s="5" t="n"/>
      <c r="B149" s="5" t="n"/>
      <c r="C149" s="5" t="n"/>
      <c r="D149" s="5" t="n"/>
      <c r="E149" s="8" t="n"/>
      <c r="F149" s="5" t="n"/>
      <c r="G149" s="5" t="n"/>
      <c r="H149" s="5" t="n"/>
      <c r="I149" s="5" t="n"/>
    </row>
    <row r="150">
      <c r="A150" s="5" t="n"/>
      <c r="B150" s="5" t="n"/>
      <c r="C150" s="5" t="n"/>
      <c r="D150" s="5" t="n"/>
      <c r="E150" s="8" t="n"/>
      <c r="F150" s="5" t="n"/>
      <c r="G150" s="5" t="n"/>
      <c r="H150" s="5" t="n"/>
      <c r="I150" s="5" t="n"/>
    </row>
    <row r="151">
      <c r="A151" s="5" t="n"/>
      <c r="B151" s="5" t="n"/>
      <c r="C151" s="5" t="n"/>
      <c r="D151" s="5" t="n"/>
      <c r="E151" s="8" t="n"/>
      <c r="F151" s="5" t="n"/>
      <c r="G151" s="5" t="n"/>
      <c r="H151" s="5" t="n"/>
      <c r="I151" s="5" t="n"/>
    </row>
    <row r="152">
      <c r="A152" s="5" t="n"/>
      <c r="B152" s="5" t="n"/>
      <c r="C152" s="5" t="n"/>
      <c r="D152" s="5" t="n"/>
      <c r="E152" s="8" t="n"/>
      <c r="F152" s="5" t="n"/>
      <c r="G152" s="5" t="n"/>
      <c r="H152" s="5" t="n"/>
      <c r="I152" s="5" t="n"/>
    </row>
    <row r="153">
      <c r="A153" s="5" t="n"/>
      <c r="B153" s="5" t="n"/>
      <c r="C153" s="5" t="n"/>
      <c r="D153" s="5" t="n"/>
      <c r="E153" s="8" t="n"/>
      <c r="F153" s="5" t="n"/>
      <c r="G153" s="5" t="n"/>
      <c r="H153" s="5" t="n"/>
      <c r="I153" s="5" t="n"/>
    </row>
    <row r="154">
      <c r="A154" s="5" t="n"/>
      <c r="B154" s="5" t="n"/>
      <c r="C154" s="5" t="n"/>
      <c r="D154" s="5" t="n"/>
      <c r="E154" s="8" t="n"/>
      <c r="F154" s="5" t="n"/>
      <c r="G154" s="5" t="n"/>
      <c r="H154" s="5" t="n"/>
      <c r="I154" s="5" t="n"/>
    </row>
    <row r="155">
      <c r="A155" s="5" t="n"/>
      <c r="B155" s="5" t="n"/>
      <c r="C155" s="5" t="n"/>
      <c r="D155" s="5" t="n"/>
      <c r="E155" s="8" t="n"/>
      <c r="F155" s="5" t="n"/>
      <c r="G155" s="5" t="n"/>
      <c r="H155" s="5" t="n"/>
      <c r="I155" s="5" t="n"/>
    </row>
    <row r="156">
      <c r="A156" s="5" t="n"/>
      <c r="B156" s="5" t="n"/>
      <c r="C156" s="5" t="n"/>
      <c r="D156" s="5" t="n"/>
      <c r="E156" s="8" t="n"/>
      <c r="F156" s="5" t="n"/>
      <c r="G156" s="5" t="n"/>
      <c r="H156" s="5" t="n"/>
      <c r="I156" s="5" t="n"/>
    </row>
    <row r="157">
      <c r="A157" s="5" t="n"/>
      <c r="B157" s="5" t="n"/>
      <c r="C157" s="5" t="n"/>
      <c r="D157" s="5" t="n"/>
      <c r="E157" s="8" t="n"/>
      <c r="F157" s="5" t="n"/>
      <c r="G157" s="5" t="n"/>
      <c r="H157" s="5" t="n"/>
      <c r="I157" s="5" t="n"/>
    </row>
    <row r="158">
      <c r="A158" s="5" t="n"/>
      <c r="B158" s="5" t="n"/>
      <c r="C158" s="5" t="n"/>
      <c r="D158" s="5" t="n"/>
      <c r="E158" s="8" t="n"/>
      <c r="F158" s="5" t="n"/>
      <c r="G158" s="5" t="n"/>
      <c r="H158" s="5" t="n"/>
      <c r="I158" s="5" t="n"/>
    </row>
    <row r="159">
      <c r="A159" s="5" t="n"/>
      <c r="B159" s="5" t="n"/>
      <c r="C159" s="5" t="n"/>
      <c r="D159" s="5" t="n"/>
      <c r="E159" s="8" t="n"/>
      <c r="F159" s="5" t="n"/>
      <c r="G159" s="5" t="n"/>
      <c r="H159" s="5" t="n"/>
      <c r="I159" s="5" t="n"/>
    </row>
    <row r="160">
      <c r="A160" s="5" t="n"/>
      <c r="B160" s="5" t="n"/>
      <c r="C160" s="5" t="n"/>
      <c r="D160" s="5" t="n"/>
      <c r="E160" s="8" t="n"/>
      <c r="F160" s="5" t="n"/>
      <c r="G160" s="5" t="n"/>
      <c r="H160" s="5" t="n"/>
      <c r="I160" s="5" t="n"/>
    </row>
    <row r="161">
      <c r="A161" s="5" t="n"/>
      <c r="B161" s="5" t="n"/>
      <c r="C161" s="5" t="n"/>
      <c r="D161" s="5" t="n"/>
      <c r="E161" s="8" t="n"/>
      <c r="F161" s="5" t="n"/>
      <c r="G161" s="5" t="n"/>
      <c r="H161" s="5" t="n"/>
      <c r="I161" s="5" t="n"/>
    </row>
    <row r="162">
      <c r="A162" s="5" t="n"/>
      <c r="B162" s="5" t="n"/>
      <c r="C162" s="5" t="n"/>
      <c r="D162" s="5" t="n"/>
      <c r="E162" s="8" t="n"/>
      <c r="F162" s="5" t="n"/>
      <c r="G162" s="5" t="n"/>
      <c r="H162" s="5" t="n"/>
      <c r="I162" s="5" t="n"/>
    </row>
    <row r="163">
      <c r="A163" s="5" t="n"/>
      <c r="B163" s="5" t="n"/>
      <c r="C163" s="5" t="n"/>
      <c r="D163" s="5" t="n"/>
      <c r="E163" s="8" t="n"/>
      <c r="F163" s="5" t="n"/>
      <c r="G163" s="5" t="n"/>
      <c r="H163" s="5" t="n"/>
      <c r="I163" s="5" t="n"/>
    </row>
    <row r="164">
      <c r="A164" s="5" t="n"/>
      <c r="B164" s="5" t="n"/>
      <c r="C164" s="5" t="n"/>
      <c r="D164" s="5" t="n"/>
      <c r="E164" s="8" t="n"/>
      <c r="F164" s="5" t="n"/>
      <c r="G164" s="5" t="n"/>
      <c r="H164" s="5" t="n"/>
      <c r="I164" s="5" t="n"/>
    </row>
    <row r="165">
      <c r="A165" s="5" t="n"/>
      <c r="B165" s="5" t="n"/>
      <c r="C165" s="5" t="n"/>
      <c r="D165" s="5" t="n"/>
      <c r="E165" s="8" t="n"/>
      <c r="F165" s="5" t="n"/>
      <c r="G165" s="5" t="n"/>
      <c r="H165" s="5" t="n"/>
      <c r="I165" s="5" t="n"/>
    </row>
    <row r="166">
      <c r="A166" s="5" t="n"/>
      <c r="B166" s="5" t="n"/>
      <c r="C166" s="5" t="n"/>
      <c r="D166" s="5" t="n"/>
      <c r="E166" s="8" t="n"/>
      <c r="F166" s="5" t="n"/>
      <c r="G166" s="5" t="n"/>
      <c r="H166" s="5" t="n"/>
      <c r="I166" s="5" t="n"/>
    </row>
    <row r="167">
      <c r="A167" s="5" t="n"/>
      <c r="B167" s="5" t="n"/>
      <c r="C167" s="5" t="n"/>
      <c r="D167" s="5" t="n"/>
      <c r="E167" s="8" t="n"/>
      <c r="F167" s="5" t="n"/>
      <c r="G167" s="5" t="n"/>
      <c r="H167" s="5" t="n"/>
      <c r="I167" s="5" t="n"/>
    </row>
    <row r="168">
      <c r="A168" s="5" t="n"/>
      <c r="B168" s="5" t="n"/>
      <c r="C168" s="5" t="n"/>
      <c r="D168" s="5" t="n"/>
      <c r="E168" s="8" t="n"/>
      <c r="F168" s="5" t="n"/>
      <c r="G168" s="5" t="n"/>
      <c r="H168" s="5" t="n"/>
      <c r="I168" s="5" t="n"/>
    </row>
    <row r="169">
      <c r="A169" s="5" t="n"/>
      <c r="B169" s="5" t="n"/>
      <c r="C169" s="5" t="n"/>
      <c r="D169" s="5" t="n"/>
      <c r="E169" s="8" t="n"/>
      <c r="F169" s="5" t="n"/>
      <c r="G169" s="5" t="n"/>
      <c r="H169" s="5" t="n"/>
      <c r="I169" s="5" t="n"/>
    </row>
    <row r="170">
      <c r="A170" s="5" t="n"/>
      <c r="B170" s="5" t="n"/>
      <c r="C170" s="5" t="n"/>
      <c r="D170" s="5" t="n"/>
      <c r="E170" s="8" t="n"/>
      <c r="F170" s="5" t="n"/>
      <c r="G170" s="5" t="n"/>
      <c r="H170" s="5" t="n"/>
      <c r="I170" s="5" t="n"/>
    </row>
    <row r="171">
      <c r="A171" s="5" t="n"/>
      <c r="B171" s="5" t="n"/>
      <c r="C171" s="5" t="n"/>
      <c r="D171" s="5" t="n"/>
      <c r="E171" s="8" t="n"/>
      <c r="F171" s="5" t="n"/>
      <c r="G171" s="5" t="n"/>
      <c r="H171" s="5" t="n"/>
      <c r="I171" s="5" t="n"/>
    </row>
    <row r="172">
      <c r="A172" s="5" t="n"/>
      <c r="B172" s="5" t="n"/>
      <c r="C172" s="5" t="n"/>
      <c r="D172" s="5" t="n"/>
      <c r="E172" s="8" t="n"/>
      <c r="F172" s="5" t="n"/>
      <c r="G172" s="5" t="n"/>
      <c r="H172" s="5" t="n"/>
      <c r="I172" s="5" t="n"/>
    </row>
    <row r="173">
      <c r="A173" s="5" t="n"/>
      <c r="B173" s="5" t="n"/>
      <c r="C173" s="5" t="n"/>
      <c r="D173" s="5" t="n"/>
      <c r="E173" s="8" t="n"/>
      <c r="F173" s="5" t="n"/>
      <c r="G173" s="5" t="n"/>
      <c r="H173" s="5" t="n"/>
      <c r="I173" s="5" t="n"/>
    </row>
    <row r="174">
      <c r="A174" s="5" t="n"/>
      <c r="B174" s="5" t="n"/>
      <c r="C174" s="5" t="n"/>
      <c r="D174" s="5" t="n"/>
      <c r="E174" s="8" t="n"/>
      <c r="F174" s="5" t="n"/>
      <c r="G174" s="5" t="n"/>
      <c r="H174" s="5" t="n"/>
      <c r="I174" s="5" t="n"/>
    </row>
    <row r="175">
      <c r="A175" s="5" t="n"/>
      <c r="B175" s="5" t="n"/>
      <c r="C175" s="5" t="n"/>
      <c r="D175" s="5" t="n"/>
      <c r="E175" s="8" t="n"/>
      <c r="F175" s="5" t="n"/>
      <c r="G175" s="5" t="n"/>
      <c r="H175" s="5" t="n"/>
      <c r="I175" s="5" t="n"/>
    </row>
    <row r="176">
      <c r="A176" s="5" t="n"/>
      <c r="B176" s="5" t="n"/>
      <c r="C176" s="5" t="n"/>
      <c r="D176" s="5" t="n"/>
      <c r="E176" s="8" t="n"/>
      <c r="F176" s="5" t="n"/>
      <c r="G176" s="5" t="n"/>
      <c r="H176" s="5" t="n"/>
      <c r="I176" s="5" t="n"/>
    </row>
    <row r="177">
      <c r="A177" s="5" t="n"/>
      <c r="B177" s="5" t="n"/>
      <c r="C177" s="5" t="n"/>
      <c r="D177" s="5" t="n"/>
      <c r="E177" s="8" t="n"/>
      <c r="F177" s="5" t="n"/>
      <c r="G177" s="5" t="n"/>
      <c r="H177" s="5" t="n"/>
      <c r="I177" s="5" t="n"/>
    </row>
    <row r="178">
      <c r="A178" s="5" t="n"/>
      <c r="B178" s="5" t="n"/>
      <c r="C178" s="5" t="n"/>
      <c r="D178" s="5" t="n"/>
      <c r="E178" s="8" t="n"/>
      <c r="F178" s="5" t="n"/>
      <c r="G178" s="5" t="n"/>
      <c r="H178" s="5" t="n"/>
      <c r="I178" s="5" t="n"/>
    </row>
    <row r="179">
      <c r="A179" s="5" t="n"/>
      <c r="B179" s="5" t="n"/>
      <c r="C179" s="5" t="n"/>
      <c r="D179" s="5" t="n"/>
      <c r="E179" s="8" t="n"/>
      <c r="F179" s="5" t="n"/>
      <c r="G179" s="5" t="n"/>
      <c r="H179" s="5" t="n"/>
      <c r="I179" s="5" t="n"/>
    </row>
    <row r="180">
      <c r="A180" s="5" t="n"/>
      <c r="B180" s="5" t="n"/>
      <c r="C180" s="5" t="n"/>
      <c r="D180" s="5" t="n"/>
      <c r="E180" s="8" t="n"/>
      <c r="F180" s="5" t="n"/>
      <c r="G180" s="5" t="n"/>
      <c r="H180" s="5" t="n"/>
      <c r="I180" s="5" t="n"/>
    </row>
    <row r="181">
      <c r="A181" s="5" t="n"/>
      <c r="B181" s="5" t="n"/>
      <c r="C181" s="5" t="n"/>
      <c r="D181" s="5" t="n"/>
      <c r="E181" s="8" t="n"/>
      <c r="F181" s="5" t="n"/>
      <c r="G181" s="5" t="n"/>
      <c r="H181" s="5" t="n"/>
      <c r="I181" s="5" t="n"/>
    </row>
    <row r="182">
      <c r="A182" s="5" t="n"/>
      <c r="B182" s="5" t="n"/>
      <c r="C182" s="5" t="n"/>
      <c r="D182" s="5" t="n"/>
      <c r="E182" s="8" t="n"/>
      <c r="F182" s="5" t="n"/>
      <c r="G182" s="5" t="n"/>
      <c r="H182" s="5" t="n"/>
      <c r="I182" s="5" t="n"/>
    </row>
    <row r="183">
      <c r="A183" s="5" t="n"/>
      <c r="B183" s="5" t="n"/>
      <c r="C183" s="5" t="n"/>
      <c r="D183" s="5" t="n"/>
      <c r="E183" s="8" t="n"/>
      <c r="F183" s="5" t="n"/>
      <c r="G183" s="5" t="n"/>
      <c r="H183" s="5" t="n"/>
      <c r="I183" s="5" t="n"/>
    </row>
    <row r="184">
      <c r="A184" s="5" t="n"/>
      <c r="B184" s="5" t="n"/>
      <c r="C184" s="5" t="n"/>
      <c r="D184" s="5" t="n"/>
      <c r="E184" s="8" t="n"/>
      <c r="F184" s="5" t="n"/>
      <c r="G184" s="5" t="n"/>
      <c r="H184" s="5" t="n"/>
      <c r="I184" s="5" t="n"/>
    </row>
    <row r="185">
      <c r="A185" s="5" t="n"/>
      <c r="B185" s="5" t="n"/>
      <c r="C185" s="5" t="n"/>
      <c r="D185" s="5" t="n"/>
      <c r="E185" s="8" t="n"/>
      <c r="F185" s="5" t="n"/>
      <c r="G185" s="5" t="n"/>
      <c r="H185" s="5" t="n"/>
      <c r="I185" s="5" t="n"/>
    </row>
    <row r="186">
      <c r="A186" s="5" t="n"/>
      <c r="B186" s="5" t="n"/>
      <c r="C186" s="5" t="n"/>
      <c r="D186" s="5" t="n"/>
      <c r="E186" s="8" t="n"/>
      <c r="F186" s="5" t="n"/>
      <c r="G186" s="5" t="n"/>
      <c r="H186" s="5" t="n"/>
      <c r="I186" s="5" t="n"/>
    </row>
    <row r="187">
      <c r="A187" s="5" t="n"/>
      <c r="B187" s="5" t="n"/>
      <c r="C187" s="5" t="n"/>
      <c r="D187" s="5" t="n"/>
      <c r="E187" s="8" t="n"/>
      <c r="F187" s="5" t="n"/>
      <c r="G187" s="5" t="n"/>
      <c r="H187" s="5" t="n"/>
      <c r="I187" s="5" t="n"/>
    </row>
    <row r="188">
      <c r="A188" s="5" t="n"/>
      <c r="B188" s="5" t="n"/>
      <c r="C188" s="5" t="n"/>
      <c r="D188" s="5" t="n"/>
      <c r="E188" s="8" t="n"/>
      <c r="F188" s="5" t="n"/>
      <c r="G188" s="5" t="n"/>
      <c r="H188" s="5" t="n"/>
      <c r="I188" s="5" t="n"/>
    </row>
    <row r="189">
      <c r="A189" s="5" t="n"/>
      <c r="B189" s="5" t="n"/>
      <c r="C189" s="5" t="n"/>
      <c r="D189" s="5" t="n"/>
      <c r="E189" s="8" t="n"/>
      <c r="F189" s="5" t="n"/>
      <c r="G189" s="5" t="n"/>
      <c r="H189" s="5" t="n"/>
      <c r="I189" s="5" t="n"/>
    </row>
    <row r="190">
      <c r="A190" s="5" t="n"/>
      <c r="B190" s="5" t="n"/>
      <c r="C190" s="5" t="n"/>
      <c r="D190" s="5" t="n"/>
      <c r="E190" s="8" t="n"/>
      <c r="F190" s="5" t="n"/>
      <c r="G190" s="5" t="n"/>
      <c r="H190" s="5" t="n"/>
      <c r="I190" s="5" t="n"/>
    </row>
    <row r="191">
      <c r="A191" s="5" t="n"/>
      <c r="B191" s="5" t="n"/>
      <c r="C191" s="5" t="n"/>
      <c r="D191" s="5" t="n"/>
      <c r="E191" s="8" t="n"/>
      <c r="F191" s="5" t="n"/>
      <c r="G191" s="5" t="n"/>
      <c r="H191" s="5" t="n"/>
      <c r="I191" s="5" t="n"/>
    </row>
    <row r="192">
      <c r="A192" s="5" t="n"/>
      <c r="B192" s="5" t="n"/>
      <c r="C192" s="5" t="n"/>
      <c r="D192" s="5" t="n"/>
      <c r="E192" s="8" t="n"/>
      <c r="F192" s="5" t="n"/>
      <c r="G192" s="5" t="n"/>
      <c r="H192" s="5" t="n"/>
      <c r="I192" s="5" t="n"/>
    </row>
    <row r="193">
      <c r="A193" s="5" t="n"/>
      <c r="B193" s="5" t="n"/>
      <c r="C193" s="5" t="n"/>
      <c r="D193" s="5" t="n"/>
      <c r="E193" s="8" t="n"/>
      <c r="F193" s="5" t="n"/>
      <c r="G193" s="5" t="n"/>
      <c r="H193" s="5" t="n"/>
      <c r="I193" s="5" t="n"/>
    </row>
    <row r="194">
      <c r="A194" s="5" t="n"/>
      <c r="B194" s="5" t="n"/>
      <c r="C194" s="5" t="n"/>
      <c r="D194" s="5" t="n"/>
      <c r="E194" s="8" t="n"/>
      <c r="F194" s="5" t="n"/>
      <c r="G194" s="5" t="n"/>
      <c r="H194" s="5" t="n"/>
      <c r="I194" s="5" t="n"/>
    </row>
    <row r="195">
      <c r="A195" s="5" t="n"/>
      <c r="B195" s="5" t="n"/>
      <c r="C195" s="5" t="n"/>
      <c r="D195" s="5" t="n"/>
      <c r="E195" s="8" t="n"/>
      <c r="F195" s="5" t="n"/>
      <c r="G195" s="5" t="n"/>
      <c r="H195" s="5" t="n"/>
      <c r="I195" s="5" t="n"/>
    </row>
    <row r="196">
      <c r="A196" s="5" t="n"/>
      <c r="B196" s="5" t="n"/>
      <c r="C196" s="5" t="n"/>
      <c r="D196" s="5" t="n"/>
      <c r="E196" s="8" t="n"/>
      <c r="F196" s="5" t="n"/>
      <c r="G196" s="5" t="n"/>
      <c r="H196" s="5" t="n"/>
      <c r="I196" s="5" t="n"/>
    </row>
    <row r="197">
      <c r="A197" s="5" t="n"/>
      <c r="B197" s="5" t="n"/>
      <c r="C197" s="5" t="n"/>
      <c r="D197" s="5" t="n"/>
      <c r="E197" s="8" t="n"/>
      <c r="F197" s="5" t="n"/>
      <c r="G197" s="5" t="n"/>
      <c r="H197" s="5" t="n"/>
      <c r="I197" s="5" t="n"/>
    </row>
    <row r="198">
      <c r="A198" s="5" t="n"/>
      <c r="B198" s="5" t="n"/>
      <c r="C198" s="5" t="n"/>
      <c r="D198" s="5" t="n"/>
      <c r="E198" s="8" t="n"/>
      <c r="F198" s="5" t="n"/>
      <c r="G198" s="5" t="n"/>
      <c r="H198" s="5" t="n"/>
      <c r="I198" s="5" t="n"/>
    </row>
    <row r="199">
      <c r="A199" s="5" t="n"/>
      <c r="B199" s="5" t="n"/>
      <c r="C199" s="5" t="n"/>
      <c r="D199" s="5" t="n"/>
      <c r="E199" s="8" t="n"/>
      <c r="F199" s="5" t="n"/>
      <c r="G199" s="5" t="n"/>
      <c r="H199" s="5" t="n"/>
      <c r="I199" s="5" t="n"/>
    </row>
    <row r="200">
      <c r="A200" s="5" t="n"/>
      <c r="B200" s="5" t="n"/>
      <c r="C200" s="5" t="n"/>
      <c r="D200" s="5" t="n"/>
      <c r="E200" s="8" t="n"/>
      <c r="F200" s="5" t="n"/>
      <c r="G200" s="5" t="n"/>
      <c r="H200" s="5" t="n"/>
      <c r="I200" s="5" t="n"/>
    </row>
    <row r="201">
      <c r="A201" s="5" t="n"/>
      <c r="B201" s="5" t="n"/>
      <c r="C201" s="5" t="n"/>
      <c r="D201" s="5" t="n"/>
      <c r="E201" s="8" t="n"/>
      <c r="F201" s="5" t="n"/>
      <c r="G201" s="5" t="n"/>
      <c r="H201" s="5" t="n"/>
      <c r="I201" s="5" t="n"/>
    </row>
    <row r="202">
      <c r="A202" s="5" t="n"/>
      <c r="B202" s="5" t="n"/>
      <c r="C202" s="5" t="n"/>
      <c r="D202" s="5" t="n"/>
      <c r="E202" s="8" t="n"/>
      <c r="F202" s="5" t="n"/>
      <c r="G202" s="5" t="n"/>
      <c r="H202" s="5" t="n"/>
      <c r="I202" s="5" t="n"/>
    </row>
    <row r="203">
      <c r="A203" s="5" t="n"/>
      <c r="B203" s="5" t="n"/>
      <c r="C203" s="5" t="n"/>
      <c r="D203" s="5" t="n"/>
      <c r="E203" s="8" t="n"/>
      <c r="F203" s="5" t="n"/>
      <c r="G203" s="5" t="n"/>
      <c r="H203" s="5" t="n"/>
      <c r="I203" s="5" t="n"/>
    </row>
    <row r="204">
      <c r="A204" s="5" t="n"/>
      <c r="B204" s="5" t="n"/>
      <c r="C204" s="5" t="n"/>
      <c r="D204" s="5" t="n"/>
      <c r="E204" s="8" t="n"/>
      <c r="F204" s="5" t="n"/>
      <c r="G204" s="5" t="n"/>
      <c r="H204" s="5" t="n"/>
      <c r="I204" s="5" t="n"/>
    </row>
    <row r="205">
      <c r="A205" s="5" t="n"/>
      <c r="B205" s="5" t="n"/>
      <c r="C205" s="5" t="n"/>
      <c r="D205" s="5" t="n"/>
      <c r="E205" s="8" t="n"/>
      <c r="F205" s="5" t="n"/>
      <c r="G205" s="5" t="n"/>
      <c r="H205" s="5" t="n"/>
      <c r="I205" s="5" t="n"/>
    </row>
    <row r="206">
      <c r="A206" s="5" t="n"/>
      <c r="B206" s="5" t="n"/>
      <c r="C206" s="5" t="n"/>
      <c r="D206" s="5" t="n"/>
      <c r="E206" s="8" t="n"/>
      <c r="F206" s="5" t="n"/>
      <c r="G206" s="5" t="n"/>
      <c r="H206" s="5" t="n"/>
      <c r="I206" s="5" t="n"/>
    </row>
    <row r="207">
      <c r="A207" s="5" t="n"/>
      <c r="B207" s="5" t="n"/>
      <c r="C207" s="5" t="n"/>
      <c r="D207" s="5" t="n"/>
      <c r="E207" s="8" t="n"/>
      <c r="F207" s="5" t="n"/>
      <c r="G207" s="5" t="n"/>
      <c r="H207" s="5" t="n"/>
      <c r="I207" s="5" t="n"/>
    </row>
    <row r="208">
      <c r="A208" s="5" t="n"/>
      <c r="B208" s="5" t="n"/>
      <c r="C208" s="5" t="n"/>
      <c r="D208" s="5" t="n"/>
      <c r="E208" s="8" t="n"/>
      <c r="F208" s="5" t="n"/>
      <c r="G208" s="5" t="n"/>
      <c r="H208" s="5" t="n"/>
      <c r="I208" s="5" t="n"/>
    </row>
    <row r="209">
      <c r="A209" s="5" t="n"/>
      <c r="B209" s="5" t="n"/>
      <c r="C209" s="5" t="n"/>
      <c r="D209" s="5" t="n"/>
      <c r="E209" s="8" t="n"/>
      <c r="F209" s="5" t="n"/>
      <c r="G209" s="5" t="n"/>
      <c r="H209" s="5" t="n"/>
      <c r="I209" s="5" t="n"/>
    </row>
    <row r="210">
      <c r="A210" s="5" t="n"/>
      <c r="B210" s="5" t="n"/>
      <c r="C210" s="5" t="n"/>
      <c r="D210" s="5" t="n"/>
      <c r="E210" s="8" t="n"/>
      <c r="F210" s="5" t="n"/>
      <c r="G210" s="5" t="n"/>
      <c r="H210" s="5" t="n"/>
      <c r="I210" s="5" t="n"/>
    </row>
    <row r="211">
      <c r="A211" s="5" t="n"/>
      <c r="B211" s="5" t="n"/>
      <c r="C211" s="5" t="n"/>
      <c r="D211" s="5" t="n"/>
      <c r="E211" s="8" t="n"/>
      <c r="F211" s="5" t="n"/>
      <c r="G211" s="5" t="n"/>
      <c r="H211" s="5" t="n"/>
      <c r="I211" s="5" t="n"/>
    </row>
    <row r="212">
      <c r="A212" s="5" t="n"/>
      <c r="B212" s="5" t="n"/>
      <c r="C212" s="5" t="n"/>
      <c r="D212" s="5" t="n"/>
      <c r="E212" s="8" t="n"/>
      <c r="F212" s="5" t="n"/>
      <c r="G212" s="5" t="n"/>
      <c r="H212" s="5" t="n"/>
      <c r="I212" s="5" t="n"/>
    </row>
    <row r="213">
      <c r="A213" s="5" t="n"/>
      <c r="B213" s="5" t="n"/>
      <c r="C213" s="5" t="n"/>
      <c r="D213" s="5" t="n"/>
      <c r="E213" s="8" t="n"/>
      <c r="F213" s="5" t="n"/>
      <c r="G213" s="5" t="n"/>
      <c r="H213" s="5" t="n"/>
      <c r="I213" s="5" t="n"/>
    </row>
    <row r="214">
      <c r="A214" s="5" t="n"/>
      <c r="B214" s="5" t="n"/>
      <c r="C214" s="5" t="n"/>
      <c r="D214" s="5" t="n"/>
      <c r="E214" s="8" t="n"/>
      <c r="F214" s="5" t="n"/>
      <c r="G214" s="5" t="n"/>
      <c r="H214" s="5" t="n"/>
      <c r="I214" s="5" t="n"/>
    </row>
    <row r="215">
      <c r="A215" s="5" t="n"/>
      <c r="B215" s="5" t="n"/>
      <c r="C215" s="5" t="n"/>
      <c r="D215" s="5" t="n"/>
      <c r="E215" s="8" t="n"/>
      <c r="F215" s="5" t="n"/>
      <c r="G215" s="5" t="n"/>
      <c r="H215" s="5" t="n"/>
      <c r="I215" s="5" t="n"/>
    </row>
    <row r="216">
      <c r="A216" s="5" t="n"/>
      <c r="B216" s="5" t="n"/>
      <c r="C216" s="5" t="n"/>
      <c r="D216" s="5" t="n"/>
      <c r="E216" s="8" t="n"/>
      <c r="F216" s="5" t="n"/>
      <c r="G216" s="5" t="n"/>
      <c r="H216" s="5" t="n"/>
      <c r="I216" s="5" t="n"/>
    </row>
    <row r="217">
      <c r="A217" s="5" t="n"/>
      <c r="B217" s="5" t="n"/>
      <c r="C217" s="5" t="n"/>
      <c r="D217" s="5" t="n"/>
      <c r="E217" s="8" t="n"/>
      <c r="F217" s="5" t="n"/>
      <c r="G217" s="5" t="n"/>
      <c r="H217" s="5" t="n"/>
      <c r="I217" s="5" t="n"/>
    </row>
    <row r="218">
      <c r="A218" s="5" t="n"/>
      <c r="B218" s="5" t="n"/>
      <c r="C218" s="5" t="n"/>
      <c r="D218" s="5" t="n"/>
      <c r="E218" s="8" t="n"/>
      <c r="F218" s="5" t="n"/>
      <c r="G218" s="5" t="n"/>
      <c r="H218" s="5" t="n"/>
      <c r="I218" s="5" t="n"/>
    </row>
    <row r="219">
      <c r="A219" s="5" t="n"/>
      <c r="B219" s="5" t="n"/>
      <c r="C219" s="5" t="n"/>
      <c r="D219" s="5" t="n"/>
      <c r="E219" s="8" t="n"/>
      <c r="F219" s="5" t="n"/>
      <c r="G219" s="5" t="n"/>
      <c r="H219" s="5" t="n"/>
      <c r="I219" s="5" t="n"/>
    </row>
    <row r="220">
      <c r="A220" s="5" t="n"/>
      <c r="B220" s="5" t="n"/>
      <c r="C220" s="5" t="n"/>
      <c r="D220" s="5" t="n"/>
      <c r="E220" s="8" t="n"/>
      <c r="F220" s="5" t="n"/>
      <c r="G220" s="5" t="n"/>
      <c r="H220" s="5" t="n"/>
      <c r="I220" s="5" t="n"/>
    </row>
    <row r="221">
      <c r="A221" s="5" t="n"/>
      <c r="B221" s="5" t="n"/>
      <c r="C221" s="5" t="n"/>
      <c r="D221" s="5" t="n"/>
      <c r="E221" s="8" t="n"/>
      <c r="F221" s="5" t="n"/>
      <c r="G221" s="5" t="n"/>
      <c r="H221" s="5" t="n"/>
      <c r="I221" s="5" t="n"/>
    </row>
    <row r="222">
      <c r="A222" s="5" t="n"/>
      <c r="B222" s="5" t="n"/>
      <c r="C222" s="5" t="n"/>
      <c r="D222" s="5" t="n"/>
      <c r="E222" s="8" t="n"/>
      <c r="F222" s="5" t="n"/>
      <c r="G222" s="5" t="n"/>
      <c r="H222" s="5" t="n"/>
      <c r="I222" s="5" t="n"/>
    </row>
    <row r="223">
      <c r="A223" s="5" t="n"/>
      <c r="B223" s="5" t="n"/>
      <c r="C223" s="5" t="n"/>
      <c r="D223" s="5" t="n"/>
      <c r="E223" s="8" t="n"/>
      <c r="F223" s="5" t="n"/>
      <c r="G223" s="5" t="n"/>
      <c r="H223" s="5" t="n"/>
      <c r="I223" s="5" t="n"/>
    </row>
    <row r="224">
      <c r="A224" s="5" t="n"/>
      <c r="B224" s="5" t="n"/>
      <c r="C224" s="5" t="n"/>
      <c r="D224" s="5" t="n"/>
      <c r="E224" s="8" t="n"/>
      <c r="F224" s="5" t="n"/>
      <c r="G224" s="5" t="n"/>
      <c r="H224" s="5" t="n"/>
      <c r="I224" s="5" t="n"/>
    </row>
    <row r="225">
      <c r="A225" s="5" t="n"/>
      <c r="B225" s="5" t="n"/>
      <c r="C225" s="5" t="n"/>
      <c r="D225" s="5" t="n"/>
      <c r="E225" s="8" t="n"/>
      <c r="F225" s="5" t="n"/>
      <c r="G225" s="5" t="n"/>
      <c r="H225" s="5" t="n"/>
      <c r="I225" s="5" t="n"/>
    </row>
    <row r="226">
      <c r="A226" s="5" t="n"/>
      <c r="B226" s="5" t="n"/>
      <c r="C226" s="5" t="n"/>
      <c r="D226" s="5" t="n"/>
      <c r="E226" s="8" t="n"/>
      <c r="F226" s="5" t="n"/>
      <c r="G226" s="5" t="n"/>
      <c r="H226" s="5" t="n"/>
      <c r="I226" s="5" t="n"/>
    </row>
    <row r="227">
      <c r="A227" s="5" t="n"/>
      <c r="B227" s="5" t="n"/>
      <c r="C227" s="5" t="n"/>
      <c r="D227" s="5" t="n"/>
      <c r="E227" s="8" t="n"/>
      <c r="F227" s="5" t="n"/>
      <c r="G227" s="5" t="n"/>
      <c r="H227" s="5" t="n"/>
      <c r="I227" s="5" t="n"/>
    </row>
    <row r="228">
      <c r="A228" s="5" t="n"/>
      <c r="B228" s="5" t="n"/>
      <c r="C228" s="5" t="n"/>
      <c r="D228" s="5" t="n"/>
      <c r="E228" s="8" t="n"/>
      <c r="F228" s="5" t="n"/>
      <c r="G228" s="5" t="n"/>
      <c r="H228" s="5" t="n"/>
      <c r="I228" s="5" t="n"/>
    </row>
    <row r="229">
      <c r="A229" s="5" t="n"/>
      <c r="B229" s="5" t="n"/>
      <c r="C229" s="5" t="n"/>
      <c r="D229" s="5" t="n"/>
      <c r="E229" s="8" t="n"/>
      <c r="F229" s="5" t="n"/>
      <c r="G229" s="5" t="n"/>
      <c r="H229" s="5" t="n"/>
      <c r="I229" s="5" t="n"/>
    </row>
    <row r="230">
      <c r="A230" s="5" t="n"/>
      <c r="B230" s="5" t="n"/>
      <c r="C230" s="5" t="n"/>
      <c r="D230" s="5" t="n"/>
      <c r="E230" s="8" t="n"/>
      <c r="F230" s="5" t="n"/>
      <c r="G230" s="5" t="n"/>
      <c r="H230" s="5" t="n"/>
      <c r="I230" s="5" t="n"/>
    </row>
    <row r="231">
      <c r="A231" s="5" t="n"/>
      <c r="B231" s="5" t="n"/>
      <c r="C231" s="5" t="n"/>
      <c r="D231" s="5" t="n"/>
      <c r="E231" s="8" t="n"/>
      <c r="F231" s="5" t="n"/>
      <c r="G231" s="5" t="n"/>
      <c r="H231" s="5" t="n"/>
      <c r="I231" s="5" t="n"/>
    </row>
    <row r="232">
      <c r="A232" s="5" t="n"/>
      <c r="B232" s="5" t="n"/>
      <c r="C232" s="5" t="n"/>
      <c r="D232" s="5" t="n"/>
      <c r="E232" s="8" t="n"/>
      <c r="F232" s="5" t="n"/>
      <c r="G232" s="5" t="n"/>
      <c r="H232" s="5" t="n"/>
      <c r="I232" s="5" t="n"/>
    </row>
    <row r="233">
      <c r="A233" s="5" t="n"/>
      <c r="B233" s="5" t="n"/>
      <c r="C233" s="5" t="n"/>
      <c r="D233" s="5" t="n"/>
      <c r="E233" s="8" t="n"/>
      <c r="F233" s="5" t="n"/>
      <c r="G233" s="5" t="n"/>
      <c r="H233" s="5" t="n"/>
      <c r="I233" s="5" t="n"/>
    </row>
    <row r="234">
      <c r="A234" s="5" t="n"/>
      <c r="B234" s="5" t="n"/>
      <c r="C234" s="5" t="n"/>
      <c r="D234" s="5" t="n"/>
      <c r="E234" s="8" t="n"/>
      <c r="F234" s="5" t="n"/>
      <c r="G234" s="5" t="n"/>
      <c r="H234" s="5" t="n"/>
      <c r="I234" s="5" t="n"/>
    </row>
    <row r="235">
      <c r="A235" s="5" t="n"/>
      <c r="B235" s="5" t="n"/>
      <c r="C235" s="5" t="n"/>
      <c r="D235" s="5" t="n"/>
      <c r="E235" s="8" t="n"/>
      <c r="F235" s="5" t="n"/>
      <c r="G235" s="5" t="n"/>
      <c r="H235" s="5" t="n"/>
      <c r="I235" s="5" t="n"/>
    </row>
    <row r="236">
      <c r="A236" s="5" t="n"/>
      <c r="B236" s="5" t="n"/>
      <c r="C236" s="5" t="n"/>
      <c r="D236" s="5" t="n"/>
      <c r="E236" s="8" t="n"/>
      <c r="F236" s="5" t="n"/>
      <c r="G236" s="5" t="n"/>
      <c r="H236" s="5" t="n"/>
      <c r="I236" s="5" t="n"/>
    </row>
    <row r="237">
      <c r="A237" s="5" t="n"/>
      <c r="B237" s="5" t="n"/>
      <c r="C237" s="5" t="n"/>
      <c r="D237" s="5" t="n"/>
      <c r="E237" s="8" t="n"/>
      <c r="F237" s="5" t="n"/>
      <c r="G237" s="5" t="n"/>
      <c r="H237" s="5" t="n"/>
      <c r="I237" s="5" t="n"/>
    </row>
    <row r="238">
      <c r="A238" s="5" t="n"/>
      <c r="B238" s="5" t="n"/>
      <c r="C238" s="5" t="n"/>
      <c r="D238" s="5" t="n"/>
      <c r="E238" s="8" t="n"/>
      <c r="F238" s="5" t="n"/>
      <c r="G238" s="5" t="n"/>
      <c r="H238" s="5" t="n"/>
      <c r="I238" s="5" t="n"/>
    </row>
    <row r="239">
      <c r="A239" s="5" t="n"/>
      <c r="B239" s="5" t="n"/>
      <c r="C239" s="5" t="n"/>
      <c r="D239" s="5" t="n"/>
      <c r="E239" s="8" t="n"/>
      <c r="F239" s="5" t="n"/>
      <c r="G239" s="5" t="n"/>
      <c r="H239" s="5" t="n"/>
      <c r="I239" s="5" t="n"/>
    </row>
    <row r="240">
      <c r="A240" s="5" t="n"/>
      <c r="B240" s="5" t="n"/>
      <c r="C240" s="5" t="n"/>
      <c r="D240" s="5" t="n"/>
      <c r="E240" s="8" t="n"/>
      <c r="F240" s="5" t="n"/>
      <c r="G240" s="5" t="n"/>
      <c r="H240" s="5" t="n"/>
      <c r="I240" s="5" t="n"/>
    </row>
    <row r="241">
      <c r="A241" s="5" t="n"/>
      <c r="B241" s="5" t="n"/>
      <c r="C241" s="5" t="n"/>
      <c r="D241" s="5" t="n"/>
      <c r="E241" s="8" t="n"/>
      <c r="F241" s="5" t="n"/>
      <c r="G241" s="5" t="n"/>
      <c r="H241" s="5" t="n"/>
      <c r="I241" s="5" t="n"/>
    </row>
    <row r="242">
      <c r="A242" s="5" t="n"/>
      <c r="B242" s="5" t="n"/>
      <c r="C242" s="5" t="n"/>
      <c r="D242" s="5" t="n"/>
      <c r="E242" s="8" t="n"/>
      <c r="F242" s="5" t="n"/>
      <c r="G242" s="5" t="n"/>
      <c r="H242" s="5" t="n"/>
      <c r="I242" s="5" t="n"/>
    </row>
    <row r="243">
      <c r="A243" s="5" t="n"/>
      <c r="B243" s="5" t="n"/>
      <c r="C243" s="5" t="n"/>
      <c r="D243" s="5" t="n"/>
      <c r="E243" s="8" t="n"/>
      <c r="F243" s="5" t="n"/>
      <c r="G243" s="5" t="n"/>
      <c r="H243" s="5" t="n"/>
      <c r="I243" s="5" t="n"/>
    </row>
    <row r="244">
      <c r="A244" s="5" t="n"/>
      <c r="B244" s="5" t="n"/>
      <c r="C244" s="5" t="n"/>
      <c r="D244" s="5" t="n"/>
      <c r="E244" s="8" t="n"/>
      <c r="F244" s="5" t="n"/>
      <c r="G244" s="5" t="n"/>
      <c r="H244" s="5" t="n"/>
      <c r="I244" s="5" t="n"/>
    </row>
    <row r="245">
      <c r="A245" s="5" t="n"/>
      <c r="B245" s="5" t="n"/>
      <c r="C245" s="5" t="n"/>
      <c r="D245" s="5" t="n"/>
      <c r="E245" s="8" t="n"/>
      <c r="F245" s="5" t="n"/>
      <c r="G245" s="5" t="n"/>
      <c r="H245" s="5" t="n"/>
      <c r="I245" s="5" t="n"/>
    </row>
    <row r="246">
      <c r="A246" s="5" t="n"/>
      <c r="B246" s="5" t="n"/>
      <c r="C246" s="5" t="n"/>
      <c r="D246" s="5" t="n"/>
      <c r="E246" s="8" t="n"/>
      <c r="F246" s="5" t="n"/>
      <c r="G246" s="5" t="n"/>
      <c r="H246" s="5" t="n"/>
      <c r="I246" s="5" t="n"/>
    </row>
    <row r="247">
      <c r="A247" s="5" t="n"/>
      <c r="B247" s="5" t="n"/>
      <c r="C247" s="5" t="n"/>
      <c r="D247" s="5" t="n"/>
      <c r="E247" s="8" t="n"/>
      <c r="F247" s="5" t="n"/>
      <c r="G247" s="5" t="n"/>
      <c r="H247" s="5" t="n"/>
      <c r="I247" s="5" t="n"/>
    </row>
    <row r="248">
      <c r="A248" s="5" t="n"/>
      <c r="B248" s="5" t="n"/>
      <c r="C248" s="5" t="n"/>
      <c r="D248" s="5" t="n"/>
      <c r="E248" s="8" t="n"/>
      <c r="F248" s="5" t="n"/>
      <c r="G248" s="5" t="n"/>
      <c r="H248" s="5" t="n"/>
      <c r="I248" s="5" t="n"/>
    </row>
    <row r="249">
      <c r="A249" s="5" t="n"/>
      <c r="B249" s="5" t="n"/>
      <c r="C249" s="5" t="n"/>
      <c r="D249" s="5" t="n"/>
      <c r="E249" s="8" t="n"/>
      <c r="F249" s="5" t="n"/>
      <c r="G249" s="5" t="n"/>
      <c r="H249" s="5" t="n"/>
      <c r="I249" s="5" t="n"/>
    </row>
    <row r="250">
      <c r="A250" s="5" t="n"/>
      <c r="B250" s="5" t="n"/>
      <c r="C250" s="5" t="n"/>
      <c r="D250" s="5" t="n"/>
      <c r="E250" s="8" t="n"/>
      <c r="F250" s="5" t="n"/>
      <c r="G250" s="5" t="n"/>
      <c r="H250" s="5" t="n"/>
      <c r="I250" s="5" t="n"/>
    </row>
    <row r="251">
      <c r="A251" s="5" t="n"/>
      <c r="B251" s="5" t="n"/>
      <c r="C251" s="5" t="n"/>
      <c r="D251" s="5" t="n"/>
      <c r="E251" s="8" t="n"/>
      <c r="F251" s="5" t="n"/>
      <c r="G251" s="5" t="n"/>
      <c r="H251" s="5" t="n"/>
      <c r="I251" s="5" t="n"/>
    </row>
    <row r="252">
      <c r="A252" s="5" t="n"/>
      <c r="B252" s="5" t="n"/>
      <c r="C252" s="5" t="n"/>
      <c r="D252" s="5" t="n"/>
      <c r="E252" s="8" t="n"/>
      <c r="F252" s="5" t="n"/>
      <c r="G252" s="5" t="n"/>
      <c r="H252" s="5" t="n"/>
      <c r="I252" s="5" t="n"/>
    </row>
    <row r="253">
      <c r="A253" s="5" t="n"/>
      <c r="B253" s="5" t="n"/>
      <c r="C253" s="5" t="n"/>
      <c r="D253" s="5" t="n"/>
      <c r="E253" s="8" t="n"/>
      <c r="F253" s="5" t="n"/>
      <c r="G253" s="5" t="n"/>
      <c r="H253" s="5" t="n"/>
      <c r="I253" s="5" t="n"/>
    </row>
    <row r="254">
      <c r="A254" s="5" t="n"/>
      <c r="B254" s="5" t="n"/>
      <c r="C254" s="5" t="n"/>
      <c r="D254" s="5" t="n"/>
      <c r="E254" s="8" t="n"/>
      <c r="F254" s="5" t="n"/>
      <c r="G254" s="5" t="n"/>
      <c r="H254" s="5" t="n"/>
      <c r="I254" s="5" t="n"/>
    </row>
    <row r="255">
      <c r="A255" s="5" t="n"/>
      <c r="B255" s="5" t="n"/>
      <c r="C255" s="5" t="n"/>
      <c r="D255" s="5" t="n"/>
      <c r="E255" s="8" t="n"/>
      <c r="F255" s="5" t="n"/>
      <c r="G255" s="5" t="n"/>
      <c r="H255" s="5" t="n"/>
      <c r="I255" s="5" t="n"/>
    </row>
    <row r="256">
      <c r="A256" s="5" t="n"/>
      <c r="B256" s="5" t="n"/>
      <c r="C256" s="5" t="n"/>
      <c r="D256" s="5" t="n"/>
      <c r="E256" s="8" t="n"/>
      <c r="F256" s="5" t="n"/>
      <c r="G256" s="5" t="n"/>
      <c r="H256" s="5" t="n"/>
      <c r="I256" s="5" t="n"/>
    </row>
    <row r="257">
      <c r="A257" s="5" t="n"/>
      <c r="B257" s="5" t="n"/>
      <c r="C257" s="5" t="n"/>
      <c r="D257" s="5" t="n"/>
      <c r="E257" s="8" t="n"/>
      <c r="F257" s="5" t="n"/>
      <c r="G257" s="5" t="n"/>
      <c r="H257" s="5" t="n"/>
      <c r="I257" s="5" t="n"/>
    </row>
    <row r="258">
      <c r="A258" s="5" t="n"/>
      <c r="B258" s="5" t="n"/>
      <c r="C258" s="5" t="n"/>
      <c r="D258" s="5" t="n"/>
      <c r="E258" s="8" t="n"/>
      <c r="F258" s="5" t="n"/>
      <c r="G258" s="5" t="n"/>
      <c r="H258" s="5" t="n"/>
      <c r="I258" s="5" t="n"/>
    </row>
    <row r="259">
      <c r="A259" s="5" t="n"/>
      <c r="B259" s="5" t="n"/>
      <c r="C259" s="5" t="n"/>
      <c r="D259" s="5" t="n"/>
      <c r="E259" s="8" t="n"/>
      <c r="F259" s="5" t="n"/>
      <c r="G259" s="5" t="n"/>
      <c r="H259" s="5" t="n"/>
      <c r="I259" s="5" t="n"/>
    </row>
    <row r="260">
      <c r="A260" s="5" t="n"/>
      <c r="B260" s="5" t="n"/>
      <c r="C260" s="5" t="n"/>
      <c r="D260" s="5" t="n"/>
      <c r="E260" s="8" t="n"/>
      <c r="F260" s="5" t="n"/>
      <c r="G260" s="5" t="n"/>
      <c r="H260" s="5" t="n"/>
      <c r="I260" s="5" t="n"/>
    </row>
    <row r="261">
      <c r="A261" s="5" t="n"/>
      <c r="B261" s="5" t="n"/>
      <c r="C261" s="5" t="n"/>
      <c r="D261" s="5" t="n"/>
      <c r="E261" s="8" t="n"/>
      <c r="F261" s="5" t="n"/>
      <c r="G261" s="5" t="n"/>
      <c r="H261" s="5" t="n"/>
      <c r="I261" s="5" t="n"/>
    </row>
    <row r="262">
      <c r="A262" s="5" t="n"/>
      <c r="B262" s="5" t="n"/>
      <c r="C262" s="5" t="n"/>
      <c r="D262" s="5" t="n"/>
      <c r="E262" s="8" t="n"/>
      <c r="F262" s="5" t="n"/>
      <c r="G262" s="5" t="n"/>
      <c r="H262" s="5" t="n"/>
      <c r="I262" s="5" t="n"/>
    </row>
    <row r="263">
      <c r="A263" s="5" t="n"/>
      <c r="B263" s="5" t="n"/>
      <c r="C263" s="5" t="n"/>
      <c r="D263" s="5" t="n"/>
      <c r="E263" s="8" t="n"/>
      <c r="F263" s="5" t="n"/>
      <c r="G263" s="5" t="n"/>
      <c r="H263" s="5" t="n"/>
      <c r="I263" s="5" t="n"/>
    </row>
    <row r="264">
      <c r="A264" s="5" t="n"/>
      <c r="B264" s="5" t="n"/>
      <c r="C264" s="5" t="n"/>
      <c r="D264" s="5" t="n"/>
      <c r="E264" s="8" t="n"/>
      <c r="F264" s="5" t="n"/>
      <c r="G264" s="5" t="n"/>
      <c r="H264" s="5" t="n"/>
      <c r="I264" s="5" t="n"/>
    </row>
    <row r="265">
      <c r="A265" s="5" t="n"/>
      <c r="B265" s="5" t="n"/>
      <c r="C265" s="5" t="n"/>
      <c r="D265" s="5" t="n"/>
      <c r="E265" s="8" t="n"/>
      <c r="F265" s="5" t="n"/>
      <c r="G265" s="5" t="n"/>
      <c r="H265" s="5" t="n"/>
      <c r="I265" s="5" t="n"/>
    </row>
    <row r="266">
      <c r="A266" s="5" t="n"/>
      <c r="B266" s="5" t="n"/>
      <c r="C266" s="5" t="n"/>
      <c r="D266" s="5" t="n"/>
      <c r="E266" s="8" t="n"/>
      <c r="F266" s="5" t="n"/>
      <c r="G266" s="5" t="n"/>
      <c r="H266" s="5" t="n"/>
      <c r="I266" s="5" t="n"/>
    </row>
    <row r="267">
      <c r="A267" s="5" t="n"/>
      <c r="B267" s="5" t="n"/>
      <c r="C267" s="5" t="n"/>
      <c r="D267" s="5" t="n"/>
      <c r="E267" s="8" t="n"/>
      <c r="F267" s="5" t="n"/>
      <c r="G267" s="5" t="n"/>
      <c r="H267" s="5" t="n"/>
      <c r="I267" s="5" t="n"/>
    </row>
    <row r="268">
      <c r="A268" s="5" t="n"/>
      <c r="B268" s="5" t="n"/>
      <c r="C268" s="5" t="n"/>
      <c r="D268" s="5" t="n"/>
      <c r="E268" s="8" t="n"/>
      <c r="F268" s="5" t="n"/>
      <c r="G268" s="5" t="n"/>
      <c r="H268" s="5" t="n"/>
      <c r="I268" s="5" t="n"/>
    </row>
    <row r="269">
      <c r="A269" s="5" t="n"/>
      <c r="B269" s="5" t="n"/>
      <c r="C269" s="5" t="n"/>
      <c r="D269" s="5" t="n"/>
      <c r="E269" s="8" t="n"/>
      <c r="F269" s="5" t="n"/>
      <c r="G269" s="5" t="n"/>
      <c r="H269" s="5" t="n"/>
      <c r="I269" s="5" t="n"/>
    </row>
    <row r="270">
      <c r="A270" s="5" t="n"/>
      <c r="B270" s="5" t="n"/>
      <c r="C270" s="5" t="n"/>
      <c r="D270" s="5" t="n"/>
      <c r="E270" s="8" t="n"/>
      <c r="F270" s="5" t="n"/>
      <c r="G270" s="5" t="n"/>
      <c r="H270" s="5" t="n"/>
      <c r="I270" s="5" t="n"/>
    </row>
    <row r="271">
      <c r="A271" s="5" t="n"/>
      <c r="B271" s="5" t="n"/>
      <c r="C271" s="5" t="n"/>
      <c r="D271" s="5" t="n"/>
      <c r="E271" s="8" t="n"/>
      <c r="F271" s="5" t="n"/>
      <c r="G271" s="5" t="n"/>
      <c r="H271" s="5" t="n"/>
      <c r="I271" s="5" t="n"/>
    </row>
    <row r="272">
      <c r="A272" s="5" t="n"/>
      <c r="B272" s="5" t="n"/>
      <c r="C272" s="5" t="n"/>
      <c r="D272" s="5" t="n"/>
      <c r="E272" s="8" t="n"/>
      <c r="F272" s="5" t="n"/>
      <c r="G272" s="5" t="n"/>
      <c r="H272" s="5" t="n"/>
      <c r="I272" s="5" t="n"/>
    </row>
    <row r="273">
      <c r="A273" s="5" t="n"/>
      <c r="B273" s="5" t="n"/>
      <c r="C273" s="5" t="n"/>
      <c r="D273" s="5" t="n"/>
      <c r="E273" s="8" t="n"/>
      <c r="F273" s="5" t="n"/>
      <c r="G273" s="5" t="n"/>
      <c r="H273" s="5" t="n"/>
      <c r="I273" s="5" t="n"/>
    </row>
    <row r="274">
      <c r="A274" s="5" t="n"/>
      <c r="B274" s="5" t="n"/>
      <c r="C274" s="5" t="n"/>
      <c r="D274" s="5" t="n"/>
      <c r="E274" s="8" t="n"/>
      <c r="F274" s="5" t="n"/>
      <c r="G274" s="5" t="n"/>
      <c r="H274" s="5" t="n"/>
      <c r="I274" s="5" t="n"/>
    </row>
    <row r="275">
      <c r="A275" s="5" t="n"/>
      <c r="B275" s="5" t="n"/>
      <c r="C275" s="5" t="n"/>
      <c r="D275" s="5" t="n"/>
      <c r="E275" s="8" t="n"/>
      <c r="F275" s="5" t="n"/>
      <c r="G275" s="5" t="n"/>
      <c r="H275" s="5" t="n"/>
      <c r="I275" s="5" t="n"/>
    </row>
    <row r="276">
      <c r="A276" s="5" t="n"/>
      <c r="B276" s="5" t="n"/>
      <c r="C276" s="5" t="n"/>
      <c r="D276" s="5" t="n"/>
      <c r="E276" s="8" t="n"/>
      <c r="F276" s="5" t="n"/>
      <c r="G276" s="5" t="n"/>
      <c r="H276" s="5" t="n"/>
      <c r="I276" s="5" t="n"/>
    </row>
    <row r="277">
      <c r="A277" s="5" t="n"/>
      <c r="B277" s="5" t="n"/>
      <c r="C277" s="5" t="n"/>
      <c r="D277" s="5" t="n"/>
      <c r="E277" s="8" t="n"/>
      <c r="F277" s="5" t="n"/>
      <c r="G277" s="5" t="n"/>
      <c r="H277" s="5" t="n"/>
      <c r="I277" s="5" t="n"/>
    </row>
    <row r="278">
      <c r="A278" s="5" t="n"/>
      <c r="B278" s="5" t="n"/>
      <c r="C278" s="5" t="n"/>
      <c r="D278" s="5" t="n"/>
      <c r="E278" s="8" t="n"/>
      <c r="F278" s="5" t="n"/>
      <c r="G278" s="5" t="n"/>
      <c r="H278" s="5" t="n"/>
      <c r="I278" s="5" t="n"/>
    </row>
    <row r="279">
      <c r="A279" s="5" t="n"/>
      <c r="B279" s="5" t="n"/>
      <c r="C279" s="5" t="n"/>
      <c r="D279" s="5" t="n"/>
      <c r="E279" s="8" t="n"/>
      <c r="F279" s="5" t="n"/>
      <c r="G279" s="5" t="n"/>
      <c r="H279" s="5" t="n"/>
      <c r="I279" s="5" t="n"/>
    </row>
    <row r="280">
      <c r="A280" s="5" t="n"/>
      <c r="B280" s="5" t="n"/>
      <c r="C280" s="5" t="n"/>
      <c r="D280" s="5" t="n"/>
      <c r="E280" s="8" t="n"/>
      <c r="F280" s="5" t="n"/>
      <c r="G280" s="5" t="n"/>
      <c r="H280" s="5" t="n"/>
      <c r="I280" s="5" t="n"/>
    </row>
    <row r="281">
      <c r="A281" s="5" t="n"/>
      <c r="B281" s="5" t="n"/>
      <c r="C281" s="5" t="n"/>
      <c r="D281" s="5" t="n"/>
      <c r="E281" s="8" t="n"/>
      <c r="F281" s="5" t="n"/>
      <c r="G281" s="5" t="n"/>
      <c r="H281" s="5" t="n"/>
      <c r="I281" s="5" t="n"/>
    </row>
    <row r="282">
      <c r="A282" s="5" t="n"/>
      <c r="B282" s="5" t="n"/>
      <c r="C282" s="5" t="n"/>
      <c r="D282" s="5" t="n"/>
      <c r="E282" s="8" t="n"/>
      <c r="F282" s="5" t="n"/>
      <c r="G282" s="5" t="n"/>
      <c r="H282" s="5" t="n"/>
      <c r="I282" s="5" t="n"/>
    </row>
    <row r="283">
      <c r="A283" s="5" t="n"/>
      <c r="B283" s="5" t="n"/>
      <c r="C283" s="5" t="n"/>
      <c r="D283" s="5" t="n"/>
      <c r="E283" s="8" t="n"/>
      <c r="F283" s="5" t="n"/>
      <c r="G283" s="5" t="n"/>
      <c r="H283" s="5" t="n"/>
      <c r="I283" s="5" t="n"/>
    </row>
    <row r="284">
      <c r="A284" s="5" t="n"/>
      <c r="B284" s="5" t="n"/>
      <c r="C284" s="5" t="n"/>
      <c r="D284" s="5" t="n"/>
      <c r="E284" s="8" t="n"/>
      <c r="F284" s="5" t="n"/>
      <c r="G284" s="5" t="n"/>
      <c r="H284" s="5" t="n"/>
      <c r="I284" s="5" t="n"/>
    </row>
    <row r="285">
      <c r="A285" s="5" t="n"/>
      <c r="B285" s="5" t="n"/>
      <c r="C285" s="5" t="n"/>
      <c r="D285" s="5" t="n"/>
      <c r="E285" s="8" t="n"/>
      <c r="F285" s="5" t="n"/>
      <c r="G285" s="5" t="n"/>
      <c r="H285" s="5" t="n"/>
      <c r="I285" s="5" t="n"/>
    </row>
    <row r="286">
      <c r="A286" s="5" t="n"/>
      <c r="B286" s="5" t="n"/>
      <c r="C286" s="5" t="n"/>
      <c r="D286" s="5" t="n"/>
      <c r="E286" s="8" t="n"/>
      <c r="F286" s="5" t="n"/>
      <c r="G286" s="5" t="n"/>
      <c r="H286" s="5" t="n"/>
      <c r="I286" s="5" t="n"/>
    </row>
    <row r="287">
      <c r="A287" s="5" t="n"/>
      <c r="B287" s="5" t="n"/>
      <c r="C287" s="5" t="n"/>
      <c r="D287" s="5" t="n"/>
      <c r="E287" s="8" t="n"/>
      <c r="F287" s="5" t="n"/>
      <c r="G287" s="5" t="n"/>
      <c r="H287" s="5" t="n"/>
      <c r="I287" s="5" t="n"/>
    </row>
    <row r="288">
      <c r="A288" s="5" t="n"/>
      <c r="B288" s="5" t="n"/>
      <c r="C288" s="5" t="n"/>
      <c r="D288" s="5" t="n"/>
      <c r="E288" s="8" t="n"/>
      <c r="F288" s="5" t="n"/>
      <c r="G288" s="5" t="n"/>
      <c r="H288" s="5" t="n"/>
      <c r="I288" s="5" t="n"/>
    </row>
    <row r="289">
      <c r="A289" s="5" t="n"/>
      <c r="B289" s="5" t="n"/>
      <c r="C289" s="5" t="n"/>
      <c r="D289" s="5" t="n"/>
      <c r="E289" s="8" t="n"/>
      <c r="F289" s="5" t="n"/>
      <c r="G289" s="5" t="n"/>
      <c r="H289" s="5" t="n"/>
      <c r="I289" s="5" t="n"/>
    </row>
    <row r="290">
      <c r="A290" s="5" t="n"/>
      <c r="B290" s="5" t="n"/>
      <c r="C290" s="5" t="n"/>
      <c r="D290" s="5" t="n"/>
      <c r="E290" s="8" t="n"/>
      <c r="F290" s="5" t="n"/>
      <c r="G290" s="5" t="n"/>
      <c r="H290" s="5" t="n"/>
      <c r="I290" s="5" t="n"/>
    </row>
    <row r="291">
      <c r="A291" s="5" t="n"/>
      <c r="B291" s="5" t="n"/>
      <c r="C291" s="5" t="n"/>
      <c r="D291" s="5" t="n"/>
      <c r="E291" s="8" t="n"/>
      <c r="F291" s="5" t="n"/>
      <c r="G291" s="5" t="n"/>
      <c r="H291" s="5" t="n"/>
      <c r="I291" s="5" t="n"/>
    </row>
    <row r="292">
      <c r="A292" s="5" t="n"/>
      <c r="B292" s="5" t="n"/>
      <c r="C292" s="5" t="n"/>
      <c r="D292" s="5" t="n"/>
      <c r="E292" s="8" t="n"/>
      <c r="F292" s="5" t="n"/>
      <c r="G292" s="5" t="n"/>
      <c r="H292" s="5" t="n"/>
      <c r="I292" s="5" t="n"/>
    </row>
    <row r="293">
      <c r="A293" s="5" t="n"/>
      <c r="B293" s="5" t="n"/>
      <c r="C293" s="5" t="n"/>
      <c r="D293" s="5" t="n"/>
      <c r="E293" s="8" t="n"/>
      <c r="F293" s="5" t="n"/>
      <c r="G293" s="5" t="n"/>
      <c r="H293" s="5" t="n"/>
      <c r="I293" s="5" t="n"/>
    </row>
    <row r="294">
      <c r="A294" s="5" t="n"/>
      <c r="B294" s="5" t="n"/>
      <c r="C294" s="5" t="n"/>
      <c r="D294" s="5" t="n"/>
      <c r="E294" s="8" t="n"/>
      <c r="F294" s="5" t="n"/>
      <c r="G294" s="5" t="n"/>
      <c r="H294" s="5" t="n"/>
      <c r="I294" s="5" t="n"/>
    </row>
    <row r="295">
      <c r="A295" s="5" t="n"/>
      <c r="B295" s="5" t="n"/>
      <c r="C295" s="5" t="n"/>
      <c r="D295" s="5" t="n"/>
      <c r="E295" s="8" t="n"/>
      <c r="F295" s="5" t="n"/>
      <c r="G295" s="5" t="n"/>
      <c r="H295" s="5" t="n"/>
      <c r="I295" s="5" t="n"/>
    </row>
    <row r="296">
      <c r="A296" s="5" t="n"/>
      <c r="B296" s="5" t="n"/>
      <c r="C296" s="5" t="n"/>
      <c r="D296" s="5" t="n"/>
      <c r="E296" s="8" t="n"/>
      <c r="F296" s="5" t="n"/>
      <c r="G296" s="5" t="n"/>
      <c r="H296" s="5" t="n"/>
      <c r="I296" s="5" t="n"/>
    </row>
    <row r="297">
      <c r="A297" s="5" t="n"/>
      <c r="B297" s="5" t="n"/>
      <c r="C297" s="5" t="n"/>
      <c r="D297" s="5" t="n"/>
      <c r="E297" s="8" t="n"/>
      <c r="F297" s="5" t="n"/>
      <c r="G297" s="5" t="n"/>
      <c r="H297" s="5" t="n"/>
      <c r="I297" s="5" t="n"/>
    </row>
    <row r="298">
      <c r="A298" s="5" t="n"/>
      <c r="B298" s="5" t="n"/>
      <c r="C298" s="5" t="n"/>
      <c r="D298" s="5" t="n"/>
      <c r="E298" s="8" t="n"/>
      <c r="F298" s="5" t="n"/>
      <c r="G298" s="5" t="n"/>
      <c r="H298" s="5" t="n"/>
      <c r="I298" s="5" t="n"/>
    </row>
    <row r="299">
      <c r="A299" s="5" t="n"/>
      <c r="B299" s="5" t="n"/>
      <c r="C299" s="5" t="n"/>
      <c r="D299" s="5" t="n"/>
      <c r="E299" s="8" t="n"/>
      <c r="F299" s="5" t="n"/>
      <c r="G299" s="5" t="n"/>
      <c r="H299" s="5" t="n"/>
      <c r="I299" s="5" t="n"/>
    </row>
    <row r="300">
      <c r="A300" s="5" t="n"/>
      <c r="B300" s="5" t="n"/>
      <c r="C300" s="5" t="n"/>
      <c r="D300" s="5" t="n"/>
      <c r="E300" s="8" t="n"/>
      <c r="F300" s="5" t="n"/>
      <c r="G300" s="5" t="n"/>
      <c r="H300" s="5" t="n"/>
      <c r="I300" s="5" t="n"/>
    </row>
    <row r="301">
      <c r="A301" s="5" t="n"/>
      <c r="B301" s="5" t="n"/>
      <c r="C301" s="5" t="n"/>
      <c r="D301" s="5" t="n"/>
      <c r="E301" s="8" t="n"/>
      <c r="F301" s="5" t="n"/>
      <c r="G301" s="5" t="n"/>
      <c r="H301" s="5" t="n"/>
      <c r="I301" s="5" t="n"/>
    </row>
    <row r="302">
      <c r="A302" s="5" t="n"/>
      <c r="B302" s="5" t="n"/>
      <c r="C302" s="5" t="n"/>
      <c r="D302" s="5" t="n"/>
      <c r="E302" s="8" t="n"/>
      <c r="F302" s="5" t="n"/>
      <c r="G302" s="5" t="n"/>
      <c r="H302" s="5" t="n"/>
      <c r="I302" s="5" t="n"/>
    </row>
    <row r="303">
      <c r="A303" s="5" t="n"/>
      <c r="B303" s="5" t="n"/>
      <c r="C303" s="5" t="n"/>
      <c r="D303" s="5" t="n"/>
      <c r="E303" s="8" t="n"/>
      <c r="F303" s="5" t="n"/>
      <c r="G303" s="5" t="n"/>
      <c r="H303" s="5" t="n"/>
      <c r="I303" s="5" t="n"/>
    </row>
    <row r="304">
      <c r="A304" s="5" t="n"/>
      <c r="B304" s="5" t="n"/>
      <c r="C304" s="5" t="n"/>
      <c r="D304" s="5" t="n"/>
      <c r="E304" s="8" t="n"/>
      <c r="F304" s="5" t="n"/>
      <c r="G304" s="5" t="n"/>
      <c r="H304" s="5" t="n"/>
      <c r="I304" s="5" t="n"/>
    </row>
    <row r="305">
      <c r="A305" s="5" t="n"/>
      <c r="B305" s="5" t="n"/>
      <c r="C305" s="5" t="n"/>
      <c r="D305" s="5" t="n"/>
      <c r="E305" s="8" t="n"/>
      <c r="F305" s="5" t="n"/>
      <c r="G305" s="5" t="n"/>
      <c r="H305" s="5" t="n"/>
      <c r="I305" s="5" t="n"/>
    </row>
    <row r="306">
      <c r="A306" s="5" t="n"/>
      <c r="B306" s="5" t="n"/>
      <c r="C306" s="5" t="n"/>
      <c r="D306" s="5" t="n"/>
      <c r="E306" s="8" t="n"/>
      <c r="F306" s="5" t="n"/>
      <c r="G306" s="5" t="n"/>
      <c r="H306" s="5" t="n"/>
      <c r="I306" s="5" t="n"/>
    </row>
    <row r="307">
      <c r="A307" s="5" t="n"/>
      <c r="B307" s="5" t="n"/>
      <c r="C307" s="5" t="n"/>
      <c r="D307" s="5" t="n"/>
      <c r="E307" s="8" t="n"/>
      <c r="F307" s="5" t="n"/>
      <c r="G307" s="5" t="n"/>
      <c r="H307" s="5" t="n"/>
      <c r="I307" s="5" t="n"/>
    </row>
    <row r="308">
      <c r="A308" s="5" t="n"/>
      <c r="B308" s="5" t="n"/>
      <c r="C308" s="5" t="n"/>
      <c r="D308" s="5" t="n"/>
      <c r="E308" s="8" t="n"/>
      <c r="F308" s="5" t="n"/>
      <c r="G308" s="5" t="n"/>
      <c r="H308" s="5" t="n"/>
      <c r="I308" s="5" t="n"/>
    </row>
    <row r="309">
      <c r="A309" s="5" t="n"/>
      <c r="B309" s="5" t="n"/>
      <c r="C309" s="5" t="n"/>
      <c r="D309" s="5" t="n"/>
      <c r="E309" s="8" t="n"/>
      <c r="F309" s="5" t="n"/>
      <c r="G309" s="5" t="n"/>
      <c r="H309" s="5" t="n"/>
      <c r="I309" s="5" t="n"/>
    </row>
    <row r="310">
      <c r="A310" s="5" t="n"/>
      <c r="B310" s="5" t="n"/>
      <c r="C310" s="5" t="n"/>
      <c r="D310" s="5" t="n"/>
      <c r="E310" s="8" t="n"/>
      <c r="F310" s="5" t="n"/>
      <c r="G310" s="5" t="n"/>
      <c r="H310" s="5" t="n"/>
      <c r="I310" s="5" t="n"/>
    </row>
    <row r="311">
      <c r="A311" s="5" t="n"/>
      <c r="B311" s="5" t="n"/>
      <c r="C311" s="5" t="n"/>
      <c r="D311" s="5" t="n"/>
      <c r="E311" s="8" t="n"/>
      <c r="F311" s="5" t="n"/>
      <c r="G311" s="5" t="n"/>
      <c r="H311" s="5" t="n"/>
      <c r="I311" s="5" t="n"/>
    </row>
    <row r="312">
      <c r="A312" s="5" t="n"/>
      <c r="B312" s="5" t="n"/>
      <c r="C312" s="5" t="n"/>
      <c r="D312" s="5" t="n"/>
      <c r="E312" s="8" t="n"/>
      <c r="F312" s="5" t="n"/>
      <c r="G312" s="5" t="n"/>
      <c r="H312" s="5" t="n"/>
      <c r="I312" s="5" t="n"/>
    </row>
    <row r="313">
      <c r="A313" s="5" t="n"/>
      <c r="B313" s="5" t="n"/>
      <c r="C313" s="5" t="n"/>
      <c r="D313" s="5" t="n"/>
      <c r="E313" s="8" t="n"/>
      <c r="F313" s="5" t="n"/>
      <c r="G313" s="5" t="n"/>
      <c r="H313" s="5" t="n"/>
      <c r="I313" s="5" t="n"/>
    </row>
    <row r="314">
      <c r="A314" s="5" t="n"/>
      <c r="B314" s="5" t="n"/>
      <c r="C314" s="5" t="n"/>
      <c r="D314" s="5" t="n"/>
      <c r="E314" s="8" t="n"/>
      <c r="F314" s="5" t="n"/>
      <c r="G314" s="5" t="n"/>
      <c r="H314" s="5" t="n"/>
      <c r="I314" s="5" t="n"/>
    </row>
    <row r="315">
      <c r="A315" s="5" t="n"/>
      <c r="B315" s="5" t="n"/>
      <c r="C315" s="5" t="n"/>
      <c r="D315" s="5" t="n"/>
      <c r="E315" s="8" t="n"/>
      <c r="F315" s="5" t="n"/>
      <c r="G315" s="5" t="n"/>
      <c r="H315" s="5" t="n"/>
      <c r="I315" s="5" t="n"/>
    </row>
    <row r="316">
      <c r="A316" s="5" t="n"/>
      <c r="B316" s="5" t="n"/>
      <c r="C316" s="5" t="n"/>
      <c r="D316" s="5" t="n"/>
      <c r="E316" s="8" t="n"/>
      <c r="F316" s="5" t="n"/>
      <c r="G316" s="5" t="n"/>
      <c r="H316" s="5" t="n"/>
      <c r="I316" s="5" t="n"/>
    </row>
    <row r="317">
      <c r="A317" s="5" t="n"/>
      <c r="B317" s="5" t="n"/>
      <c r="C317" s="5" t="n"/>
      <c r="D317" s="5" t="n"/>
      <c r="E317" s="8" t="n"/>
      <c r="F317" s="5" t="n"/>
      <c r="G317" s="5" t="n"/>
      <c r="H317" s="5" t="n"/>
      <c r="I317" s="5" t="n"/>
    </row>
    <row r="318">
      <c r="A318" s="5" t="n"/>
      <c r="B318" s="5" t="n"/>
      <c r="C318" s="5" t="n"/>
      <c r="D318" s="5" t="n"/>
      <c r="E318" s="8" t="n"/>
      <c r="F318" s="5" t="n"/>
      <c r="G318" s="5" t="n"/>
      <c r="H318" s="5" t="n"/>
      <c r="I318" s="5" t="n"/>
    </row>
    <row r="319">
      <c r="A319" s="5" t="n"/>
      <c r="B319" s="5" t="n"/>
      <c r="C319" s="5" t="n"/>
      <c r="D319" s="5" t="n"/>
      <c r="E319" s="8" t="n"/>
      <c r="F319" s="5" t="n"/>
      <c r="G319" s="5" t="n"/>
      <c r="H319" s="5" t="n"/>
      <c r="I319" s="5" t="n"/>
    </row>
    <row r="320">
      <c r="A320" s="5" t="n"/>
      <c r="B320" s="5" t="n"/>
      <c r="C320" s="5" t="n"/>
      <c r="D320" s="5" t="n"/>
      <c r="E320" s="8" t="n"/>
      <c r="F320" s="5" t="n"/>
      <c r="G320" s="5" t="n"/>
      <c r="H320" s="5" t="n"/>
      <c r="I320" s="5" t="n"/>
    </row>
    <row r="321">
      <c r="A321" s="5" t="n"/>
      <c r="B321" s="5" t="n"/>
      <c r="C321" s="5" t="n"/>
      <c r="D321" s="5" t="n"/>
      <c r="E321" s="8" t="n"/>
      <c r="F321" s="5" t="n"/>
      <c r="G321" s="5" t="n"/>
      <c r="H321" s="5" t="n"/>
      <c r="I321" s="5" t="n"/>
    </row>
    <row r="322">
      <c r="A322" s="5" t="n"/>
      <c r="B322" s="5" t="n"/>
      <c r="C322" s="5" t="n"/>
      <c r="D322" s="5" t="n"/>
      <c r="E322" s="8" t="n"/>
      <c r="F322" s="5" t="n"/>
      <c r="G322" s="5" t="n"/>
      <c r="H322" s="5" t="n"/>
      <c r="I322" s="5" t="n"/>
    </row>
    <row r="323">
      <c r="A323" s="5" t="n"/>
      <c r="B323" s="5" t="n"/>
      <c r="C323" s="5" t="n"/>
      <c r="D323" s="5" t="n"/>
      <c r="E323" s="8" t="n"/>
      <c r="F323" s="5" t="n"/>
      <c r="G323" s="5" t="n"/>
      <c r="H323" s="5" t="n"/>
      <c r="I323" s="5" t="n"/>
    </row>
    <row r="324">
      <c r="A324" s="5" t="n"/>
      <c r="B324" s="5" t="n"/>
      <c r="C324" s="5" t="n"/>
      <c r="D324" s="5" t="n"/>
      <c r="E324" s="8" t="n"/>
      <c r="F324" s="5" t="n"/>
      <c r="G324" s="5" t="n"/>
      <c r="H324" s="5" t="n"/>
      <c r="I324" s="5" t="n"/>
    </row>
    <row r="325">
      <c r="A325" s="5" t="n"/>
      <c r="B325" s="5" t="n"/>
      <c r="C325" s="5" t="n"/>
      <c r="D325" s="5" t="n"/>
      <c r="E325" s="8" t="n"/>
      <c r="F325" s="5" t="n"/>
      <c r="G325" s="5" t="n"/>
      <c r="H325" s="5" t="n"/>
      <c r="I325" s="5" t="n"/>
    </row>
    <row r="326">
      <c r="A326" s="5" t="n"/>
      <c r="B326" s="5" t="n"/>
      <c r="C326" s="5" t="n"/>
      <c r="D326" s="5" t="n"/>
      <c r="E326" s="8" t="n"/>
      <c r="F326" s="5" t="n"/>
      <c r="G326" s="5" t="n"/>
      <c r="H326" s="5" t="n"/>
      <c r="I326" s="5" t="n"/>
    </row>
    <row r="327">
      <c r="A327" s="5" t="n"/>
      <c r="B327" s="5" t="n"/>
      <c r="C327" s="5" t="n"/>
      <c r="D327" s="5" t="n"/>
      <c r="E327" s="8" t="n"/>
      <c r="F327" s="5" t="n"/>
      <c r="G327" s="5" t="n"/>
      <c r="H327" s="5" t="n"/>
      <c r="I327" s="5" t="n"/>
    </row>
    <row r="328">
      <c r="A328" s="5" t="n"/>
      <c r="B328" s="5" t="n"/>
      <c r="C328" s="5" t="n"/>
      <c r="D328" s="5" t="n"/>
      <c r="E328" s="8" t="n"/>
      <c r="F328" s="5" t="n"/>
      <c r="G328" s="5" t="n"/>
      <c r="H328" s="5" t="n"/>
      <c r="I328" s="5" t="n"/>
    </row>
    <row r="329">
      <c r="A329" s="5" t="n"/>
      <c r="B329" s="5" t="n"/>
      <c r="C329" s="5" t="n"/>
      <c r="D329" s="5" t="n"/>
      <c r="E329" s="8" t="n"/>
      <c r="F329" s="5" t="n"/>
      <c r="G329" s="5" t="n"/>
      <c r="H329" s="5" t="n"/>
      <c r="I329" s="5" t="n"/>
    </row>
    <row r="330">
      <c r="A330" s="5" t="n"/>
      <c r="B330" s="5" t="n"/>
      <c r="C330" s="5" t="n"/>
      <c r="D330" s="5" t="n"/>
      <c r="E330" s="8" t="n"/>
      <c r="F330" s="5" t="n"/>
      <c r="G330" s="5" t="n"/>
      <c r="H330" s="5" t="n"/>
      <c r="I330" s="5" t="n"/>
    </row>
    <row r="331">
      <c r="A331" s="5" t="n"/>
      <c r="B331" s="5" t="n"/>
      <c r="C331" s="5" t="n"/>
      <c r="D331" s="5" t="n"/>
      <c r="E331" s="8" t="n"/>
      <c r="F331" s="5" t="n"/>
      <c r="G331" s="5" t="n"/>
      <c r="H331" s="5" t="n"/>
      <c r="I331" s="5" t="n"/>
    </row>
    <row r="332">
      <c r="A332" s="5" t="n"/>
      <c r="B332" s="5" t="n"/>
      <c r="C332" s="5" t="n"/>
      <c r="D332" s="5" t="n"/>
      <c r="E332" s="8" t="n"/>
      <c r="F332" s="5" t="n"/>
      <c r="G332" s="5" t="n"/>
      <c r="H332" s="5" t="n"/>
      <c r="I332" s="5" t="n"/>
    </row>
    <row r="333">
      <c r="A333" s="5" t="n"/>
      <c r="B333" s="5" t="n"/>
      <c r="C333" s="5" t="n"/>
      <c r="D333" s="5" t="n"/>
      <c r="E333" s="8" t="n"/>
      <c r="F333" s="5" t="n"/>
      <c r="G333" s="5" t="n"/>
      <c r="H333" s="5" t="n"/>
      <c r="I333" s="5" t="n"/>
    </row>
    <row r="334">
      <c r="A334" s="5" t="n"/>
      <c r="B334" s="5" t="n"/>
      <c r="C334" s="5" t="n"/>
      <c r="D334" s="5" t="n"/>
      <c r="E334" s="8" t="n"/>
      <c r="F334" s="5" t="n"/>
      <c r="G334" s="5" t="n"/>
      <c r="H334" s="5" t="n"/>
      <c r="I334" s="5" t="n"/>
    </row>
    <row r="335">
      <c r="A335" s="5" t="n"/>
      <c r="B335" s="5" t="n"/>
      <c r="C335" s="5" t="n"/>
      <c r="D335" s="5" t="n"/>
      <c r="E335" s="8" t="n"/>
      <c r="F335" s="5" t="n"/>
      <c r="G335" s="5" t="n"/>
      <c r="H335" s="5" t="n"/>
      <c r="I335" s="5" t="n"/>
    </row>
    <row r="336">
      <c r="A336" s="5" t="n"/>
      <c r="B336" s="5" t="n"/>
      <c r="C336" s="5" t="n"/>
      <c r="D336" s="5" t="n"/>
      <c r="E336" s="8" t="n"/>
      <c r="F336" s="5" t="n"/>
      <c r="G336" s="5" t="n"/>
      <c r="H336" s="5" t="n"/>
      <c r="I336" s="5" t="n"/>
    </row>
    <row r="337">
      <c r="A337" s="5" t="n"/>
      <c r="B337" s="5" t="n"/>
      <c r="C337" s="5" t="n"/>
      <c r="D337" s="5" t="n"/>
      <c r="E337" s="8" t="n"/>
      <c r="F337" s="5" t="n"/>
      <c r="G337" s="5" t="n"/>
      <c r="H337" s="5" t="n"/>
      <c r="I337" s="5" t="n"/>
    </row>
    <row r="338">
      <c r="A338" s="5" t="n"/>
      <c r="B338" s="5" t="n"/>
      <c r="C338" s="5" t="n"/>
      <c r="D338" s="5" t="n"/>
      <c r="E338" s="8" t="n"/>
      <c r="F338" s="5" t="n"/>
      <c r="G338" s="5" t="n"/>
      <c r="H338" s="5" t="n"/>
      <c r="I338" s="5" t="n"/>
    </row>
    <row r="339">
      <c r="A339" s="5" t="n"/>
      <c r="B339" s="5" t="n"/>
      <c r="C339" s="5" t="n"/>
      <c r="D339" s="5" t="n"/>
      <c r="E339" s="8" t="n"/>
      <c r="F339" s="5" t="n"/>
      <c r="G339" s="5" t="n"/>
      <c r="H339" s="5" t="n"/>
      <c r="I339" s="5" t="n"/>
    </row>
    <row r="340">
      <c r="A340" s="5" t="n"/>
      <c r="B340" s="5" t="n"/>
      <c r="C340" s="5" t="n"/>
      <c r="D340" s="5" t="n"/>
      <c r="E340" s="8" t="n"/>
      <c r="F340" s="5" t="n"/>
      <c r="G340" s="5" t="n"/>
      <c r="H340" s="5" t="n"/>
      <c r="I340" s="5" t="n"/>
    </row>
    <row r="341">
      <c r="A341" s="5" t="n"/>
      <c r="B341" s="5" t="n"/>
      <c r="C341" s="5" t="n"/>
      <c r="D341" s="5" t="n"/>
      <c r="E341" s="8" t="n"/>
      <c r="F341" s="5" t="n"/>
      <c r="G341" s="5" t="n"/>
      <c r="H341" s="5" t="n"/>
      <c r="I341" s="5" t="n"/>
    </row>
    <row r="342">
      <c r="A342" s="5" t="n"/>
      <c r="B342" s="5" t="n"/>
      <c r="C342" s="5" t="n"/>
      <c r="D342" s="5" t="n"/>
      <c r="E342" s="8" t="n"/>
      <c r="F342" s="5" t="n"/>
      <c r="G342" s="5" t="n"/>
      <c r="H342" s="5" t="n"/>
      <c r="I342" s="5" t="n"/>
    </row>
    <row r="343">
      <c r="A343" s="5" t="n"/>
      <c r="B343" s="5" t="n"/>
      <c r="C343" s="5" t="n"/>
      <c r="D343" s="5" t="n"/>
      <c r="E343" s="8" t="n"/>
      <c r="F343" s="5" t="n"/>
      <c r="G343" s="5" t="n"/>
      <c r="H343" s="5" t="n"/>
      <c r="I343" s="5" t="n"/>
    </row>
    <row r="344">
      <c r="A344" s="5" t="n"/>
      <c r="B344" s="5" t="n"/>
      <c r="C344" s="5" t="n"/>
      <c r="D344" s="5" t="n"/>
      <c r="E344" s="8" t="n"/>
      <c r="F344" s="5" t="n"/>
      <c r="G344" s="5" t="n"/>
      <c r="H344" s="5" t="n"/>
      <c r="I344" s="5" t="n"/>
    </row>
    <row r="345">
      <c r="A345" s="5" t="n"/>
      <c r="B345" s="5" t="n"/>
      <c r="C345" s="5" t="n"/>
      <c r="D345" s="5" t="n"/>
      <c r="E345" s="8" t="n"/>
      <c r="F345" s="5" t="n"/>
      <c r="G345" s="5" t="n"/>
      <c r="H345" s="5" t="n"/>
      <c r="I345" s="5" t="n"/>
    </row>
    <row r="346">
      <c r="A346" s="5" t="n"/>
      <c r="B346" s="5" t="n"/>
      <c r="C346" s="5" t="n"/>
      <c r="D346" s="5" t="n"/>
      <c r="E346" s="8" t="n"/>
      <c r="F346" s="5" t="n"/>
      <c r="G346" s="5" t="n"/>
      <c r="H346" s="5" t="n"/>
      <c r="I346" s="5" t="n"/>
    </row>
    <row r="347">
      <c r="A347" s="5" t="n"/>
      <c r="B347" s="5" t="n"/>
      <c r="C347" s="5" t="n"/>
      <c r="D347" s="5" t="n"/>
      <c r="E347" s="8" t="n"/>
      <c r="F347" s="5" t="n"/>
      <c r="G347" s="5" t="n"/>
      <c r="H347" s="5" t="n"/>
      <c r="I347" s="5" t="n"/>
    </row>
    <row r="348">
      <c r="A348" s="5" t="n"/>
      <c r="B348" s="5" t="n"/>
      <c r="C348" s="5" t="n"/>
      <c r="D348" s="5" t="n"/>
      <c r="E348" s="8" t="n"/>
      <c r="F348" s="5" t="n"/>
      <c r="G348" s="5" t="n"/>
      <c r="H348" s="5" t="n"/>
      <c r="I348" s="5" t="n"/>
    </row>
    <row r="349">
      <c r="A349" s="5" t="n"/>
      <c r="B349" s="5" t="n"/>
      <c r="C349" s="5" t="n"/>
      <c r="D349" s="5" t="n"/>
      <c r="E349" s="8" t="n"/>
      <c r="F349" s="5" t="n"/>
      <c r="G349" s="5" t="n"/>
      <c r="H349" s="5" t="n"/>
      <c r="I349" s="5" t="n"/>
    </row>
    <row r="350">
      <c r="A350" s="5" t="n"/>
      <c r="B350" s="5" t="n"/>
      <c r="C350" s="5" t="n"/>
      <c r="D350" s="5" t="n"/>
      <c r="E350" s="8" t="n"/>
      <c r="F350" s="5" t="n"/>
      <c r="G350" s="5" t="n"/>
      <c r="H350" s="5" t="n"/>
      <c r="I350" s="5" t="n"/>
    </row>
    <row r="351">
      <c r="A351" s="5" t="n"/>
      <c r="B351" s="5" t="n"/>
      <c r="C351" s="5" t="n"/>
      <c r="D351" s="5" t="n"/>
      <c r="E351" s="8" t="n"/>
      <c r="F351" s="5" t="n"/>
      <c r="G351" s="5" t="n"/>
      <c r="H351" s="5" t="n"/>
      <c r="I351" s="5" t="n"/>
    </row>
    <row r="352">
      <c r="A352" s="5" t="n"/>
      <c r="B352" s="5" t="n"/>
      <c r="C352" s="5" t="n"/>
      <c r="D352" s="5" t="n"/>
      <c r="E352" s="8" t="n"/>
      <c r="F352" s="5" t="n"/>
      <c r="G352" s="5" t="n"/>
      <c r="H352" s="5" t="n"/>
      <c r="I352" s="5" t="n"/>
    </row>
    <row r="353">
      <c r="A353" s="5" t="n"/>
      <c r="B353" s="5" t="n"/>
      <c r="C353" s="5" t="n"/>
      <c r="D353" s="5" t="n"/>
      <c r="E353" s="8" t="n"/>
      <c r="F353" s="5" t="n"/>
      <c r="G353" s="5" t="n"/>
      <c r="H353" s="5" t="n"/>
      <c r="I353" s="5" t="n"/>
    </row>
    <row r="354">
      <c r="A354" s="5" t="n"/>
      <c r="B354" s="5" t="n"/>
      <c r="C354" s="5" t="n"/>
      <c r="D354" s="5" t="n"/>
      <c r="E354" s="8" t="n"/>
      <c r="F354" s="5" t="n"/>
      <c r="G354" s="5" t="n"/>
      <c r="H354" s="5" t="n"/>
      <c r="I354" s="5" t="n"/>
    </row>
    <row r="355">
      <c r="A355" s="5" t="n"/>
      <c r="B355" s="5" t="n"/>
      <c r="C355" s="5" t="n"/>
      <c r="D355" s="5" t="n"/>
      <c r="E355" s="8" t="n"/>
      <c r="F355" s="5" t="n"/>
      <c r="G355" s="5" t="n"/>
      <c r="H355" s="5" t="n"/>
      <c r="I355" s="5" t="n"/>
    </row>
    <row r="356">
      <c r="A356" s="5" t="n"/>
      <c r="B356" s="5" t="n"/>
      <c r="C356" s="5" t="n"/>
      <c r="D356" s="5" t="n"/>
      <c r="E356" s="8" t="n"/>
      <c r="F356" s="5" t="n"/>
      <c r="G356" s="5" t="n"/>
      <c r="H356" s="5" t="n"/>
      <c r="I356" s="5" t="n"/>
    </row>
    <row r="357">
      <c r="A357" s="5" t="n"/>
      <c r="B357" s="5" t="n"/>
      <c r="C357" s="5" t="n"/>
      <c r="D357" s="5" t="n"/>
      <c r="E357" s="8" t="n"/>
      <c r="F357" s="5" t="n"/>
      <c r="G357" s="5" t="n"/>
      <c r="H357" s="5" t="n"/>
      <c r="I357" s="5" t="n"/>
    </row>
    <row r="358">
      <c r="A358" s="5" t="n"/>
      <c r="B358" s="5" t="n"/>
      <c r="C358" s="5" t="n"/>
      <c r="D358" s="5" t="n"/>
      <c r="E358" s="8" t="n"/>
      <c r="F358" s="5" t="n"/>
      <c r="G358" s="5" t="n"/>
      <c r="H358" s="5" t="n"/>
      <c r="I358" s="5" t="n"/>
    </row>
    <row r="359">
      <c r="A359" s="5" t="n"/>
      <c r="B359" s="5" t="n"/>
      <c r="C359" s="5" t="n"/>
      <c r="D359" s="5" t="n"/>
      <c r="E359" s="8" t="n"/>
      <c r="F359" s="5" t="n"/>
      <c r="G359" s="5" t="n"/>
      <c r="H359" s="5" t="n"/>
      <c r="I359" s="5" t="n"/>
    </row>
    <row r="360">
      <c r="A360" s="5" t="n"/>
      <c r="B360" s="5" t="n"/>
      <c r="C360" s="5" t="n"/>
      <c r="D360" s="5" t="n"/>
      <c r="E360" s="8" t="n"/>
      <c r="F360" s="5" t="n"/>
      <c r="G360" s="5" t="n"/>
      <c r="H360" s="5" t="n"/>
      <c r="I360" s="5" t="n"/>
    </row>
    <row r="361">
      <c r="A361" s="5" t="n"/>
      <c r="B361" s="5" t="n"/>
      <c r="C361" s="5" t="n"/>
      <c r="D361" s="5" t="n"/>
      <c r="E361" s="8" t="n"/>
      <c r="F361" s="5" t="n"/>
      <c r="G361" s="5" t="n"/>
      <c r="H361" s="5" t="n"/>
      <c r="I361" s="5" t="n"/>
    </row>
    <row r="362">
      <c r="A362" s="5" t="n"/>
      <c r="B362" s="5" t="n"/>
      <c r="C362" s="5" t="n"/>
      <c r="D362" s="5" t="n"/>
      <c r="E362" s="8" t="n"/>
      <c r="F362" s="5" t="n"/>
      <c r="G362" s="5" t="n"/>
      <c r="H362" s="5" t="n"/>
      <c r="I362" s="5" t="n"/>
    </row>
    <row r="363">
      <c r="A363" s="5" t="n"/>
      <c r="B363" s="5" t="n"/>
      <c r="C363" s="5" t="n"/>
      <c r="D363" s="5" t="n"/>
      <c r="E363" s="8" t="n"/>
      <c r="F363" s="5" t="n"/>
      <c r="G363" s="5" t="n"/>
      <c r="H363" s="5" t="n"/>
      <c r="I363" s="5" t="n"/>
    </row>
    <row r="364">
      <c r="A364" s="5" t="n"/>
      <c r="B364" s="5" t="n"/>
      <c r="C364" s="5" t="n"/>
      <c r="D364" s="5" t="n"/>
      <c r="E364" s="8" t="n"/>
      <c r="F364" s="5" t="n"/>
      <c r="G364" s="5" t="n"/>
      <c r="H364" s="5" t="n"/>
      <c r="I364" s="5" t="n"/>
    </row>
    <row r="365">
      <c r="A365" s="5" t="n"/>
      <c r="B365" s="5" t="n"/>
      <c r="C365" s="5" t="n"/>
      <c r="D365" s="5" t="n"/>
      <c r="E365" s="8" t="n"/>
      <c r="F365" s="5" t="n"/>
      <c r="G365" s="5" t="n"/>
      <c r="H365" s="5" t="n"/>
      <c r="I365" s="5" t="n"/>
    </row>
    <row r="366">
      <c r="A366" s="5" t="n"/>
      <c r="B366" s="5" t="n"/>
      <c r="C366" s="5" t="n"/>
      <c r="D366" s="5" t="n"/>
      <c r="E366" s="8" t="n"/>
      <c r="F366" s="5" t="n"/>
      <c r="G366" s="5" t="n"/>
      <c r="H366" s="5" t="n"/>
      <c r="I366" s="5" t="n"/>
    </row>
    <row r="367">
      <c r="A367" s="5" t="n"/>
      <c r="B367" s="5" t="n"/>
      <c r="C367" s="5" t="n"/>
      <c r="D367" s="5" t="n"/>
      <c r="E367" s="8" t="n"/>
      <c r="F367" s="5" t="n"/>
      <c r="G367" s="5" t="n"/>
      <c r="H367" s="5" t="n"/>
      <c r="I367" s="5" t="n"/>
    </row>
    <row r="368">
      <c r="A368" s="5" t="n"/>
      <c r="B368" s="5" t="n"/>
      <c r="C368" s="5" t="n"/>
      <c r="D368" s="5" t="n"/>
      <c r="E368" s="8" t="n"/>
      <c r="F368" s="5" t="n"/>
      <c r="G368" s="5" t="n"/>
      <c r="H368" s="5" t="n"/>
      <c r="I368" s="5" t="n"/>
    </row>
    <row r="369">
      <c r="A369" s="5" t="n"/>
      <c r="B369" s="5" t="n"/>
      <c r="C369" s="5" t="n"/>
      <c r="D369" s="5" t="n"/>
      <c r="E369" s="8" t="n"/>
      <c r="F369" s="5" t="n"/>
      <c r="G369" s="5" t="n"/>
      <c r="H369" s="5" t="n"/>
      <c r="I369" s="5" t="n"/>
    </row>
    <row r="370">
      <c r="A370" s="5" t="n"/>
      <c r="B370" s="5" t="n"/>
      <c r="C370" s="5" t="n"/>
      <c r="D370" s="5" t="n"/>
      <c r="E370" s="8" t="n"/>
      <c r="F370" s="5" t="n"/>
      <c r="G370" s="5" t="n"/>
      <c r="H370" s="5" t="n"/>
      <c r="I370" s="5" t="n"/>
    </row>
    <row r="371">
      <c r="A371" s="5" t="n"/>
      <c r="B371" s="5" t="n"/>
      <c r="C371" s="5" t="n"/>
      <c r="D371" s="5" t="n"/>
      <c r="E371" s="8" t="n"/>
      <c r="F371" s="5" t="n"/>
      <c r="G371" s="5" t="n"/>
      <c r="H371" s="5" t="n"/>
      <c r="I371" s="5" t="n"/>
    </row>
    <row r="372">
      <c r="A372" s="5" t="n"/>
      <c r="B372" s="5" t="n"/>
      <c r="C372" s="5" t="n"/>
      <c r="D372" s="5" t="n"/>
      <c r="E372" s="8" t="n"/>
      <c r="F372" s="5" t="n"/>
      <c r="G372" s="5" t="n"/>
      <c r="H372" s="5" t="n"/>
      <c r="I372" s="5" t="n"/>
    </row>
    <row r="373">
      <c r="A373" s="5" t="n"/>
      <c r="B373" s="5" t="n"/>
      <c r="C373" s="5" t="n"/>
      <c r="D373" s="5" t="n"/>
      <c r="E373" s="8" t="n"/>
      <c r="F373" s="5" t="n"/>
      <c r="G373" s="5" t="n"/>
      <c r="H373" s="5" t="n"/>
      <c r="I373" s="5" t="n"/>
    </row>
    <row r="374">
      <c r="A374" s="5" t="n"/>
      <c r="B374" s="5" t="n"/>
      <c r="C374" s="5" t="n"/>
      <c r="D374" s="5" t="n"/>
      <c r="E374" s="8" t="n"/>
      <c r="F374" s="5" t="n"/>
      <c r="G374" s="5" t="n"/>
      <c r="H374" s="5" t="n"/>
      <c r="I374" s="5" t="n"/>
    </row>
    <row r="375">
      <c r="A375" s="5" t="n"/>
      <c r="B375" s="5" t="n"/>
      <c r="C375" s="5" t="n"/>
      <c r="D375" s="5" t="n"/>
      <c r="E375" s="8" t="n"/>
      <c r="F375" s="5" t="n"/>
      <c r="G375" s="5" t="n"/>
      <c r="H375" s="5" t="n"/>
      <c r="I375" s="5" t="n"/>
    </row>
    <row r="376">
      <c r="A376" s="5" t="n"/>
      <c r="B376" s="5" t="n"/>
      <c r="C376" s="5" t="n"/>
      <c r="D376" s="5" t="n"/>
      <c r="E376" s="8" t="n"/>
      <c r="F376" s="5" t="n"/>
      <c r="G376" s="5" t="n"/>
      <c r="H376" s="5" t="n"/>
      <c r="I376" s="5" t="n"/>
    </row>
    <row r="377">
      <c r="A377" s="5" t="n"/>
      <c r="B377" s="5" t="n"/>
      <c r="C377" s="5" t="n"/>
      <c r="D377" s="5" t="n"/>
      <c r="E377" s="8" t="n"/>
      <c r="F377" s="5" t="n"/>
      <c r="G377" s="5" t="n"/>
      <c r="H377" s="5" t="n"/>
      <c r="I377" s="5" t="n"/>
    </row>
    <row r="378">
      <c r="A378" s="5" t="n"/>
      <c r="B378" s="5" t="n"/>
      <c r="C378" s="5" t="n"/>
      <c r="D378" s="5" t="n"/>
      <c r="E378" s="8" t="n"/>
      <c r="F378" s="5" t="n"/>
      <c r="G378" s="5" t="n"/>
      <c r="H378" s="5" t="n"/>
      <c r="I378" s="5" t="n"/>
    </row>
    <row r="379">
      <c r="A379" s="5" t="n"/>
      <c r="B379" s="5" t="n"/>
      <c r="C379" s="5" t="n"/>
      <c r="D379" s="5" t="n"/>
      <c r="E379" s="8" t="n"/>
      <c r="F379" s="5" t="n"/>
      <c r="G379" s="5" t="n"/>
      <c r="H379" s="5" t="n"/>
      <c r="I379" s="5" t="n"/>
    </row>
    <row r="380">
      <c r="A380" s="5" t="n"/>
      <c r="B380" s="5" t="n"/>
      <c r="C380" s="5" t="n"/>
      <c r="D380" s="5" t="n"/>
      <c r="E380" s="8" t="n"/>
      <c r="F380" s="5" t="n"/>
      <c r="G380" s="5" t="n"/>
      <c r="H380" s="5" t="n"/>
      <c r="I380" s="5" t="n"/>
    </row>
    <row r="381">
      <c r="A381" s="5" t="n"/>
      <c r="B381" s="5" t="n"/>
      <c r="C381" s="5" t="n"/>
      <c r="D381" s="5" t="n"/>
      <c r="E381" s="8" t="n"/>
      <c r="F381" s="5" t="n"/>
      <c r="G381" s="5" t="n"/>
      <c r="H381" s="5" t="n"/>
      <c r="I381" s="5" t="n"/>
    </row>
    <row r="382">
      <c r="A382" s="5" t="n"/>
      <c r="B382" s="5" t="n"/>
      <c r="C382" s="5" t="n"/>
      <c r="D382" s="5" t="n"/>
      <c r="E382" s="8" t="n"/>
      <c r="F382" s="5" t="n"/>
      <c r="G382" s="5" t="n"/>
      <c r="H382" s="5" t="n"/>
      <c r="I382" s="5" t="n"/>
    </row>
    <row r="383">
      <c r="A383" s="5" t="n"/>
      <c r="B383" s="5" t="n"/>
      <c r="C383" s="5" t="n"/>
      <c r="D383" s="5" t="n"/>
      <c r="E383" s="8" t="n"/>
      <c r="F383" s="5" t="n"/>
      <c r="G383" s="5" t="n"/>
      <c r="H383" s="5" t="n"/>
      <c r="I383" s="5" t="n"/>
    </row>
    <row r="384">
      <c r="A384" s="5" t="n"/>
      <c r="B384" s="5" t="n"/>
      <c r="C384" s="5" t="n"/>
      <c r="D384" s="5" t="n"/>
      <c r="E384" s="8" t="n"/>
      <c r="F384" s="5" t="n"/>
      <c r="G384" s="5" t="n"/>
      <c r="H384" s="5" t="n"/>
      <c r="I384" s="5" t="n"/>
    </row>
    <row r="385">
      <c r="A385" s="5" t="n"/>
      <c r="B385" s="5" t="n"/>
      <c r="C385" s="5" t="n"/>
      <c r="D385" s="5" t="n"/>
      <c r="E385" s="8" t="n"/>
      <c r="F385" s="5" t="n"/>
      <c r="G385" s="5" t="n"/>
      <c r="H385" s="5" t="n"/>
      <c r="I385" s="5" t="n"/>
    </row>
    <row r="386">
      <c r="A386" s="5" t="n"/>
      <c r="B386" s="5" t="n"/>
      <c r="C386" s="5" t="n"/>
      <c r="D386" s="5" t="n"/>
      <c r="E386" s="8" t="n"/>
      <c r="F386" s="5" t="n"/>
      <c r="G386" s="5" t="n"/>
      <c r="H386" s="5" t="n"/>
      <c r="I386" s="5" t="n"/>
    </row>
    <row r="387">
      <c r="A387" s="5" t="n"/>
      <c r="B387" s="5" t="n"/>
      <c r="C387" s="5" t="n"/>
      <c r="D387" s="5" t="n"/>
      <c r="E387" s="8" t="n"/>
      <c r="F387" s="5" t="n"/>
      <c r="G387" s="5" t="n"/>
      <c r="H387" s="5" t="n"/>
      <c r="I387" s="5" t="n"/>
    </row>
    <row r="388">
      <c r="A388" s="5" t="n"/>
      <c r="B388" s="5" t="n"/>
      <c r="C388" s="5" t="n"/>
      <c r="D388" s="5" t="n"/>
      <c r="E388" s="8" t="n"/>
      <c r="F388" s="5" t="n"/>
      <c r="G388" s="5" t="n"/>
      <c r="H388" s="5" t="n"/>
      <c r="I388" s="5" t="n"/>
    </row>
    <row r="389">
      <c r="A389" s="5" t="n"/>
      <c r="B389" s="5" t="n"/>
      <c r="C389" s="5" t="n"/>
      <c r="D389" s="5" t="n"/>
      <c r="E389" s="8" t="n"/>
      <c r="F389" s="5" t="n"/>
      <c r="G389" s="5" t="n"/>
      <c r="H389" s="5" t="n"/>
      <c r="I389" s="5" t="n"/>
    </row>
    <row r="390">
      <c r="A390" s="5" t="n"/>
      <c r="B390" s="5" t="n"/>
      <c r="C390" s="5" t="n"/>
      <c r="D390" s="5" t="n"/>
      <c r="E390" s="8" t="n"/>
      <c r="F390" s="5" t="n"/>
      <c r="G390" s="5" t="n"/>
      <c r="H390" s="5" t="n"/>
      <c r="I390" s="5" t="n"/>
    </row>
    <row r="391">
      <c r="A391" s="5" t="n"/>
      <c r="B391" s="5" t="n"/>
      <c r="C391" s="5" t="n"/>
      <c r="D391" s="5" t="n"/>
      <c r="E391" s="8" t="n"/>
      <c r="F391" s="5" t="n"/>
      <c r="G391" s="5" t="n"/>
      <c r="H391" s="5" t="n"/>
      <c r="I391" s="5" t="n"/>
    </row>
    <row r="392">
      <c r="A392" s="5" t="n"/>
      <c r="B392" s="5" t="n"/>
      <c r="C392" s="5" t="n"/>
      <c r="D392" s="5" t="n"/>
      <c r="E392" s="8" t="n"/>
      <c r="F392" s="5" t="n"/>
      <c r="G392" s="5" t="n"/>
      <c r="H392" s="5" t="n"/>
      <c r="I392" s="5" t="n"/>
    </row>
    <row r="393">
      <c r="A393" s="5" t="n"/>
      <c r="B393" s="5" t="n"/>
      <c r="C393" s="5" t="n"/>
      <c r="D393" s="5" t="n"/>
      <c r="E393" s="8" t="n"/>
      <c r="F393" s="5" t="n"/>
      <c r="G393" s="5" t="n"/>
      <c r="H393" s="5" t="n"/>
      <c r="I393" s="5" t="n"/>
    </row>
    <row r="394">
      <c r="A394" s="5" t="n"/>
      <c r="B394" s="5" t="n"/>
      <c r="C394" s="5" t="n"/>
      <c r="D394" s="5" t="n"/>
      <c r="E394" s="8" t="n"/>
      <c r="F394" s="5" t="n"/>
      <c r="G394" s="5" t="n"/>
      <c r="H394" s="5" t="n"/>
      <c r="I394" s="5" t="n"/>
    </row>
    <row r="395">
      <c r="A395" s="5" t="n"/>
      <c r="B395" s="5" t="n"/>
      <c r="C395" s="5" t="n"/>
      <c r="D395" s="5" t="n"/>
      <c r="E395" s="8" t="n"/>
      <c r="F395" s="5" t="n"/>
      <c r="G395" s="5" t="n"/>
      <c r="H395" s="5" t="n"/>
      <c r="I395" s="5" t="n"/>
    </row>
    <row r="396">
      <c r="A396" s="5" t="n"/>
      <c r="B396" s="5" t="n"/>
      <c r="C396" s="5" t="n"/>
      <c r="D396" s="5" t="n"/>
      <c r="E396" s="8" t="n"/>
      <c r="F396" s="5" t="n"/>
      <c r="G396" s="5" t="n"/>
      <c r="H396" s="5" t="n"/>
      <c r="I396" s="5" t="n"/>
    </row>
    <row r="397">
      <c r="A397" s="5" t="n"/>
      <c r="B397" s="5" t="n"/>
      <c r="C397" s="5" t="n"/>
      <c r="D397" s="5" t="n"/>
      <c r="E397" s="8" t="n"/>
      <c r="F397" s="5" t="n"/>
      <c r="G397" s="5" t="n"/>
      <c r="H397" s="5" t="n"/>
      <c r="I397" s="5" t="n"/>
    </row>
    <row r="398">
      <c r="A398" s="5" t="n"/>
      <c r="B398" s="5" t="n"/>
      <c r="C398" s="5" t="n"/>
      <c r="D398" s="5" t="n"/>
      <c r="E398" s="8" t="n"/>
      <c r="F398" s="5" t="n"/>
      <c r="G398" s="5" t="n"/>
      <c r="H398" s="5" t="n"/>
      <c r="I398" s="5" t="n"/>
    </row>
    <row r="399">
      <c r="A399" s="5" t="n"/>
      <c r="B399" s="5" t="n"/>
      <c r="C399" s="5" t="n"/>
      <c r="D399" s="5" t="n"/>
      <c r="E399" s="8" t="n"/>
      <c r="F399" s="5" t="n"/>
      <c r="G399" s="5" t="n"/>
      <c r="H399" s="5" t="n"/>
      <c r="I399" s="5" t="n"/>
    </row>
    <row r="400">
      <c r="A400" s="5" t="n"/>
      <c r="B400" s="5" t="n"/>
      <c r="C400" s="5" t="n"/>
      <c r="D400" s="5" t="n"/>
      <c r="E400" s="8" t="n"/>
      <c r="F400" s="5" t="n"/>
      <c r="G400" s="5" t="n"/>
      <c r="H400" s="5" t="n"/>
      <c r="I400" s="5" t="n"/>
    </row>
    <row r="401">
      <c r="A401" s="5" t="n"/>
      <c r="B401" s="5" t="n"/>
      <c r="C401" s="5" t="n"/>
      <c r="D401" s="5" t="n"/>
      <c r="E401" s="8" t="n"/>
      <c r="F401" s="5" t="n"/>
      <c r="G401" s="5" t="n"/>
      <c r="H401" s="5" t="n"/>
      <c r="I401" s="5" t="n"/>
    </row>
    <row r="402">
      <c r="A402" s="5" t="n"/>
      <c r="B402" s="5" t="n"/>
      <c r="C402" s="5" t="n"/>
      <c r="D402" s="5" t="n"/>
      <c r="E402" s="8" t="n"/>
      <c r="F402" s="5" t="n"/>
      <c r="G402" s="5" t="n"/>
      <c r="H402" s="5" t="n"/>
      <c r="I402" s="5" t="n"/>
    </row>
    <row r="403">
      <c r="A403" s="5" t="n"/>
      <c r="B403" s="5" t="n"/>
      <c r="C403" s="5" t="n"/>
      <c r="D403" s="5" t="n"/>
      <c r="E403" s="8" t="n"/>
      <c r="F403" s="5" t="n"/>
      <c r="G403" s="5" t="n"/>
      <c r="H403" s="5" t="n"/>
      <c r="I403" s="5" t="n"/>
    </row>
    <row r="404">
      <c r="A404" s="5" t="n"/>
      <c r="B404" s="5" t="n"/>
      <c r="C404" s="5" t="n"/>
      <c r="D404" s="5" t="n"/>
      <c r="E404" s="8" t="n"/>
      <c r="F404" s="5" t="n"/>
      <c r="G404" s="5" t="n"/>
      <c r="H404" s="5" t="n"/>
      <c r="I404" s="5" t="n"/>
    </row>
    <row r="405">
      <c r="A405" s="5" t="n"/>
      <c r="B405" s="5" t="n"/>
      <c r="C405" s="5" t="n"/>
      <c r="D405" s="5" t="n"/>
      <c r="E405" s="8" t="n"/>
      <c r="F405" s="5" t="n"/>
      <c r="G405" s="5" t="n"/>
      <c r="H405" s="5" t="n"/>
      <c r="I405" s="5" t="n"/>
    </row>
    <row r="406">
      <c r="A406" s="5" t="n"/>
      <c r="B406" s="5" t="n"/>
      <c r="C406" s="5" t="n"/>
      <c r="D406" s="5" t="n"/>
      <c r="E406" s="8" t="n"/>
      <c r="F406" s="5" t="n"/>
      <c r="G406" s="5" t="n"/>
      <c r="H406" s="5" t="n"/>
      <c r="I406" s="5" t="n"/>
    </row>
    <row r="407">
      <c r="A407" s="5" t="n"/>
      <c r="B407" s="5" t="n"/>
      <c r="C407" s="5" t="n"/>
      <c r="D407" s="5" t="n"/>
      <c r="E407" s="8" t="n"/>
      <c r="F407" s="5" t="n"/>
      <c r="G407" s="5" t="n"/>
      <c r="H407" s="5" t="n"/>
      <c r="I407" s="5" t="n"/>
    </row>
    <row r="408">
      <c r="A408" s="5" t="n"/>
      <c r="B408" s="5" t="n"/>
      <c r="C408" s="5" t="n"/>
      <c r="D408" s="5" t="n"/>
      <c r="E408" s="8" t="n"/>
      <c r="F408" s="5" t="n"/>
      <c r="G408" s="5" t="n"/>
      <c r="H408" s="5" t="n"/>
      <c r="I408" s="5" t="n"/>
    </row>
    <row r="409">
      <c r="A409" s="5" t="n"/>
      <c r="B409" s="5" t="n"/>
      <c r="C409" s="5" t="n"/>
      <c r="D409" s="5" t="n"/>
      <c r="E409" s="8" t="n"/>
      <c r="F409" s="5" t="n"/>
      <c r="G409" s="5" t="n"/>
      <c r="H409" s="5" t="n"/>
      <c r="I409" s="5" t="n"/>
    </row>
    <row r="410">
      <c r="A410" s="5" t="n"/>
      <c r="B410" s="5" t="n"/>
      <c r="C410" s="5" t="n"/>
      <c r="D410" s="5" t="n"/>
      <c r="E410" s="8" t="n"/>
      <c r="F410" s="5" t="n"/>
      <c r="G410" s="5" t="n"/>
      <c r="H410" s="5" t="n"/>
      <c r="I410" s="5" t="n"/>
    </row>
    <row r="411">
      <c r="A411" s="5" t="n"/>
      <c r="B411" s="5" t="n"/>
      <c r="C411" s="5" t="n"/>
      <c r="D411" s="5" t="n"/>
      <c r="E411" s="8" t="n"/>
      <c r="F411" s="5" t="n"/>
      <c r="G411" s="5" t="n"/>
      <c r="H411" s="5" t="n"/>
      <c r="I411" s="5" t="n"/>
    </row>
    <row r="412">
      <c r="A412" s="5" t="n"/>
      <c r="B412" s="5" t="n"/>
      <c r="C412" s="5" t="n"/>
      <c r="D412" s="5" t="n"/>
      <c r="E412" s="8" t="n"/>
      <c r="F412" s="5" t="n"/>
      <c r="G412" s="5" t="n"/>
      <c r="H412" s="5" t="n"/>
      <c r="I412" s="5" t="n"/>
    </row>
    <row r="413">
      <c r="A413" s="5" t="n"/>
      <c r="B413" s="5" t="n"/>
      <c r="C413" s="5" t="n"/>
      <c r="D413" s="5" t="n"/>
      <c r="E413" s="8" t="n"/>
      <c r="F413" s="5" t="n"/>
      <c r="G413" s="5" t="n"/>
      <c r="H413" s="5" t="n"/>
      <c r="I413" s="5" t="n"/>
    </row>
    <row r="414">
      <c r="A414" s="5" t="n"/>
      <c r="B414" s="5" t="n"/>
      <c r="C414" s="5" t="n"/>
      <c r="D414" s="5" t="n"/>
      <c r="E414" s="8" t="n"/>
      <c r="F414" s="5" t="n"/>
      <c r="G414" s="5" t="n"/>
      <c r="H414" s="5" t="n"/>
      <c r="I414" s="5" t="n"/>
    </row>
    <row r="415">
      <c r="A415" s="5" t="n"/>
      <c r="B415" s="5" t="n"/>
      <c r="C415" s="5" t="n"/>
      <c r="D415" s="5" t="n"/>
      <c r="E415" s="8" t="n"/>
      <c r="F415" s="5" t="n"/>
      <c r="G415" s="5" t="n"/>
      <c r="H415" s="5" t="n"/>
      <c r="I415" s="5" t="n"/>
    </row>
    <row r="416">
      <c r="A416" s="5" t="n"/>
      <c r="B416" s="5" t="n"/>
      <c r="C416" s="5" t="n"/>
      <c r="D416" s="5" t="n"/>
      <c r="E416" s="8" t="n"/>
      <c r="F416" s="5" t="n"/>
      <c r="G416" s="5" t="n"/>
      <c r="H416" s="5" t="n"/>
      <c r="I416" s="5" t="n"/>
    </row>
    <row r="417">
      <c r="A417" s="5" t="n"/>
      <c r="B417" s="5" t="n"/>
      <c r="C417" s="5" t="n"/>
      <c r="D417" s="5" t="n"/>
      <c r="E417" s="8" t="n"/>
      <c r="F417" s="5" t="n"/>
      <c r="G417" s="5" t="n"/>
      <c r="H417" s="5" t="n"/>
      <c r="I417" s="5" t="n"/>
    </row>
    <row r="418">
      <c r="A418" s="5" t="n"/>
      <c r="B418" s="5" t="n"/>
      <c r="C418" s="5" t="n"/>
      <c r="D418" s="5" t="n"/>
      <c r="E418" s="8" t="n"/>
      <c r="F418" s="5" t="n"/>
      <c r="G418" s="5" t="n"/>
      <c r="H418" s="5" t="n"/>
      <c r="I418" s="5" t="n"/>
    </row>
    <row r="419">
      <c r="A419" s="5" t="n"/>
      <c r="B419" s="5" t="n"/>
      <c r="C419" s="5" t="n"/>
      <c r="D419" s="5" t="n"/>
      <c r="E419" s="8" t="n"/>
      <c r="F419" s="5" t="n"/>
      <c r="G419" s="5" t="n"/>
      <c r="H419" s="5" t="n"/>
      <c r="I419" s="5" t="n"/>
    </row>
    <row r="420">
      <c r="A420" s="5" t="n"/>
      <c r="B420" s="5" t="n"/>
      <c r="C420" s="5" t="n"/>
      <c r="D420" s="5" t="n"/>
      <c r="E420" s="8" t="n"/>
      <c r="F420" s="5" t="n"/>
      <c r="G420" s="5" t="n"/>
      <c r="H420" s="5" t="n"/>
      <c r="I420" s="5" t="n"/>
    </row>
    <row r="421">
      <c r="A421" s="5" t="n"/>
      <c r="B421" s="5" t="n"/>
      <c r="C421" s="5" t="n"/>
      <c r="D421" s="5" t="n"/>
      <c r="E421" s="8" t="n"/>
      <c r="F421" s="5" t="n"/>
      <c r="G421" s="5" t="n"/>
      <c r="H421" s="5" t="n"/>
      <c r="I421" s="5" t="n"/>
    </row>
    <row r="422">
      <c r="A422" s="5" t="n"/>
      <c r="B422" s="5" t="n"/>
      <c r="C422" s="5" t="n"/>
      <c r="D422" s="5" t="n"/>
      <c r="E422" s="8" t="n"/>
      <c r="F422" s="5" t="n"/>
      <c r="G422" s="5" t="n"/>
      <c r="H422" s="5" t="n"/>
      <c r="I422" s="5" t="n"/>
    </row>
    <row r="423">
      <c r="A423" s="5" t="n"/>
      <c r="B423" s="5" t="n"/>
      <c r="C423" s="5" t="n"/>
      <c r="D423" s="5" t="n"/>
      <c r="E423" s="8" t="n"/>
      <c r="F423" s="5" t="n"/>
      <c r="G423" s="5" t="n"/>
      <c r="H423" s="5" t="n"/>
      <c r="I423" s="5" t="n"/>
    </row>
    <row r="424">
      <c r="A424" s="5" t="n"/>
      <c r="B424" s="5" t="n"/>
      <c r="C424" s="5" t="n"/>
      <c r="D424" s="5" t="n"/>
      <c r="E424" s="8" t="n"/>
      <c r="F424" s="5" t="n"/>
      <c r="G424" s="5" t="n"/>
      <c r="H424" s="5" t="n"/>
      <c r="I424" s="5" t="n"/>
    </row>
    <row r="425">
      <c r="A425" s="5" t="n"/>
      <c r="B425" s="5" t="n"/>
      <c r="C425" s="5" t="n"/>
      <c r="D425" s="5" t="n"/>
      <c r="E425" s="8" t="n"/>
      <c r="F425" s="5" t="n"/>
      <c r="G425" s="5" t="n"/>
      <c r="H425" s="5" t="n"/>
      <c r="I425" s="5" t="n"/>
    </row>
    <row r="426">
      <c r="A426" s="5" t="n"/>
      <c r="B426" s="5" t="n"/>
      <c r="C426" s="5" t="n"/>
      <c r="D426" s="5" t="n"/>
      <c r="E426" s="8" t="n"/>
      <c r="F426" s="5" t="n"/>
      <c r="G426" s="5" t="n"/>
      <c r="H426" s="5" t="n"/>
      <c r="I426" s="5" t="n"/>
    </row>
    <row r="427">
      <c r="A427" s="5" t="n"/>
      <c r="B427" s="5" t="n"/>
      <c r="C427" s="5" t="n"/>
      <c r="D427" s="5" t="n"/>
      <c r="E427" s="8" t="n"/>
      <c r="F427" s="5" t="n"/>
      <c r="G427" s="5" t="n"/>
      <c r="H427" s="5" t="n"/>
      <c r="I427" s="5" t="n"/>
    </row>
    <row r="428">
      <c r="A428" s="5" t="n"/>
      <c r="B428" s="5" t="n"/>
      <c r="C428" s="5" t="n"/>
      <c r="D428" s="5" t="n"/>
      <c r="E428" s="8" t="n"/>
      <c r="F428" s="5" t="n"/>
      <c r="G428" s="5" t="n"/>
      <c r="H428" s="5" t="n"/>
      <c r="I428" s="5" t="n"/>
    </row>
    <row r="429">
      <c r="A429" s="5" t="n"/>
      <c r="B429" s="5" t="n"/>
      <c r="C429" s="5" t="n"/>
      <c r="D429" s="5" t="n"/>
      <c r="E429" s="8" t="n"/>
      <c r="F429" s="5" t="n"/>
      <c r="G429" s="5" t="n"/>
      <c r="H429" s="5" t="n"/>
      <c r="I429" s="5" t="n"/>
    </row>
    <row r="430">
      <c r="A430" s="5" t="n"/>
      <c r="B430" s="5" t="n"/>
      <c r="C430" s="5" t="n"/>
      <c r="D430" s="5" t="n"/>
      <c r="E430" s="8" t="n"/>
      <c r="F430" s="5" t="n"/>
      <c r="G430" s="5" t="n"/>
      <c r="H430" s="5" t="n"/>
      <c r="I430" s="5" t="n"/>
    </row>
    <row r="431">
      <c r="A431" s="5" t="n"/>
      <c r="B431" s="5" t="n"/>
      <c r="C431" s="5" t="n"/>
      <c r="D431" s="5" t="n"/>
      <c r="E431" s="8" t="n"/>
      <c r="F431" s="5" t="n"/>
      <c r="G431" s="5" t="n"/>
      <c r="H431" s="5" t="n"/>
      <c r="I431" s="5" t="n"/>
    </row>
    <row r="432">
      <c r="A432" s="5" t="n"/>
      <c r="B432" s="5" t="n"/>
      <c r="C432" s="5" t="n"/>
      <c r="D432" s="5" t="n"/>
      <c r="E432" s="8" t="n"/>
      <c r="F432" s="5" t="n"/>
      <c r="G432" s="5" t="n"/>
      <c r="H432" s="5" t="n"/>
      <c r="I432" s="5" t="n"/>
    </row>
    <row r="433">
      <c r="A433" s="5" t="n"/>
      <c r="B433" s="5" t="n"/>
      <c r="C433" s="5" t="n"/>
      <c r="D433" s="5" t="n"/>
      <c r="E433" s="8" t="n"/>
      <c r="F433" s="5" t="n"/>
      <c r="G433" s="5" t="n"/>
      <c r="H433" s="5" t="n"/>
      <c r="I433" s="5" t="n"/>
    </row>
    <row r="434">
      <c r="A434" s="5" t="n"/>
      <c r="B434" s="5" t="n"/>
      <c r="C434" s="5" t="n"/>
      <c r="D434" s="5" t="n"/>
      <c r="E434" s="8" t="n"/>
      <c r="F434" s="5" t="n"/>
      <c r="G434" s="5" t="n"/>
      <c r="H434" s="5" t="n"/>
      <c r="I434" s="5" t="n"/>
    </row>
    <row r="435">
      <c r="A435" s="5" t="n"/>
      <c r="B435" s="5" t="n"/>
      <c r="C435" s="5" t="n"/>
      <c r="D435" s="5" t="n"/>
      <c r="E435" s="8" t="n"/>
      <c r="F435" s="5" t="n"/>
      <c r="G435" s="5" t="n"/>
      <c r="H435" s="5" t="n"/>
      <c r="I435" s="5" t="n"/>
    </row>
    <row r="436">
      <c r="A436" s="5" t="n"/>
      <c r="B436" s="5" t="n"/>
      <c r="C436" s="5" t="n"/>
      <c r="D436" s="5" t="n"/>
      <c r="E436" s="8" t="n"/>
      <c r="F436" s="5" t="n"/>
      <c r="G436" s="5" t="n"/>
      <c r="H436" s="5" t="n"/>
      <c r="I436" s="5" t="n"/>
    </row>
    <row r="437">
      <c r="A437" s="5" t="n"/>
      <c r="B437" s="5" t="n"/>
      <c r="C437" s="5" t="n"/>
      <c r="D437" s="5" t="n"/>
      <c r="E437" s="8" t="n"/>
      <c r="F437" s="5" t="n"/>
      <c r="G437" s="5" t="n"/>
      <c r="H437" s="5" t="n"/>
      <c r="I437" s="5" t="n"/>
    </row>
    <row r="438">
      <c r="A438" s="5" t="n"/>
      <c r="B438" s="5" t="n"/>
      <c r="C438" s="5" t="n"/>
      <c r="D438" s="5" t="n"/>
      <c r="E438" s="8" t="n"/>
      <c r="F438" s="5" t="n"/>
      <c r="G438" s="5" t="n"/>
      <c r="H438" s="5" t="n"/>
      <c r="I438" s="5" t="n"/>
    </row>
    <row r="439">
      <c r="A439" s="5" t="n"/>
      <c r="B439" s="5" t="n"/>
      <c r="C439" s="5" t="n"/>
      <c r="D439" s="5" t="n"/>
      <c r="E439" s="8" t="n"/>
      <c r="F439" s="5" t="n"/>
      <c r="G439" s="5" t="n"/>
      <c r="H439" s="5" t="n"/>
      <c r="I439" s="5" t="n"/>
    </row>
    <row r="440">
      <c r="A440" s="5" t="n"/>
      <c r="B440" s="5" t="n"/>
      <c r="C440" s="5" t="n"/>
      <c r="D440" s="5" t="n"/>
      <c r="E440" s="8" t="n"/>
      <c r="F440" s="5" t="n"/>
      <c r="G440" s="5" t="n"/>
      <c r="H440" s="5" t="n"/>
      <c r="I440" s="5" t="n"/>
    </row>
    <row r="441">
      <c r="A441" s="5" t="n"/>
      <c r="B441" s="5" t="n"/>
      <c r="C441" s="5" t="n"/>
      <c r="D441" s="5" t="n"/>
      <c r="E441" s="8" t="n"/>
      <c r="F441" s="5" t="n"/>
      <c r="G441" s="5" t="n"/>
      <c r="H441" s="5" t="n"/>
      <c r="I441" s="5" t="n"/>
    </row>
    <row r="442">
      <c r="A442" s="5" t="n"/>
      <c r="B442" s="5" t="n"/>
      <c r="C442" s="5" t="n"/>
      <c r="D442" s="5" t="n"/>
      <c r="E442" s="8" t="n"/>
      <c r="F442" s="5" t="n"/>
      <c r="G442" s="5" t="n"/>
      <c r="H442" s="5" t="n"/>
      <c r="I442" s="5" t="n"/>
    </row>
    <row r="443">
      <c r="A443" s="5" t="n"/>
      <c r="B443" s="5" t="n"/>
      <c r="C443" s="5" t="n"/>
      <c r="D443" s="5" t="n"/>
      <c r="E443" s="8" t="n"/>
      <c r="F443" s="5" t="n"/>
      <c r="G443" s="5" t="n"/>
      <c r="H443" s="5" t="n"/>
      <c r="I443" s="5" t="n"/>
    </row>
    <row r="444">
      <c r="A444" s="5" t="n"/>
      <c r="B444" s="5" t="n"/>
      <c r="C444" s="5" t="n"/>
      <c r="D444" s="5" t="n"/>
      <c r="E444" s="8" t="n"/>
      <c r="F444" s="5" t="n"/>
      <c r="G444" s="5" t="n"/>
      <c r="H444" s="5" t="n"/>
      <c r="I444" s="5" t="n"/>
    </row>
    <row r="445">
      <c r="A445" s="5" t="n"/>
      <c r="B445" s="5" t="n"/>
      <c r="C445" s="5" t="n"/>
      <c r="D445" s="5" t="n"/>
      <c r="E445" s="8" t="n"/>
      <c r="F445" s="5" t="n"/>
      <c r="G445" s="5" t="n"/>
      <c r="H445" s="5" t="n"/>
      <c r="I445" s="5" t="n"/>
    </row>
    <row r="446">
      <c r="A446" s="5" t="n"/>
      <c r="B446" s="5" t="n"/>
      <c r="C446" s="5" t="n"/>
      <c r="D446" s="5" t="n"/>
      <c r="E446" s="8" t="n"/>
      <c r="F446" s="5" t="n"/>
      <c r="G446" s="5" t="n"/>
      <c r="H446" s="5" t="n"/>
      <c r="I446" s="5" t="n"/>
    </row>
    <row r="447">
      <c r="A447" s="5" t="n"/>
      <c r="B447" s="5" t="n"/>
      <c r="C447" s="5" t="n"/>
      <c r="D447" s="5" t="n"/>
      <c r="E447" s="8" t="n"/>
      <c r="F447" s="5" t="n"/>
      <c r="G447" s="5" t="n"/>
      <c r="H447" s="5" t="n"/>
      <c r="I447" s="5" t="n"/>
    </row>
    <row r="448">
      <c r="A448" s="5" t="n"/>
      <c r="B448" s="5" t="n"/>
      <c r="C448" s="5" t="n"/>
      <c r="D448" s="5" t="n"/>
      <c r="E448" s="8" t="n"/>
      <c r="F448" s="5" t="n"/>
      <c r="G448" s="5" t="n"/>
      <c r="H448" s="5" t="n"/>
      <c r="I448" s="5" t="n"/>
    </row>
    <row r="449">
      <c r="A449" s="5" t="n"/>
      <c r="B449" s="5" t="n"/>
      <c r="C449" s="5" t="n"/>
      <c r="D449" s="5" t="n"/>
      <c r="E449" s="8" t="n"/>
      <c r="F449" s="5" t="n"/>
      <c r="G449" s="5" t="n"/>
      <c r="H449" s="5" t="n"/>
      <c r="I449" s="5" t="n"/>
    </row>
    <row r="450">
      <c r="A450" s="5" t="n"/>
      <c r="B450" s="5" t="n"/>
      <c r="C450" s="5" t="n"/>
      <c r="D450" s="5" t="n"/>
      <c r="E450" s="8" t="n"/>
      <c r="F450" s="5" t="n"/>
      <c r="G450" s="5" t="n"/>
      <c r="H450" s="5" t="n"/>
      <c r="I450" s="5" t="n"/>
    </row>
    <row r="451">
      <c r="A451" s="5" t="n"/>
      <c r="B451" s="5" t="n"/>
      <c r="C451" s="5" t="n"/>
      <c r="D451" s="5" t="n"/>
      <c r="E451" s="8" t="n"/>
      <c r="F451" s="5" t="n"/>
      <c r="G451" s="5" t="n"/>
      <c r="H451" s="5" t="n"/>
      <c r="I451" s="5" t="n"/>
    </row>
    <row r="452">
      <c r="A452" s="5" t="n"/>
      <c r="B452" s="5" t="n"/>
      <c r="C452" s="5" t="n"/>
      <c r="D452" s="5" t="n"/>
      <c r="E452" s="8" t="n"/>
      <c r="F452" s="5" t="n"/>
      <c r="G452" s="5" t="n"/>
      <c r="H452" s="5" t="n"/>
      <c r="I452" s="5" t="n"/>
    </row>
    <row r="453">
      <c r="A453" s="5" t="n"/>
      <c r="B453" s="5" t="n"/>
      <c r="C453" s="5" t="n"/>
      <c r="D453" s="5" t="n"/>
      <c r="E453" s="8" t="n"/>
      <c r="F453" s="5" t="n"/>
      <c r="G453" s="5" t="n"/>
      <c r="H453" s="5" t="n"/>
      <c r="I453" s="5" t="n"/>
    </row>
    <row r="454">
      <c r="A454" s="5" t="n"/>
      <c r="B454" s="5" t="n"/>
      <c r="C454" s="5" t="n"/>
      <c r="D454" s="5" t="n"/>
      <c r="E454" s="8" t="n"/>
      <c r="F454" s="5" t="n"/>
      <c r="G454" s="5" t="n"/>
      <c r="H454" s="5" t="n"/>
      <c r="I454" s="5" t="n"/>
    </row>
    <row r="455">
      <c r="A455" s="5" t="n"/>
      <c r="B455" s="5" t="n"/>
      <c r="C455" s="5" t="n"/>
      <c r="D455" s="5" t="n"/>
      <c r="E455" s="8" t="n"/>
      <c r="F455" s="5" t="n"/>
      <c r="G455" s="5" t="n"/>
      <c r="H455" s="5" t="n"/>
      <c r="I455" s="5" t="n"/>
    </row>
    <row r="456">
      <c r="A456" s="5" t="n"/>
      <c r="B456" s="5" t="n"/>
      <c r="C456" s="5" t="n"/>
      <c r="D456" s="5" t="n"/>
      <c r="E456" s="8" t="n"/>
      <c r="F456" s="5" t="n"/>
      <c r="G456" s="5" t="n"/>
      <c r="H456" s="5" t="n"/>
      <c r="I456" s="5" t="n"/>
    </row>
    <row r="457">
      <c r="A457" s="5" t="n"/>
      <c r="B457" s="5" t="n"/>
      <c r="C457" s="5" t="n"/>
      <c r="D457" s="5" t="n"/>
      <c r="E457" s="8" t="n"/>
      <c r="F457" s="5" t="n"/>
      <c r="G457" s="5" t="n"/>
      <c r="H457" s="5" t="n"/>
      <c r="I457" s="5" t="n"/>
    </row>
    <row r="458">
      <c r="A458" s="5" t="n"/>
      <c r="B458" s="5" t="n"/>
      <c r="C458" s="5" t="n"/>
      <c r="D458" s="5" t="n"/>
      <c r="E458" s="8" t="n"/>
      <c r="F458" s="5" t="n"/>
      <c r="G458" s="5" t="n"/>
      <c r="H458" s="5" t="n"/>
      <c r="I458" s="5" t="n"/>
    </row>
    <row r="459">
      <c r="A459" s="5" t="n"/>
      <c r="B459" s="5" t="n"/>
      <c r="C459" s="5" t="n"/>
      <c r="D459" s="5" t="n"/>
      <c r="E459" s="8" t="n"/>
      <c r="F459" s="5" t="n"/>
      <c r="G459" s="5" t="n"/>
      <c r="H459" s="5" t="n"/>
      <c r="I459" s="5" t="n"/>
    </row>
    <row r="460">
      <c r="A460" s="5" t="n"/>
      <c r="B460" s="5" t="n"/>
      <c r="C460" s="5" t="n"/>
      <c r="D460" s="5" t="n"/>
      <c r="E460" s="8" t="n"/>
      <c r="F460" s="5" t="n"/>
      <c r="G460" s="5" t="n"/>
      <c r="H460" s="5" t="n"/>
      <c r="I460" s="5" t="n"/>
    </row>
    <row r="461">
      <c r="A461" s="5" t="n"/>
      <c r="B461" s="5" t="n"/>
      <c r="C461" s="5" t="n"/>
      <c r="D461" s="5" t="n"/>
      <c r="E461" s="8" t="n"/>
      <c r="F461" s="5" t="n"/>
      <c r="G461" s="5" t="n"/>
      <c r="H461" s="5" t="n"/>
      <c r="I461" s="5" t="n"/>
    </row>
    <row r="462">
      <c r="A462" s="5" t="n"/>
      <c r="B462" s="5" t="n"/>
      <c r="C462" s="5" t="n"/>
      <c r="D462" s="5" t="n"/>
      <c r="E462" s="8" t="n"/>
      <c r="F462" s="5" t="n"/>
      <c r="G462" s="5" t="n"/>
      <c r="H462" s="5" t="n"/>
      <c r="I462" s="5" t="n"/>
    </row>
    <row r="463">
      <c r="A463" s="5" t="n"/>
      <c r="B463" s="5" t="n"/>
      <c r="C463" s="5" t="n"/>
      <c r="D463" s="5" t="n"/>
      <c r="E463" s="8" t="n"/>
      <c r="F463" s="5" t="n"/>
      <c r="G463" s="5" t="n"/>
      <c r="H463" s="5" t="n"/>
      <c r="I463" s="5" t="n"/>
    </row>
    <row r="464">
      <c r="A464" s="5" t="n"/>
      <c r="B464" s="5" t="n"/>
      <c r="C464" s="5" t="n"/>
      <c r="D464" s="5" t="n"/>
      <c r="E464" s="8" t="n"/>
      <c r="F464" s="5" t="n"/>
      <c r="G464" s="5" t="n"/>
      <c r="H464" s="5" t="n"/>
      <c r="I464" s="5" t="n"/>
    </row>
    <row r="465">
      <c r="A465" s="5" t="n"/>
      <c r="B465" s="5" t="n"/>
      <c r="C465" s="5" t="n"/>
      <c r="D465" s="5" t="n"/>
      <c r="E465" s="8" t="n"/>
      <c r="F465" s="5" t="n"/>
      <c r="G465" s="5" t="n"/>
      <c r="H465" s="5" t="n"/>
      <c r="I465" s="5" t="n"/>
    </row>
    <row r="466">
      <c r="A466" s="5" t="n"/>
      <c r="B466" s="5" t="n"/>
      <c r="C466" s="5" t="n"/>
      <c r="D466" s="5" t="n"/>
      <c r="E466" s="8" t="n"/>
      <c r="F466" s="5" t="n"/>
      <c r="G466" s="5" t="n"/>
      <c r="H466" s="5" t="n"/>
      <c r="I466" s="5" t="n"/>
    </row>
    <row r="467">
      <c r="A467" s="5" t="n"/>
      <c r="B467" s="5" t="n"/>
      <c r="C467" s="5" t="n"/>
      <c r="D467" s="5" t="n"/>
      <c r="E467" s="8" t="n"/>
      <c r="F467" s="5" t="n"/>
      <c r="G467" s="5" t="n"/>
      <c r="H467" s="5" t="n"/>
      <c r="I467" s="5" t="n"/>
    </row>
    <row r="468">
      <c r="A468" s="5" t="n"/>
      <c r="B468" s="5" t="n"/>
      <c r="C468" s="5" t="n"/>
      <c r="D468" s="5" t="n"/>
      <c r="E468" s="8" t="n"/>
      <c r="F468" s="5" t="n"/>
      <c r="G468" s="5" t="n"/>
      <c r="H468" s="5" t="n"/>
      <c r="I468" s="5" t="n"/>
    </row>
    <row r="469">
      <c r="A469" s="5" t="n"/>
      <c r="B469" s="5" t="n"/>
      <c r="C469" s="5" t="n"/>
      <c r="D469" s="5" t="n"/>
      <c r="E469" s="8" t="n"/>
      <c r="F469" s="5" t="n"/>
      <c r="G469" s="5" t="n"/>
      <c r="H469" s="5" t="n"/>
      <c r="I469" s="5" t="n"/>
    </row>
    <row r="470">
      <c r="A470" s="5" t="n"/>
      <c r="B470" s="5" t="n"/>
      <c r="C470" s="5" t="n"/>
      <c r="D470" s="5" t="n"/>
      <c r="E470" s="8" t="n"/>
      <c r="F470" s="5" t="n"/>
      <c r="G470" s="5" t="n"/>
      <c r="H470" s="5" t="n"/>
      <c r="I470" s="5" t="n"/>
    </row>
    <row r="471">
      <c r="A471" s="5" t="n"/>
      <c r="B471" s="5" t="n"/>
      <c r="C471" s="5" t="n"/>
      <c r="D471" s="5" t="n"/>
      <c r="E471" s="8" t="n"/>
      <c r="F471" s="5" t="n"/>
      <c r="G471" s="5" t="n"/>
      <c r="H471" s="5" t="n"/>
      <c r="I471" s="5" t="n"/>
    </row>
    <row r="472">
      <c r="A472" s="5" t="n"/>
      <c r="B472" s="5" t="n"/>
      <c r="C472" s="5" t="n"/>
      <c r="D472" s="5" t="n"/>
      <c r="E472" s="8" t="n"/>
      <c r="F472" s="5" t="n"/>
      <c r="G472" s="5" t="n"/>
      <c r="H472" s="5" t="n"/>
      <c r="I472" s="5" t="n"/>
    </row>
    <row r="473">
      <c r="A473" s="5" t="n"/>
      <c r="B473" s="5" t="n"/>
      <c r="C473" s="5" t="n"/>
      <c r="D473" s="5" t="n"/>
      <c r="E473" s="8" t="n"/>
      <c r="F473" s="5" t="n"/>
      <c r="G473" s="5" t="n"/>
      <c r="H473" s="5" t="n"/>
      <c r="I473" s="5" t="n"/>
    </row>
    <row r="474">
      <c r="A474" s="5" t="n"/>
      <c r="B474" s="5" t="n"/>
      <c r="C474" s="5" t="n"/>
      <c r="D474" s="5" t="n"/>
      <c r="E474" s="8" t="n"/>
      <c r="F474" s="5" t="n"/>
      <c r="G474" s="5" t="n"/>
      <c r="H474" s="5" t="n"/>
      <c r="I474" s="5" t="n"/>
    </row>
    <row r="475">
      <c r="A475" s="5" t="n"/>
      <c r="B475" s="5" t="n"/>
      <c r="C475" s="5" t="n"/>
      <c r="D475" s="5" t="n"/>
      <c r="E475" s="8" t="n"/>
      <c r="F475" s="5" t="n"/>
      <c r="G475" s="5" t="n"/>
      <c r="H475" s="5" t="n"/>
      <c r="I475" s="5" t="n"/>
    </row>
    <row r="476">
      <c r="A476" s="5" t="n"/>
      <c r="B476" s="5" t="n"/>
      <c r="C476" s="5" t="n"/>
      <c r="D476" s="5" t="n"/>
      <c r="E476" s="8" t="n"/>
      <c r="F476" s="5" t="n"/>
      <c r="G476" s="5" t="n"/>
      <c r="H476" s="5" t="n"/>
      <c r="I476" s="5" t="n"/>
    </row>
    <row r="477">
      <c r="A477" s="5" t="n"/>
      <c r="B477" s="5" t="n"/>
      <c r="C477" s="5" t="n"/>
      <c r="D477" s="5" t="n"/>
      <c r="E477" s="8" t="n"/>
      <c r="F477" s="5" t="n"/>
      <c r="G477" s="5" t="n"/>
      <c r="H477" s="5" t="n"/>
      <c r="I477" s="5" t="n"/>
    </row>
    <row r="478">
      <c r="A478" s="5" t="n"/>
      <c r="B478" s="5" t="n"/>
      <c r="C478" s="5" t="n"/>
      <c r="D478" s="5" t="n"/>
      <c r="E478" s="8" t="n"/>
      <c r="F478" s="5" t="n"/>
      <c r="G478" s="5" t="n"/>
      <c r="H478" s="5" t="n"/>
      <c r="I478" s="5" t="n"/>
    </row>
    <row r="479">
      <c r="A479" s="5" t="n"/>
      <c r="B479" s="5" t="n"/>
      <c r="C479" s="5" t="n"/>
      <c r="D479" s="5" t="n"/>
      <c r="E479" s="8" t="n"/>
      <c r="F479" s="5" t="n"/>
      <c r="G479" s="5" t="n"/>
      <c r="H479" s="5" t="n"/>
      <c r="I479" s="5" t="n"/>
    </row>
    <row r="480">
      <c r="A480" s="5" t="n"/>
      <c r="B480" s="5" t="n"/>
      <c r="C480" s="5" t="n"/>
      <c r="D480" s="5" t="n"/>
      <c r="E480" s="8" t="n"/>
      <c r="F480" s="5" t="n"/>
      <c r="G480" s="5" t="n"/>
      <c r="H480" s="5" t="n"/>
      <c r="I480" s="5" t="n"/>
    </row>
    <row r="481">
      <c r="A481" s="5" t="n"/>
      <c r="B481" s="5" t="n"/>
      <c r="C481" s="5" t="n"/>
      <c r="D481" s="5" t="n"/>
      <c r="E481" s="8" t="n"/>
      <c r="F481" s="5" t="n"/>
      <c r="G481" s="5" t="n"/>
      <c r="H481" s="5" t="n"/>
      <c r="I481" s="5" t="n"/>
    </row>
    <row r="482">
      <c r="A482" s="5" t="n"/>
      <c r="B482" s="5" t="n"/>
      <c r="C482" s="5" t="n"/>
      <c r="D482" s="5" t="n"/>
      <c r="E482" s="8" t="n"/>
      <c r="F482" s="5" t="n"/>
      <c r="G482" s="5" t="n"/>
      <c r="H482" s="5" t="n"/>
      <c r="I482" s="5" t="n"/>
    </row>
    <row r="483">
      <c r="A483" s="5" t="n"/>
      <c r="B483" s="5" t="n"/>
      <c r="C483" s="5" t="n"/>
      <c r="D483" s="5" t="n"/>
      <c r="E483" s="8" t="n"/>
      <c r="F483" s="5" t="n"/>
      <c r="G483" s="5" t="n"/>
      <c r="H483" s="5" t="n"/>
      <c r="I483" s="5" t="n"/>
    </row>
    <row r="484">
      <c r="A484" s="5" t="n"/>
      <c r="B484" s="5" t="n"/>
      <c r="C484" s="5" t="n"/>
      <c r="D484" s="5" t="n"/>
      <c r="E484" s="8" t="n"/>
      <c r="F484" s="5" t="n"/>
      <c r="G484" s="5" t="n"/>
      <c r="H484" s="5" t="n"/>
      <c r="I484" s="5" t="n"/>
    </row>
    <row r="485">
      <c r="A485" s="5" t="n"/>
      <c r="B485" s="5" t="n"/>
      <c r="C485" s="5" t="n"/>
      <c r="D485" s="5" t="n"/>
      <c r="E485" s="8" t="n"/>
      <c r="F485" s="5" t="n"/>
      <c r="G485" s="5" t="n"/>
      <c r="H485" s="5" t="n"/>
      <c r="I485" s="5" t="n"/>
    </row>
    <row r="486">
      <c r="A486" s="5" t="n"/>
      <c r="B486" s="5" t="n"/>
      <c r="C486" s="5" t="n"/>
      <c r="D486" s="5" t="n"/>
      <c r="E486" s="8" t="n"/>
      <c r="F486" s="5" t="n"/>
      <c r="G486" s="5" t="n"/>
      <c r="H486" s="5" t="n"/>
      <c r="I486" s="5" t="n"/>
    </row>
    <row r="487">
      <c r="A487" s="5" t="n"/>
      <c r="B487" s="5" t="n"/>
      <c r="C487" s="5" t="n"/>
      <c r="D487" s="5" t="n"/>
      <c r="E487" s="8" t="n"/>
      <c r="F487" s="5" t="n"/>
      <c r="G487" s="5" t="n"/>
      <c r="H487" s="5" t="n"/>
      <c r="I487" s="5" t="n"/>
    </row>
    <row r="488">
      <c r="A488" s="5" t="n"/>
      <c r="B488" s="5" t="n"/>
      <c r="C488" s="5" t="n"/>
      <c r="D488" s="5" t="n"/>
      <c r="E488" s="8" t="n"/>
      <c r="F488" s="5" t="n"/>
      <c r="G488" s="5" t="n"/>
      <c r="H488" s="5" t="n"/>
      <c r="I488" s="5" t="n"/>
    </row>
    <row r="489">
      <c r="A489" s="5" t="n"/>
      <c r="B489" s="5" t="n"/>
      <c r="C489" s="5" t="n"/>
      <c r="D489" s="5" t="n"/>
      <c r="E489" s="8" t="n"/>
      <c r="F489" s="5" t="n"/>
      <c r="G489" s="5" t="n"/>
      <c r="H489" s="5" t="n"/>
      <c r="I489" s="5" t="n"/>
    </row>
    <row r="490">
      <c r="A490" s="5" t="n"/>
      <c r="B490" s="5" t="n"/>
      <c r="C490" s="5" t="n"/>
      <c r="D490" s="5" t="n"/>
      <c r="E490" s="8" t="n"/>
      <c r="F490" s="5" t="n"/>
      <c r="G490" s="5" t="n"/>
      <c r="H490" s="5" t="n"/>
      <c r="I490" s="5" t="n"/>
    </row>
    <row r="491">
      <c r="A491" s="5" t="n"/>
      <c r="B491" s="5" t="n"/>
      <c r="C491" s="5" t="n"/>
      <c r="D491" s="5" t="n"/>
      <c r="E491" s="8" t="n"/>
      <c r="F491" s="5" t="n"/>
      <c r="G491" s="5" t="n"/>
      <c r="H491" s="5" t="n"/>
      <c r="I491" s="5" t="n"/>
    </row>
    <row r="492">
      <c r="A492" s="5" t="n"/>
      <c r="B492" s="5" t="n"/>
      <c r="C492" s="5" t="n"/>
      <c r="D492" s="5" t="n"/>
      <c r="E492" s="8" t="n"/>
      <c r="F492" s="5" t="n"/>
      <c r="G492" s="5" t="n"/>
      <c r="H492" s="5" t="n"/>
      <c r="I492" s="5" t="n"/>
    </row>
    <row r="493">
      <c r="A493" s="5" t="n"/>
      <c r="B493" s="5" t="n"/>
      <c r="C493" s="5" t="n"/>
      <c r="D493" s="5" t="n"/>
      <c r="E493" s="8" t="n"/>
      <c r="F493" s="5" t="n"/>
      <c r="G493" s="5" t="n"/>
      <c r="H493" s="5" t="n"/>
      <c r="I493" s="5" t="n"/>
    </row>
    <row r="494">
      <c r="A494" s="5" t="n"/>
      <c r="B494" s="5" t="n"/>
      <c r="C494" s="5" t="n"/>
      <c r="D494" s="5" t="n"/>
      <c r="E494" s="8" t="n"/>
      <c r="F494" s="5" t="n"/>
      <c r="G494" s="5" t="n"/>
      <c r="H494" s="5" t="n"/>
      <c r="I494" s="5" t="n"/>
    </row>
    <row r="495">
      <c r="A495" s="5" t="n"/>
      <c r="B495" s="5" t="n"/>
      <c r="C495" s="5" t="n"/>
      <c r="D495" s="5" t="n"/>
      <c r="E495" s="8" t="n"/>
      <c r="F495" s="5" t="n"/>
      <c r="G495" s="5" t="n"/>
      <c r="H495" s="5" t="n"/>
      <c r="I495" s="5" t="n"/>
    </row>
    <row r="496">
      <c r="A496" s="5" t="n"/>
      <c r="B496" s="5" t="n"/>
      <c r="C496" s="5" t="n"/>
      <c r="D496" s="5" t="n"/>
      <c r="E496" s="8" t="n"/>
      <c r="F496" s="5" t="n"/>
      <c r="G496" s="5" t="n"/>
      <c r="H496" s="5" t="n"/>
      <c r="I496" s="5" t="n"/>
    </row>
    <row r="497">
      <c r="A497" s="5" t="n"/>
      <c r="B497" s="5" t="n"/>
      <c r="C497" s="5" t="n"/>
      <c r="D497" s="5" t="n"/>
      <c r="E497" s="8" t="n"/>
      <c r="F497" s="5" t="n"/>
      <c r="G497" s="5" t="n"/>
      <c r="H497" s="5" t="n"/>
      <c r="I497" s="5" t="n"/>
    </row>
    <row r="498">
      <c r="A498" s="5" t="n"/>
      <c r="B498" s="5" t="n"/>
      <c r="C498" s="5" t="n"/>
      <c r="D498" s="5" t="n"/>
      <c r="E498" s="8" t="n"/>
      <c r="F498" s="5" t="n"/>
      <c r="G498" s="5" t="n"/>
      <c r="H498" s="5" t="n"/>
      <c r="I498" s="5" t="n"/>
    </row>
    <row r="499">
      <c r="A499" s="5" t="n"/>
      <c r="B499" s="5" t="n"/>
      <c r="C499" s="5" t="n"/>
      <c r="D499" s="5" t="n"/>
      <c r="E499" s="8" t="n"/>
      <c r="F499" s="5" t="n"/>
      <c r="G499" s="5" t="n"/>
      <c r="H499" s="5" t="n"/>
      <c r="I499" s="5" t="n"/>
    </row>
    <row r="500">
      <c r="A500" s="5" t="n"/>
      <c r="B500" s="5" t="n"/>
      <c r="C500" s="5" t="n"/>
      <c r="D500" s="5" t="n"/>
      <c r="E500" s="8" t="n"/>
      <c r="F500" s="5" t="n"/>
      <c r="G500" s="5" t="n"/>
      <c r="H500" s="5" t="n"/>
      <c r="I500" s="5" t="n"/>
    </row>
    <row r="501">
      <c r="A501" s="5" t="n"/>
      <c r="B501" s="5" t="n"/>
      <c r="C501" s="5" t="n"/>
      <c r="D501" s="5" t="n"/>
      <c r="E501" s="8" t="n"/>
      <c r="F501" s="5" t="n"/>
      <c r="G501" s="5" t="n"/>
      <c r="H501" s="5" t="n"/>
      <c r="I501" s="5" t="n"/>
    </row>
    <row r="502">
      <c r="A502" s="5" t="n"/>
      <c r="B502" s="5" t="n"/>
      <c r="C502" s="5" t="n"/>
      <c r="D502" s="5" t="n"/>
      <c r="E502" s="8" t="n"/>
      <c r="F502" s="5" t="n"/>
      <c r="G502" s="5" t="n"/>
      <c r="H502" s="5" t="n"/>
      <c r="I502" s="5" t="n"/>
    </row>
    <row r="503">
      <c r="A503" s="5" t="n"/>
      <c r="B503" s="5" t="n"/>
      <c r="C503" s="5" t="n"/>
      <c r="D503" s="5" t="n"/>
      <c r="E503" s="8" t="n"/>
      <c r="F503" s="5" t="n"/>
      <c r="G503" s="5" t="n"/>
      <c r="H503" s="5" t="n"/>
      <c r="I503" s="5" t="n"/>
    </row>
    <row r="504">
      <c r="A504" s="5" t="n"/>
      <c r="B504" s="5" t="n"/>
      <c r="C504" s="5" t="n"/>
      <c r="D504" s="5" t="n"/>
      <c r="E504" s="8" t="n"/>
      <c r="F504" s="5" t="n"/>
      <c r="G504" s="5" t="n"/>
      <c r="H504" s="5" t="n"/>
      <c r="I504" s="5" t="n"/>
    </row>
    <row r="505">
      <c r="A505" s="5" t="n"/>
      <c r="B505" s="5" t="n"/>
      <c r="C505" s="5" t="n"/>
      <c r="D505" s="5" t="n"/>
      <c r="E505" s="8" t="n"/>
      <c r="F505" s="5" t="n"/>
      <c r="G505" s="5" t="n"/>
      <c r="H505" s="5" t="n"/>
      <c r="I505" s="5" t="n"/>
    </row>
    <row r="506">
      <c r="A506" s="5" t="n"/>
      <c r="B506" s="5" t="n"/>
      <c r="C506" s="5" t="n"/>
      <c r="D506" s="5" t="n"/>
      <c r="E506" s="8" t="n"/>
      <c r="F506" s="5" t="n"/>
      <c r="G506" s="5" t="n"/>
      <c r="H506" s="5" t="n"/>
      <c r="I506" s="5" t="n"/>
    </row>
    <row r="507">
      <c r="A507" s="5" t="n"/>
      <c r="B507" s="5" t="n"/>
      <c r="C507" s="5" t="n"/>
      <c r="D507" s="5" t="n"/>
      <c r="E507" s="8" t="n"/>
      <c r="F507" s="5" t="n"/>
      <c r="G507" s="5" t="n"/>
      <c r="H507" s="5" t="n"/>
      <c r="I507" s="5" t="n"/>
    </row>
    <row r="508">
      <c r="A508" s="5" t="n"/>
      <c r="B508" s="5" t="n"/>
      <c r="C508" s="5" t="n"/>
      <c r="D508" s="5" t="n"/>
      <c r="E508" s="8" t="n"/>
      <c r="F508" s="5" t="n"/>
      <c r="G508" s="5" t="n"/>
      <c r="H508" s="5" t="n"/>
      <c r="I508" s="5" t="n"/>
    </row>
    <row r="509">
      <c r="A509" s="5" t="n"/>
      <c r="B509" s="5" t="n"/>
      <c r="C509" s="5" t="n"/>
      <c r="D509" s="5" t="n"/>
      <c r="E509" s="8" t="n"/>
      <c r="F509" s="5" t="n"/>
      <c r="G509" s="5" t="n"/>
      <c r="H509" s="5" t="n"/>
      <c r="I509" s="5" t="n"/>
    </row>
    <row r="510">
      <c r="A510" s="5" t="n"/>
      <c r="B510" s="5" t="n"/>
      <c r="C510" s="5" t="n"/>
      <c r="D510" s="5" t="n"/>
      <c r="E510" s="8" t="n"/>
      <c r="F510" s="5" t="n"/>
      <c r="G510" s="5" t="n"/>
      <c r="H510" s="5" t="n"/>
      <c r="I510" s="5" t="n"/>
    </row>
    <row r="511">
      <c r="A511" s="5" t="n"/>
      <c r="B511" s="5" t="n"/>
      <c r="C511" s="5" t="n"/>
      <c r="D511" s="5" t="n"/>
      <c r="E511" s="8" t="n"/>
      <c r="F511" s="5" t="n"/>
      <c r="G511" s="5" t="n"/>
      <c r="H511" s="5" t="n"/>
      <c r="I511" s="5" t="n"/>
    </row>
    <row r="512">
      <c r="A512" s="5" t="n"/>
      <c r="B512" s="5" t="n"/>
      <c r="C512" s="5" t="n"/>
      <c r="D512" s="5" t="n"/>
      <c r="E512" s="8" t="n"/>
      <c r="F512" s="5" t="n"/>
      <c r="G512" s="5" t="n"/>
      <c r="H512" s="5" t="n"/>
      <c r="I512" s="5" t="n"/>
    </row>
    <row r="513">
      <c r="A513" s="5" t="n"/>
      <c r="B513" s="5" t="n"/>
      <c r="C513" s="5" t="n"/>
      <c r="D513" s="5" t="n"/>
      <c r="E513" s="8" t="n"/>
      <c r="F513" s="5" t="n"/>
      <c r="G513" s="5" t="n"/>
      <c r="H513" s="5" t="n"/>
      <c r="I513" s="5" t="n"/>
    </row>
    <row r="514">
      <c r="A514" s="5" t="n"/>
      <c r="B514" s="5" t="n"/>
      <c r="C514" s="5" t="n"/>
      <c r="D514" s="5" t="n"/>
      <c r="E514" s="8" t="n"/>
      <c r="F514" s="5" t="n"/>
      <c r="G514" s="5" t="n"/>
      <c r="H514" s="5" t="n"/>
      <c r="I514" s="5" t="n"/>
    </row>
    <row r="515">
      <c r="A515" s="5" t="n"/>
      <c r="B515" s="5" t="n"/>
      <c r="C515" s="5" t="n"/>
      <c r="D515" s="5" t="n"/>
      <c r="E515" s="8" t="n"/>
      <c r="F515" s="5" t="n"/>
      <c r="G515" s="5" t="n"/>
      <c r="H515" s="5" t="n"/>
      <c r="I515" s="5" t="n"/>
    </row>
    <row r="516">
      <c r="A516" s="5" t="n"/>
      <c r="B516" s="5" t="n"/>
      <c r="C516" s="5" t="n"/>
      <c r="D516" s="5" t="n"/>
      <c r="E516" s="8" t="n"/>
      <c r="F516" s="5" t="n"/>
      <c r="G516" s="5" t="n"/>
      <c r="H516" s="5" t="n"/>
      <c r="I516" s="5" t="n"/>
    </row>
    <row r="517">
      <c r="A517" s="5" t="n"/>
      <c r="B517" s="5" t="n"/>
      <c r="C517" s="5" t="n"/>
      <c r="D517" s="5" t="n"/>
      <c r="E517" s="8" t="n"/>
      <c r="F517" s="5" t="n"/>
      <c r="G517" s="5" t="n"/>
      <c r="H517" s="5" t="n"/>
      <c r="I517" s="5" t="n"/>
    </row>
    <row r="518">
      <c r="A518" s="5" t="n"/>
      <c r="B518" s="5" t="n"/>
      <c r="C518" s="5" t="n"/>
      <c r="D518" s="5" t="n"/>
      <c r="E518" s="8" t="n"/>
      <c r="F518" s="5" t="n"/>
      <c r="G518" s="5" t="n"/>
      <c r="H518" s="5" t="n"/>
      <c r="I518" s="5" t="n"/>
    </row>
    <row r="519">
      <c r="A519" s="5" t="n"/>
      <c r="B519" s="5" t="n"/>
      <c r="C519" s="5" t="n"/>
      <c r="D519" s="5" t="n"/>
      <c r="E519" s="8" t="n"/>
      <c r="F519" s="5" t="n"/>
      <c r="G519" s="5" t="n"/>
      <c r="H519" s="5" t="n"/>
      <c r="I519" s="5" t="n"/>
    </row>
    <row r="520">
      <c r="A520" s="5" t="n"/>
      <c r="B520" s="5" t="n"/>
      <c r="C520" s="5" t="n"/>
      <c r="D520" s="5" t="n"/>
      <c r="E520" s="8" t="n"/>
      <c r="F520" s="5" t="n"/>
      <c r="G520" s="5" t="n"/>
      <c r="H520" s="5" t="n"/>
      <c r="I520" s="5" t="n"/>
    </row>
    <row r="521">
      <c r="A521" s="5" t="n"/>
      <c r="B521" s="5" t="n"/>
      <c r="C521" s="5" t="n"/>
      <c r="D521" s="5" t="n"/>
      <c r="E521" s="8" t="n"/>
      <c r="F521" s="5" t="n"/>
      <c r="G521" s="5" t="n"/>
      <c r="H521" s="5" t="n"/>
      <c r="I521" s="5" t="n"/>
    </row>
    <row r="522">
      <c r="A522" s="5" t="n"/>
      <c r="B522" s="5" t="n"/>
      <c r="C522" s="5" t="n"/>
      <c r="D522" s="5" t="n"/>
      <c r="E522" s="8" t="n"/>
      <c r="F522" s="5" t="n"/>
      <c r="G522" s="5" t="n"/>
      <c r="H522" s="5" t="n"/>
      <c r="I522" s="5" t="n"/>
    </row>
    <row r="523">
      <c r="A523" s="5" t="n"/>
      <c r="B523" s="5" t="n"/>
      <c r="C523" s="5" t="n"/>
      <c r="D523" s="5" t="n"/>
      <c r="E523" s="8" t="n"/>
      <c r="F523" s="5" t="n"/>
      <c r="G523" s="5" t="n"/>
      <c r="H523" s="5" t="n"/>
      <c r="I523" s="5" t="n"/>
    </row>
    <row r="524">
      <c r="A524" s="5" t="n"/>
      <c r="B524" s="5" t="n"/>
      <c r="C524" s="5" t="n"/>
      <c r="D524" s="5" t="n"/>
      <c r="E524" s="8" t="n"/>
      <c r="F524" s="5" t="n"/>
      <c r="G524" s="5" t="n"/>
      <c r="H524" s="5" t="n"/>
      <c r="I524" s="5" t="n"/>
    </row>
    <row r="525">
      <c r="A525" s="5" t="n"/>
      <c r="B525" s="5" t="n"/>
      <c r="C525" s="5" t="n"/>
      <c r="D525" s="5" t="n"/>
      <c r="E525" s="8" t="n"/>
      <c r="F525" s="5" t="n"/>
      <c r="G525" s="5" t="n"/>
      <c r="H525" s="5" t="n"/>
      <c r="I525" s="5" t="n"/>
    </row>
    <row r="526">
      <c r="A526" s="5" t="n"/>
      <c r="B526" s="5" t="n"/>
      <c r="C526" s="5" t="n"/>
      <c r="D526" s="5" t="n"/>
      <c r="E526" s="8" t="n"/>
      <c r="F526" s="5" t="n"/>
      <c r="G526" s="5" t="n"/>
      <c r="H526" s="5" t="n"/>
      <c r="I526" s="5" t="n"/>
    </row>
    <row r="527">
      <c r="A527" s="5" t="n"/>
      <c r="B527" s="5" t="n"/>
      <c r="C527" s="5" t="n"/>
      <c r="D527" s="5" t="n"/>
      <c r="E527" s="8" t="n"/>
      <c r="F527" s="5" t="n"/>
      <c r="G527" s="5" t="n"/>
      <c r="H527" s="5" t="n"/>
      <c r="I527" s="5" t="n"/>
    </row>
    <row r="528">
      <c r="A528" s="5" t="n"/>
      <c r="B528" s="5" t="n"/>
      <c r="C528" s="5" t="n"/>
      <c r="D528" s="5" t="n"/>
      <c r="E528" s="8" t="n"/>
      <c r="F528" s="5" t="n"/>
      <c r="G528" s="5" t="n"/>
      <c r="H528" s="5" t="n"/>
      <c r="I528" s="5" t="n"/>
    </row>
    <row r="529">
      <c r="A529" s="5" t="n"/>
      <c r="B529" s="5" t="n"/>
      <c r="C529" s="5" t="n"/>
      <c r="D529" s="5" t="n"/>
      <c r="E529" s="8" t="n"/>
      <c r="F529" s="5" t="n"/>
      <c r="G529" s="5" t="n"/>
      <c r="H529" s="5" t="n"/>
      <c r="I529" s="5" t="n"/>
    </row>
    <row r="530">
      <c r="A530" s="5" t="n"/>
      <c r="B530" s="5" t="n"/>
      <c r="C530" s="5" t="n"/>
      <c r="D530" s="5" t="n"/>
      <c r="E530" s="8" t="n"/>
      <c r="F530" s="5" t="n"/>
      <c r="G530" s="5" t="n"/>
      <c r="H530" s="5" t="n"/>
      <c r="I530" s="5" t="n"/>
    </row>
    <row r="531">
      <c r="A531" s="5" t="n"/>
      <c r="B531" s="5" t="n"/>
      <c r="C531" s="5" t="n"/>
      <c r="D531" s="5" t="n"/>
      <c r="E531" s="8" t="n"/>
      <c r="F531" s="5" t="n"/>
      <c r="G531" s="5" t="n"/>
      <c r="H531" s="5" t="n"/>
      <c r="I531" s="5" t="n"/>
    </row>
    <row r="532">
      <c r="A532" s="5" t="n"/>
      <c r="B532" s="5" t="n"/>
      <c r="C532" s="5" t="n"/>
      <c r="D532" s="5" t="n"/>
      <c r="E532" s="8" t="n"/>
      <c r="F532" s="5" t="n"/>
      <c r="G532" s="5" t="n"/>
      <c r="H532" s="5" t="n"/>
      <c r="I532" s="5" t="n"/>
    </row>
    <row r="533">
      <c r="A533" s="5" t="n"/>
      <c r="B533" s="5" t="n"/>
      <c r="C533" s="5" t="n"/>
      <c r="D533" s="5" t="n"/>
      <c r="E533" s="8" t="n"/>
      <c r="F533" s="5" t="n"/>
      <c r="G533" s="5" t="n"/>
      <c r="H533" s="5" t="n"/>
      <c r="I533" s="5" t="n"/>
    </row>
    <row r="534">
      <c r="A534" s="5" t="n"/>
      <c r="B534" s="5" t="n"/>
      <c r="C534" s="5" t="n"/>
      <c r="D534" s="5" t="n"/>
      <c r="E534" s="8" t="n"/>
      <c r="F534" s="5" t="n"/>
      <c r="G534" s="5" t="n"/>
      <c r="H534" s="5" t="n"/>
      <c r="I534" s="5" t="n"/>
    </row>
    <row r="535">
      <c r="A535" s="5" t="n"/>
      <c r="B535" s="5" t="n"/>
      <c r="C535" s="5" t="n"/>
      <c r="D535" s="5" t="n"/>
      <c r="E535" s="8" t="n"/>
      <c r="F535" s="5" t="n"/>
      <c r="G535" s="5" t="n"/>
      <c r="H535" s="5" t="n"/>
      <c r="I535" s="5" t="n"/>
    </row>
    <row r="536">
      <c r="A536" s="5" t="n"/>
      <c r="B536" s="5" t="n"/>
      <c r="C536" s="5" t="n"/>
      <c r="D536" s="5" t="n"/>
      <c r="E536" s="8" t="n"/>
      <c r="F536" s="5" t="n"/>
      <c r="G536" s="5" t="n"/>
      <c r="H536" s="5" t="n"/>
      <c r="I536" s="5" t="n"/>
    </row>
    <row r="537">
      <c r="A537" s="5" t="n"/>
      <c r="B537" s="5" t="n"/>
      <c r="C537" s="5" t="n"/>
      <c r="D537" s="5" t="n"/>
      <c r="E537" s="8" t="n"/>
      <c r="F537" s="5" t="n"/>
      <c r="G537" s="5" t="n"/>
      <c r="H537" s="5" t="n"/>
      <c r="I537" s="5" t="n"/>
    </row>
    <row r="538">
      <c r="A538" s="5" t="n"/>
      <c r="B538" s="5" t="n"/>
      <c r="C538" s="5" t="n"/>
      <c r="D538" s="5" t="n"/>
      <c r="E538" s="8" t="n"/>
      <c r="F538" s="5" t="n"/>
      <c r="G538" s="5" t="n"/>
      <c r="H538" s="5" t="n"/>
      <c r="I538" s="5" t="n"/>
    </row>
    <row r="539">
      <c r="A539" s="5" t="n"/>
      <c r="B539" s="5" t="n"/>
      <c r="C539" s="5" t="n"/>
      <c r="D539" s="5" t="n"/>
      <c r="E539" s="8" t="n"/>
      <c r="F539" s="5" t="n"/>
      <c r="G539" s="5" t="n"/>
      <c r="H539" s="5" t="n"/>
      <c r="I539" s="5" t="n"/>
    </row>
    <row r="540">
      <c r="A540" s="5" t="n"/>
      <c r="B540" s="5" t="n"/>
      <c r="C540" s="5" t="n"/>
      <c r="D540" s="5" t="n"/>
      <c r="E540" s="8" t="n"/>
      <c r="F540" s="5" t="n"/>
      <c r="G540" s="5" t="n"/>
      <c r="H540" s="5" t="n"/>
      <c r="I540" s="5" t="n"/>
    </row>
    <row r="541">
      <c r="A541" s="5" t="n"/>
      <c r="B541" s="5" t="n"/>
      <c r="C541" s="5" t="n"/>
      <c r="D541" s="5" t="n"/>
      <c r="E541" s="8" t="n"/>
      <c r="F541" s="5" t="n"/>
      <c r="G541" s="5" t="n"/>
      <c r="H541" s="5" t="n"/>
      <c r="I541" s="5" t="n"/>
    </row>
    <row r="542">
      <c r="A542" s="5" t="n"/>
      <c r="B542" s="5" t="n"/>
      <c r="C542" s="5" t="n"/>
      <c r="D542" s="5" t="n"/>
      <c r="E542" s="8" t="n"/>
      <c r="F542" s="5" t="n"/>
      <c r="G542" s="5" t="n"/>
      <c r="H542" s="5" t="n"/>
      <c r="I542" s="5" t="n"/>
    </row>
    <row r="543">
      <c r="A543" s="5" t="n"/>
      <c r="B543" s="5" t="n"/>
      <c r="C543" s="5" t="n"/>
      <c r="D543" s="5" t="n"/>
      <c r="E543" s="8" t="n"/>
      <c r="F543" s="5" t="n"/>
      <c r="G543" s="5" t="n"/>
      <c r="H543" s="5" t="n"/>
      <c r="I543" s="5" t="n"/>
    </row>
    <row r="544">
      <c r="A544" s="5" t="n"/>
      <c r="B544" s="5" t="n"/>
      <c r="C544" s="5" t="n"/>
      <c r="D544" s="5" t="n"/>
      <c r="E544" s="8" t="n"/>
      <c r="F544" s="5" t="n"/>
      <c r="G544" s="5" t="n"/>
      <c r="H544" s="5" t="n"/>
      <c r="I544" s="5" t="n"/>
    </row>
    <row r="545">
      <c r="A545" s="5" t="n"/>
      <c r="B545" s="5" t="n"/>
      <c r="C545" s="5" t="n"/>
      <c r="D545" s="5" t="n"/>
      <c r="E545" s="8" t="n"/>
      <c r="F545" s="5" t="n"/>
      <c r="G545" s="5" t="n"/>
      <c r="H545" s="5" t="n"/>
      <c r="I545" s="5" t="n"/>
    </row>
    <row r="546">
      <c r="A546" s="5" t="n"/>
      <c r="B546" s="5" t="n"/>
      <c r="C546" s="5" t="n"/>
      <c r="D546" s="5" t="n"/>
      <c r="E546" s="8" t="n"/>
      <c r="F546" s="5" t="n"/>
      <c r="G546" s="5" t="n"/>
      <c r="H546" s="5" t="n"/>
      <c r="I546" s="5" t="n"/>
    </row>
    <row r="547">
      <c r="A547" s="5" t="n"/>
      <c r="B547" s="5" t="n"/>
      <c r="C547" s="5" t="n"/>
      <c r="D547" s="5" t="n"/>
      <c r="E547" s="8" t="n"/>
      <c r="F547" s="5" t="n"/>
      <c r="G547" s="5" t="n"/>
      <c r="H547" s="5" t="n"/>
      <c r="I547" s="5" t="n"/>
    </row>
    <row r="548">
      <c r="A548" s="5" t="n"/>
      <c r="B548" s="5" t="n"/>
      <c r="C548" s="5" t="n"/>
      <c r="D548" s="5" t="n"/>
      <c r="E548" s="8" t="n"/>
      <c r="F548" s="5" t="n"/>
      <c r="G548" s="5" t="n"/>
      <c r="H548" s="5" t="n"/>
      <c r="I548" s="5" t="n"/>
    </row>
    <row r="549">
      <c r="A549" s="5" t="n"/>
      <c r="B549" s="5" t="n"/>
      <c r="C549" s="5" t="n"/>
      <c r="D549" s="5" t="n"/>
      <c r="E549" s="8" t="n"/>
      <c r="F549" s="5" t="n"/>
      <c r="G549" s="5" t="n"/>
      <c r="H549" s="5" t="n"/>
      <c r="I549" s="5" t="n"/>
    </row>
    <row r="550">
      <c r="A550" s="5" t="n"/>
      <c r="B550" s="5" t="n"/>
      <c r="C550" s="5" t="n"/>
      <c r="D550" s="5" t="n"/>
      <c r="E550" s="8" t="n"/>
      <c r="F550" s="5" t="n"/>
      <c r="G550" s="5" t="n"/>
      <c r="H550" s="5" t="n"/>
      <c r="I550" s="5" t="n"/>
    </row>
    <row r="551">
      <c r="A551" s="5" t="n"/>
      <c r="B551" s="5" t="n"/>
      <c r="C551" s="5" t="n"/>
      <c r="D551" s="5" t="n"/>
      <c r="E551" s="8" t="n"/>
      <c r="F551" s="5" t="n"/>
      <c r="G551" s="5" t="n"/>
      <c r="H551" s="5" t="n"/>
      <c r="I551" s="5" t="n"/>
    </row>
    <row r="552">
      <c r="A552" s="5" t="n"/>
      <c r="B552" s="5" t="n"/>
      <c r="C552" s="5" t="n"/>
      <c r="D552" s="5" t="n"/>
      <c r="E552" s="8" t="n"/>
      <c r="F552" s="5" t="n"/>
      <c r="G552" s="5" t="n"/>
      <c r="H552" s="5" t="n"/>
      <c r="I552" s="5" t="n"/>
    </row>
    <row r="553">
      <c r="A553" s="5" t="n"/>
      <c r="B553" s="5" t="n"/>
      <c r="C553" s="5" t="n"/>
      <c r="D553" s="5" t="n"/>
      <c r="E553" s="8" t="n"/>
      <c r="F553" s="5" t="n"/>
      <c r="G553" s="5" t="n"/>
      <c r="H553" s="5" t="n"/>
      <c r="I553" s="5" t="n"/>
    </row>
    <row r="554">
      <c r="A554" s="5" t="n"/>
      <c r="B554" s="5" t="n"/>
      <c r="C554" s="5" t="n"/>
      <c r="D554" s="5" t="n"/>
      <c r="E554" s="8" t="n"/>
      <c r="F554" s="5" t="n"/>
      <c r="G554" s="5" t="n"/>
      <c r="H554" s="5" t="n"/>
      <c r="I554" s="5" t="n"/>
    </row>
    <row r="555">
      <c r="A555" s="5" t="n"/>
      <c r="B555" s="5" t="n"/>
      <c r="C555" s="5" t="n"/>
      <c r="D555" s="5" t="n"/>
      <c r="E555" s="8" t="n"/>
      <c r="F555" s="5" t="n"/>
      <c r="G555" s="5" t="n"/>
      <c r="H555" s="5" t="n"/>
      <c r="I555" s="5" t="n"/>
    </row>
    <row r="556">
      <c r="A556" s="5" t="n"/>
      <c r="B556" s="5" t="n"/>
      <c r="C556" s="5" t="n"/>
      <c r="D556" s="5" t="n"/>
      <c r="E556" s="8" t="n"/>
      <c r="F556" s="5" t="n"/>
      <c r="G556" s="5" t="n"/>
      <c r="H556" s="5" t="n"/>
      <c r="I556" s="5" t="n"/>
    </row>
    <row r="557">
      <c r="A557" s="5" t="n"/>
      <c r="B557" s="5" t="n"/>
      <c r="C557" s="5" t="n"/>
      <c r="D557" s="5" t="n"/>
      <c r="E557" s="8" t="n"/>
      <c r="F557" s="5" t="n"/>
      <c r="G557" s="5" t="n"/>
      <c r="H557" s="5" t="n"/>
      <c r="I557" s="5" t="n"/>
    </row>
    <row r="558">
      <c r="A558" s="5" t="n"/>
      <c r="B558" s="5" t="n"/>
      <c r="C558" s="5" t="n"/>
      <c r="D558" s="5" t="n"/>
      <c r="E558" s="8" t="n"/>
      <c r="F558" s="5" t="n"/>
      <c r="G558" s="5" t="n"/>
      <c r="H558" s="5" t="n"/>
      <c r="I558" s="5" t="n"/>
    </row>
    <row r="559">
      <c r="A559" s="5" t="n"/>
      <c r="B559" s="5" t="n"/>
      <c r="C559" s="5" t="n"/>
      <c r="D559" s="5" t="n"/>
      <c r="E559" s="8" t="n"/>
      <c r="F559" s="5" t="n"/>
      <c r="G559" s="5" t="n"/>
      <c r="H559" s="5" t="n"/>
      <c r="I559" s="5" t="n"/>
    </row>
    <row r="560">
      <c r="A560" s="5" t="n"/>
      <c r="B560" s="5" t="n"/>
      <c r="C560" s="5" t="n"/>
      <c r="D560" s="5" t="n"/>
      <c r="E560" s="8" t="n"/>
      <c r="F560" s="5" t="n"/>
      <c r="G560" s="5" t="n"/>
      <c r="H560" s="5" t="n"/>
      <c r="I560" s="5" t="n"/>
    </row>
    <row r="561">
      <c r="A561" s="5" t="n"/>
      <c r="B561" s="5" t="n"/>
      <c r="C561" s="5" t="n"/>
      <c r="D561" s="5" t="n"/>
      <c r="E561" s="8" t="n"/>
      <c r="F561" s="5" t="n"/>
      <c r="G561" s="5" t="n"/>
      <c r="H561" s="5" t="n"/>
      <c r="I561" s="5" t="n"/>
    </row>
    <row r="562">
      <c r="A562" s="5" t="n"/>
      <c r="B562" s="5" t="n"/>
      <c r="C562" s="5" t="n"/>
      <c r="D562" s="5" t="n"/>
      <c r="E562" s="8" t="n"/>
      <c r="F562" s="5" t="n"/>
      <c r="G562" s="5" t="n"/>
      <c r="H562" s="5" t="n"/>
      <c r="I562" s="5" t="n"/>
    </row>
    <row r="563">
      <c r="A563" s="5" t="n"/>
      <c r="B563" s="5" t="n"/>
      <c r="C563" s="5" t="n"/>
      <c r="D563" s="5" t="n"/>
      <c r="E563" s="8" t="n"/>
      <c r="F563" s="5" t="n"/>
      <c r="G563" s="5" t="n"/>
      <c r="H563" s="5" t="n"/>
      <c r="I563" s="5" t="n"/>
    </row>
    <row r="564">
      <c r="A564" s="5" t="n"/>
      <c r="B564" s="5" t="n"/>
      <c r="C564" s="5" t="n"/>
      <c r="D564" s="5" t="n"/>
      <c r="E564" s="8" t="n"/>
      <c r="F564" s="5" t="n"/>
      <c r="G564" s="5" t="n"/>
      <c r="H564" s="5" t="n"/>
      <c r="I564" s="5" t="n"/>
    </row>
    <row r="565">
      <c r="A565" s="5" t="n"/>
      <c r="B565" s="5" t="n"/>
      <c r="C565" s="5" t="n"/>
      <c r="D565" s="5" t="n"/>
      <c r="E565" s="8" t="n"/>
      <c r="F565" s="5" t="n"/>
      <c r="G565" s="5" t="n"/>
      <c r="H565" s="5" t="n"/>
      <c r="I565" s="5" t="n"/>
    </row>
    <row r="566">
      <c r="A566" s="5" t="n"/>
      <c r="B566" s="5" t="n"/>
      <c r="C566" s="5" t="n"/>
      <c r="D566" s="5" t="n"/>
      <c r="E566" s="8" t="n"/>
      <c r="F566" s="5" t="n"/>
      <c r="G566" s="5" t="n"/>
      <c r="H566" s="5" t="n"/>
      <c r="I566" s="5" t="n"/>
    </row>
    <row r="567">
      <c r="A567" s="5" t="n"/>
      <c r="B567" s="5" t="n"/>
      <c r="C567" s="5" t="n"/>
      <c r="D567" s="5" t="n"/>
      <c r="E567" s="8" t="n"/>
      <c r="F567" s="5" t="n"/>
      <c r="G567" s="5" t="n"/>
      <c r="H567" s="5" t="n"/>
      <c r="I567" s="5" t="n"/>
    </row>
    <row r="568">
      <c r="A568" s="5" t="n"/>
      <c r="B568" s="5" t="n"/>
      <c r="C568" s="5" t="n"/>
      <c r="D568" s="5" t="n"/>
      <c r="E568" s="8" t="n"/>
      <c r="F568" s="5" t="n"/>
      <c r="G568" s="5" t="n"/>
      <c r="H568" s="5" t="n"/>
      <c r="I568" s="5" t="n"/>
    </row>
    <row r="569">
      <c r="A569" s="5" t="n"/>
      <c r="B569" s="5" t="n"/>
      <c r="C569" s="5" t="n"/>
      <c r="D569" s="5" t="n"/>
      <c r="E569" s="8" t="n"/>
      <c r="F569" s="5" t="n"/>
      <c r="G569" s="5" t="n"/>
      <c r="H569" s="5" t="n"/>
      <c r="I569" s="5" t="n"/>
    </row>
    <row r="570">
      <c r="A570" s="5" t="n"/>
      <c r="B570" s="5" t="n"/>
      <c r="C570" s="5" t="n"/>
      <c r="D570" s="5" t="n"/>
      <c r="E570" s="8" t="n"/>
      <c r="F570" s="5" t="n"/>
      <c r="G570" s="5" t="n"/>
      <c r="H570" s="5" t="n"/>
      <c r="I570" s="5" t="n"/>
    </row>
    <row r="571">
      <c r="A571" s="5" t="n"/>
      <c r="B571" s="5" t="n"/>
      <c r="C571" s="5" t="n"/>
      <c r="D571" s="5" t="n"/>
      <c r="E571" s="8" t="n"/>
      <c r="F571" s="5" t="n"/>
      <c r="G571" s="5" t="n"/>
      <c r="H571" s="5" t="n"/>
      <c r="I571" s="5" t="n"/>
    </row>
    <row r="572">
      <c r="A572" s="5" t="n"/>
      <c r="B572" s="5" t="n"/>
      <c r="C572" s="5" t="n"/>
      <c r="D572" s="5" t="n"/>
      <c r="E572" s="8" t="n"/>
      <c r="F572" s="5" t="n"/>
      <c r="G572" s="5" t="n"/>
      <c r="H572" s="5" t="n"/>
      <c r="I572" s="5" t="n"/>
    </row>
    <row r="573">
      <c r="A573" s="5" t="n"/>
      <c r="B573" s="5" t="n"/>
      <c r="C573" s="5" t="n"/>
      <c r="D573" s="5" t="n"/>
      <c r="E573" s="8" t="n"/>
      <c r="F573" s="5" t="n"/>
      <c r="G573" s="5" t="n"/>
      <c r="H573" s="5" t="n"/>
      <c r="I573" s="5" t="n"/>
    </row>
    <row r="574">
      <c r="A574" s="5" t="n"/>
      <c r="B574" s="5" t="n"/>
      <c r="C574" s="5" t="n"/>
      <c r="D574" s="5" t="n"/>
      <c r="E574" s="8" t="n"/>
      <c r="F574" s="5" t="n"/>
      <c r="G574" s="5" t="n"/>
      <c r="H574" s="5" t="n"/>
      <c r="I574" s="5" t="n"/>
    </row>
    <row r="575">
      <c r="A575" s="5" t="n"/>
      <c r="B575" s="5" t="n"/>
      <c r="C575" s="5" t="n"/>
      <c r="D575" s="5" t="n"/>
      <c r="E575" s="8" t="n"/>
      <c r="F575" s="5" t="n"/>
      <c r="G575" s="5" t="n"/>
      <c r="H575" s="5" t="n"/>
      <c r="I575" s="5" t="n"/>
    </row>
    <row r="576">
      <c r="A576" s="5" t="n"/>
      <c r="B576" s="5" t="n"/>
      <c r="C576" s="5" t="n"/>
      <c r="D576" s="5" t="n"/>
      <c r="E576" s="8" t="n"/>
      <c r="F576" s="5" t="n"/>
      <c r="G576" s="5" t="n"/>
      <c r="H576" s="5" t="n"/>
      <c r="I576" s="5" t="n"/>
    </row>
    <row r="577">
      <c r="A577" s="5" t="n"/>
      <c r="B577" s="5" t="n"/>
      <c r="C577" s="5" t="n"/>
      <c r="D577" s="5" t="n"/>
      <c r="E577" s="8" t="n"/>
      <c r="F577" s="5" t="n"/>
      <c r="G577" s="5" t="n"/>
      <c r="H577" s="5" t="n"/>
      <c r="I577" s="5" t="n"/>
    </row>
    <row r="578">
      <c r="A578" s="5" t="n"/>
      <c r="B578" s="5" t="n"/>
      <c r="C578" s="5" t="n"/>
      <c r="D578" s="5" t="n"/>
      <c r="E578" s="8" t="n"/>
      <c r="F578" s="5" t="n"/>
      <c r="G578" s="5" t="n"/>
      <c r="H578" s="5" t="n"/>
      <c r="I578" s="5" t="n"/>
    </row>
    <row r="579">
      <c r="A579" s="5" t="n"/>
      <c r="B579" s="5" t="n"/>
      <c r="C579" s="5" t="n"/>
      <c r="D579" s="5" t="n"/>
      <c r="E579" s="8" t="n"/>
      <c r="F579" s="5" t="n"/>
      <c r="G579" s="5" t="n"/>
      <c r="H579" s="5" t="n"/>
      <c r="I579" s="5" t="n"/>
    </row>
    <row r="580">
      <c r="A580" s="5" t="n"/>
      <c r="B580" s="5" t="n"/>
      <c r="C580" s="5" t="n"/>
      <c r="D580" s="5" t="n"/>
      <c r="E580" s="8" t="n"/>
      <c r="F580" s="5" t="n"/>
      <c r="G580" s="5" t="n"/>
      <c r="H580" s="5" t="n"/>
      <c r="I580" s="5" t="n"/>
    </row>
    <row r="581">
      <c r="A581" s="5" t="n"/>
      <c r="B581" s="5" t="n"/>
      <c r="C581" s="5" t="n"/>
      <c r="D581" s="5" t="n"/>
      <c r="E581" s="8" t="n"/>
      <c r="F581" s="5" t="n"/>
      <c r="G581" s="5" t="n"/>
      <c r="H581" s="5" t="n"/>
      <c r="I581" s="5" t="n"/>
    </row>
    <row r="582">
      <c r="A582" s="5" t="n"/>
      <c r="B582" s="5" t="n"/>
      <c r="C582" s="5" t="n"/>
      <c r="D582" s="5" t="n"/>
      <c r="E582" s="8" t="n"/>
      <c r="F582" s="5" t="n"/>
      <c r="G582" s="5" t="n"/>
      <c r="H582" s="5" t="n"/>
      <c r="I582" s="5" t="n"/>
    </row>
    <row r="583">
      <c r="A583" s="5" t="n"/>
      <c r="B583" s="5" t="n"/>
      <c r="C583" s="5" t="n"/>
      <c r="D583" s="5" t="n"/>
      <c r="E583" s="8" t="n"/>
      <c r="F583" s="5" t="n"/>
      <c r="G583" s="5" t="n"/>
      <c r="H583" s="5" t="n"/>
      <c r="I583" s="5" t="n"/>
    </row>
    <row r="584">
      <c r="A584" s="5" t="n"/>
      <c r="B584" s="5" t="n"/>
      <c r="C584" s="5" t="n"/>
      <c r="D584" s="5" t="n"/>
      <c r="E584" s="8" t="n"/>
      <c r="F584" s="5" t="n"/>
      <c r="G584" s="5" t="n"/>
      <c r="H584" s="5" t="n"/>
      <c r="I584" s="5" t="n"/>
    </row>
    <row r="585">
      <c r="A585" s="5" t="n"/>
      <c r="B585" s="5" t="n"/>
      <c r="C585" s="5" t="n"/>
      <c r="D585" s="5" t="n"/>
      <c r="E585" s="8" t="n"/>
      <c r="F585" s="5" t="n"/>
      <c r="G585" s="5" t="n"/>
      <c r="H585" s="5" t="n"/>
      <c r="I585" s="5" t="n"/>
    </row>
    <row r="586">
      <c r="A586" s="5" t="n"/>
      <c r="B586" s="5" t="n"/>
      <c r="C586" s="5" t="n"/>
      <c r="D586" s="5" t="n"/>
      <c r="E586" s="8" t="n"/>
      <c r="F586" s="5" t="n"/>
      <c r="G586" s="5" t="n"/>
      <c r="H586" s="5" t="n"/>
      <c r="I586" s="5" t="n"/>
    </row>
    <row r="587">
      <c r="A587" s="5" t="n"/>
      <c r="B587" s="5" t="n"/>
      <c r="C587" s="5" t="n"/>
      <c r="D587" s="5" t="n"/>
      <c r="E587" s="8" t="n"/>
      <c r="F587" s="5" t="n"/>
      <c r="G587" s="5" t="n"/>
      <c r="H587" s="5" t="n"/>
      <c r="I587" s="5" t="n"/>
    </row>
    <row r="588">
      <c r="A588" s="5" t="n"/>
      <c r="B588" s="5" t="n"/>
      <c r="C588" s="5" t="n"/>
      <c r="D588" s="5" t="n"/>
      <c r="E588" s="8" t="n"/>
      <c r="F588" s="5" t="n"/>
      <c r="G588" s="5" t="n"/>
      <c r="H588" s="5" t="n"/>
      <c r="I588" s="5" t="n"/>
    </row>
    <row r="589">
      <c r="A589" s="5" t="n"/>
      <c r="B589" s="5" t="n"/>
      <c r="C589" s="5" t="n"/>
      <c r="D589" s="5" t="n"/>
      <c r="E589" s="8" t="n"/>
      <c r="F589" s="5" t="n"/>
      <c r="G589" s="5" t="n"/>
      <c r="H589" s="5" t="n"/>
      <c r="I589" s="5" t="n"/>
    </row>
    <row r="590">
      <c r="A590" s="5" t="n"/>
      <c r="B590" s="5" t="n"/>
      <c r="C590" s="5" t="n"/>
      <c r="D590" s="5" t="n"/>
      <c r="E590" s="8" t="n"/>
      <c r="F590" s="5" t="n"/>
      <c r="G590" s="5" t="n"/>
      <c r="H590" s="5" t="n"/>
      <c r="I590" s="5" t="n"/>
    </row>
    <row r="591">
      <c r="A591" s="5" t="n"/>
      <c r="B591" s="5" t="n"/>
      <c r="C591" s="5" t="n"/>
      <c r="D591" s="5" t="n"/>
      <c r="E591" s="8" t="n"/>
      <c r="F591" s="5" t="n"/>
      <c r="G591" s="5" t="n"/>
      <c r="H591" s="5" t="n"/>
      <c r="I591" s="5" t="n"/>
    </row>
    <row r="592">
      <c r="A592" s="5" t="n"/>
      <c r="B592" s="5" t="n"/>
      <c r="C592" s="5" t="n"/>
      <c r="D592" s="5" t="n"/>
      <c r="E592" s="8" t="n"/>
      <c r="F592" s="5" t="n"/>
      <c r="G592" s="5" t="n"/>
      <c r="H592" s="5" t="n"/>
      <c r="I592" s="5" t="n"/>
    </row>
    <row r="593">
      <c r="A593" s="5" t="n"/>
      <c r="B593" s="5" t="n"/>
      <c r="C593" s="5" t="n"/>
      <c r="D593" s="5" t="n"/>
      <c r="E593" s="8" t="n"/>
      <c r="F593" s="5" t="n"/>
      <c r="G593" s="5" t="n"/>
      <c r="H593" s="5" t="n"/>
      <c r="I593" s="5" t="n"/>
    </row>
    <row r="594">
      <c r="A594" s="5" t="n"/>
      <c r="B594" s="5" t="n"/>
      <c r="C594" s="5" t="n"/>
      <c r="D594" s="5" t="n"/>
      <c r="E594" s="8" t="n"/>
      <c r="F594" s="5" t="n"/>
      <c r="G594" s="5" t="n"/>
      <c r="H594" s="5" t="n"/>
      <c r="I594" s="5" t="n"/>
    </row>
    <row r="595">
      <c r="A595" s="5" t="n"/>
      <c r="B595" s="5" t="n"/>
      <c r="C595" s="5" t="n"/>
      <c r="D595" s="5" t="n"/>
      <c r="E595" s="8" t="n"/>
      <c r="F595" s="5" t="n"/>
      <c r="G595" s="5" t="n"/>
      <c r="H595" s="5" t="n"/>
      <c r="I595" s="5" t="n"/>
    </row>
    <row r="596">
      <c r="A596" s="5" t="n"/>
      <c r="B596" s="5" t="n"/>
      <c r="C596" s="5" t="n"/>
      <c r="D596" s="5" t="n"/>
      <c r="E596" s="8" t="n"/>
      <c r="F596" s="5" t="n"/>
      <c r="G596" s="5" t="n"/>
      <c r="H596" s="5" t="n"/>
      <c r="I596" s="5" t="n"/>
    </row>
    <row r="597">
      <c r="A597" s="5" t="n"/>
      <c r="B597" s="5" t="n"/>
      <c r="C597" s="5" t="n"/>
      <c r="D597" s="5" t="n"/>
      <c r="E597" s="8" t="n"/>
      <c r="F597" s="5" t="n"/>
      <c r="G597" s="5" t="n"/>
      <c r="H597" s="5" t="n"/>
      <c r="I597" s="5" t="n"/>
    </row>
    <row r="598">
      <c r="A598" s="5" t="n"/>
      <c r="B598" s="5" t="n"/>
      <c r="C598" s="5" t="n"/>
      <c r="D598" s="5" t="n"/>
      <c r="E598" s="8" t="n"/>
      <c r="F598" s="5" t="n"/>
      <c r="G598" s="5" t="n"/>
      <c r="H598" s="5" t="n"/>
      <c r="I598" s="5" t="n"/>
    </row>
    <row r="599">
      <c r="A599" s="5" t="n"/>
      <c r="B599" s="5" t="n"/>
      <c r="C599" s="5" t="n"/>
      <c r="D599" s="5" t="n"/>
      <c r="E599" s="8" t="n"/>
      <c r="F599" s="5" t="n"/>
      <c r="G599" s="5" t="n"/>
      <c r="H599" s="5" t="n"/>
      <c r="I599" s="5" t="n"/>
    </row>
    <row r="600">
      <c r="A600" s="5" t="n"/>
      <c r="B600" s="5" t="n"/>
      <c r="C600" s="5" t="n"/>
      <c r="D600" s="5" t="n"/>
      <c r="E600" s="8" t="n"/>
      <c r="F600" s="5" t="n"/>
      <c r="G600" s="5" t="n"/>
      <c r="H600" s="5" t="n"/>
      <c r="I600" s="5" t="n"/>
    </row>
    <row r="601">
      <c r="A601" s="5" t="n"/>
      <c r="B601" s="5" t="n"/>
      <c r="C601" s="5" t="n"/>
      <c r="D601" s="5" t="n"/>
      <c r="E601" s="8" t="n"/>
      <c r="F601" s="5" t="n"/>
      <c r="G601" s="5" t="n"/>
      <c r="H601" s="5" t="n"/>
      <c r="I601" s="5" t="n"/>
    </row>
    <row r="602">
      <c r="A602" s="5" t="n"/>
      <c r="B602" s="5" t="n"/>
      <c r="C602" s="5" t="n"/>
      <c r="D602" s="5" t="n"/>
      <c r="E602" s="8" t="n"/>
      <c r="F602" s="5" t="n"/>
      <c r="G602" s="5" t="n"/>
      <c r="H602" s="5" t="n"/>
      <c r="I602" s="5" t="n"/>
    </row>
    <row r="603">
      <c r="A603" s="5" t="n"/>
      <c r="B603" s="5" t="n"/>
      <c r="C603" s="5" t="n"/>
      <c r="D603" s="5" t="n"/>
      <c r="E603" s="8" t="n"/>
      <c r="F603" s="5" t="n"/>
      <c r="G603" s="5" t="n"/>
      <c r="H603" s="5" t="n"/>
      <c r="I603" s="5" t="n"/>
    </row>
    <row r="604">
      <c r="A604" s="5" t="n"/>
      <c r="B604" s="5" t="n"/>
      <c r="C604" s="5" t="n"/>
      <c r="D604" s="5" t="n"/>
      <c r="E604" s="8" t="n"/>
      <c r="F604" s="5" t="n"/>
      <c r="G604" s="5" t="n"/>
      <c r="H604" s="5" t="n"/>
      <c r="I604" s="5" t="n"/>
    </row>
    <row r="605">
      <c r="A605" s="5" t="n"/>
      <c r="B605" s="5" t="n"/>
      <c r="C605" s="5" t="n"/>
      <c r="D605" s="5" t="n"/>
      <c r="E605" s="8" t="n"/>
      <c r="F605" s="5" t="n"/>
      <c r="G605" s="5" t="n"/>
      <c r="H605" s="5" t="n"/>
      <c r="I605" s="5" t="n"/>
    </row>
    <row r="606">
      <c r="A606" s="5" t="n"/>
      <c r="B606" s="5" t="n"/>
      <c r="C606" s="5" t="n"/>
      <c r="D606" s="5" t="n"/>
      <c r="E606" s="8" t="n"/>
      <c r="F606" s="5" t="n"/>
      <c r="G606" s="5" t="n"/>
      <c r="H606" s="5" t="n"/>
      <c r="I606" s="5" t="n"/>
    </row>
    <row r="607">
      <c r="A607" s="5" t="n"/>
      <c r="B607" s="5" t="n"/>
      <c r="C607" s="5" t="n"/>
      <c r="D607" s="5" t="n"/>
      <c r="E607" s="8" t="n"/>
      <c r="F607" s="5" t="n"/>
      <c r="G607" s="5" t="n"/>
      <c r="H607" s="5" t="n"/>
      <c r="I607" s="5" t="n"/>
    </row>
    <row r="608">
      <c r="A608" s="5" t="n"/>
      <c r="B608" s="5" t="n"/>
      <c r="C608" s="5" t="n"/>
      <c r="D608" s="5" t="n"/>
      <c r="E608" s="8" t="n"/>
      <c r="F608" s="5" t="n"/>
      <c r="G608" s="5" t="n"/>
      <c r="H608" s="5" t="n"/>
      <c r="I608" s="5" t="n"/>
    </row>
    <row r="609">
      <c r="A609" s="5" t="n"/>
      <c r="B609" s="5" t="n"/>
      <c r="C609" s="5" t="n"/>
      <c r="D609" s="5" t="n"/>
      <c r="E609" s="8" t="n"/>
      <c r="F609" s="5" t="n"/>
      <c r="G609" s="5" t="n"/>
      <c r="H609" s="5" t="n"/>
      <c r="I609" s="5" t="n"/>
    </row>
    <row r="610">
      <c r="A610" s="5" t="n"/>
      <c r="B610" s="5" t="n"/>
      <c r="C610" s="5" t="n"/>
      <c r="D610" s="5" t="n"/>
      <c r="E610" s="8" t="n"/>
      <c r="F610" s="5" t="n"/>
      <c r="G610" s="5" t="n"/>
      <c r="H610" s="5" t="n"/>
      <c r="I610" s="5" t="n"/>
    </row>
    <row r="611">
      <c r="A611" s="5" t="n"/>
      <c r="B611" s="5" t="n"/>
      <c r="C611" s="5" t="n"/>
      <c r="D611" s="5" t="n"/>
      <c r="E611" s="8" t="n"/>
      <c r="F611" s="5" t="n"/>
      <c r="G611" s="5" t="n"/>
      <c r="H611" s="5" t="n"/>
      <c r="I611" s="5" t="n"/>
    </row>
    <row r="612">
      <c r="A612" s="5" t="n"/>
      <c r="B612" s="5" t="n"/>
      <c r="C612" s="5" t="n"/>
      <c r="D612" s="5" t="n"/>
      <c r="E612" s="8" t="n"/>
      <c r="F612" s="5" t="n"/>
      <c r="G612" s="5" t="n"/>
      <c r="H612" s="5" t="n"/>
      <c r="I612" s="5" t="n"/>
    </row>
    <row r="613">
      <c r="A613" s="5" t="n"/>
      <c r="B613" s="5" t="n"/>
      <c r="C613" s="5" t="n"/>
      <c r="D613" s="5" t="n"/>
      <c r="E613" s="8" t="n"/>
      <c r="F613" s="5" t="n"/>
      <c r="G613" s="5" t="n"/>
      <c r="H613" s="5" t="n"/>
      <c r="I613" s="5" t="n"/>
    </row>
    <row r="614">
      <c r="A614" s="5" t="n"/>
      <c r="B614" s="5" t="n"/>
      <c r="C614" s="5" t="n"/>
      <c r="D614" s="5" t="n"/>
      <c r="E614" s="8" t="n"/>
      <c r="F614" s="5" t="n"/>
      <c r="G614" s="5" t="n"/>
      <c r="H614" s="5" t="n"/>
      <c r="I614" s="5" t="n"/>
    </row>
    <row r="615">
      <c r="A615" s="5" t="n"/>
      <c r="B615" s="5" t="n"/>
      <c r="C615" s="5" t="n"/>
      <c r="D615" s="5" t="n"/>
      <c r="E615" s="8" t="n"/>
      <c r="F615" s="5" t="n"/>
      <c r="G615" s="5" t="n"/>
      <c r="H615" s="5" t="n"/>
      <c r="I615" s="5" t="n"/>
    </row>
    <row r="616">
      <c r="A616" s="5" t="n"/>
      <c r="B616" s="5" t="n"/>
      <c r="C616" s="5" t="n"/>
      <c r="D616" s="5" t="n"/>
      <c r="E616" s="8" t="n"/>
      <c r="F616" s="5" t="n"/>
      <c r="G616" s="5" t="n"/>
      <c r="H616" s="5" t="n"/>
      <c r="I616" s="5" t="n"/>
    </row>
    <row r="617">
      <c r="A617" s="5" t="n"/>
      <c r="B617" s="5" t="n"/>
      <c r="C617" s="5" t="n"/>
      <c r="D617" s="5" t="n"/>
      <c r="E617" s="8" t="n"/>
      <c r="F617" s="5" t="n"/>
      <c r="G617" s="5" t="n"/>
      <c r="H617" s="5" t="n"/>
      <c r="I617" s="5" t="n"/>
    </row>
    <row r="618">
      <c r="A618" s="5" t="n"/>
      <c r="B618" s="5" t="n"/>
      <c r="C618" s="5" t="n"/>
      <c r="D618" s="5" t="n"/>
      <c r="E618" s="8" t="n"/>
      <c r="F618" s="5" t="n"/>
      <c r="G618" s="5" t="n"/>
      <c r="H618" s="5" t="n"/>
      <c r="I618" s="5" t="n"/>
    </row>
    <row r="619">
      <c r="A619" s="5" t="n"/>
      <c r="B619" s="5" t="n"/>
      <c r="C619" s="5" t="n"/>
      <c r="D619" s="5" t="n"/>
      <c r="E619" s="8" t="n"/>
      <c r="F619" s="5" t="n"/>
      <c r="G619" s="5" t="n"/>
      <c r="H619" s="5" t="n"/>
      <c r="I619" s="5" t="n"/>
    </row>
    <row r="620">
      <c r="A620" s="5" t="n"/>
      <c r="B620" s="5" t="n"/>
      <c r="C620" s="5" t="n"/>
      <c r="D620" s="5" t="n"/>
      <c r="E620" s="8" t="n"/>
      <c r="F620" s="5" t="n"/>
      <c r="G620" s="5" t="n"/>
      <c r="H620" s="5" t="n"/>
      <c r="I620" s="5" t="n"/>
    </row>
    <row r="621">
      <c r="A621" s="5" t="n"/>
      <c r="B621" s="5" t="n"/>
      <c r="C621" s="5" t="n"/>
      <c r="D621" s="5" t="n"/>
      <c r="E621" s="8" t="n"/>
      <c r="F621" s="5" t="n"/>
      <c r="G621" s="5" t="n"/>
      <c r="H621" s="5" t="n"/>
      <c r="I621" s="5" t="n"/>
    </row>
    <row r="622">
      <c r="A622" s="5" t="n"/>
      <c r="B622" s="5" t="n"/>
      <c r="C622" s="5" t="n"/>
      <c r="D622" s="5" t="n"/>
      <c r="E622" s="8" t="n"/>
      <c r="F622" s="5" t="n"/>
      <c r="G622" s="5" t="n"/>
      <c r="H622" s="5" t="n"/>
      <c r="I622" s="5" t="n"/>
    </row>
    <row r="623">
      <c r="A623" s="5" t="n"/>
      <c r="B623" s="5" t="n"/>
      <c r="C623" s="5" t="n"/>
      <c r="D623" s="5" t="n"/>
      <c r="E623" s="8" t="n"/>
      <c r="F623" s="5" t="n"/>
      <c r="G623" s="5" t="n"/>
      <c r="H623" s="5" t="n"/>
      <c r="I623" s="5" t="n"/>
    </row>
    <row r="624">
      <c r="A624" s="5" t="n"/>
      <c r="B624" s="5" t="n"/>
      <c r="C624" s="5" t="n"/>
      <c r="D624" s="5" t="n"/>
      <c r="E624" s="8" t="n"/>
      <c r="F624" s="5" t="n"/>
      <c r="G624" s="5" t="n"/>
      <c r="H624" s="5" t="n"/>
      <c r="I624" s="5" t="n"/>
    </row>
    <row r="625">
      <c r="A625" s="5" t="n"/>
      <c r="B625" s="5" t="n"/>
      <c r="C625" s="5" t="n"/>
      <c r="D625" s="5" t="n"/>
      <c r="E625" s="8" t="n"/>
      <c r="F625" s="5" t="n"/>
      <c r="G625" s="5" t="n"/>
      <c r="H625" s="5" t="n"/>
      <c r="I625" s="5" t="n"/>
    </row>
    <row r="626">
      <c r="A626" s="5" t="n"/>
      <c r="B626" s="5" t="n"/>
      <c r="C626" s="5" t="n"/>
      <c r="D626" s="5" t="n"/>
      <c r="E626" s="8" t="n"/>
      <c r="F626" s="5" t="n"/>
      <c r="G626" s="5" t="n"/>
      <c r="H626" s="5" t="n"/>
      <c r="I626" s="5" t="n"/>
    </row>
    <row r="627">
      <c r="A627" s="5" t="n"/>
      <c r="B627" s="5" t="n"/>
      <c r="C627" s="5" t="n"/>
      <c r="D627" s="5" t="n"/>
      <c r="E627" s="8" t="n"/>
      <c r="F627" s="5" t="n"/>
      <c r="G627" s="5" t="n"/>
      <c r="H627" s="5" t="n"/>
      <c r="I627" s="5" t="n"/>
    </row>
    <row r="628">
      <c r="A628" s="5" t="n"/>
      <c r="B628" s="5" t="n"/>
      <c r="C628" s="5" t="n"/>
      <c r="D628" s="5" t="n"/>
      <c r="E628" s="8" t="n"/>
      <c r="F628" s="5" t="n"/>
      <c r="G628" s="5" t="n"/>
      <c r="H628" s="5" t="n"/>
      <c r="I628" s="5" t="n"/>
    </row>
    <row r="629">
      <c r="A629" s="5" t="n"/>
      <c r="B629" s="5" t="n"/>
      <c r="C629" s="5" t="n"/>
      <c r="D629" s="5" t="n"/>
      <c r="E629" s="8" t="n"/>
      <c r="F629" s="5" t="n"/>
      <c r="G629" s="5" t="n"/>
      <c r="H629" s="5" t="n"/>
      <c r="I629" s="5" t="n"/>
    </row>
    <row r="630">
      <c r="A630" s="5" t="n"/>
      <c r="B630" s="5" t="n"/>
      <c r="C630" s="5" t="n"/>
      <c r="D630" s="5" t="n"/>
      <c r="E630" s="8" t="n"/>
      <c r="F630" s="5" t="n"/>
      <c r="G630" s="5" t="n"/>
      <c r="H630" s="5" t="n"/>
      <c r="I630" s="5" t="n"/>
    </row>
    <row r="631">
      <c r="A631" s="5" t="n"/>
      <c r="B631" s="5" t="n"/>
      <c r="C631" s="5" t="n"/>
      <c r="D631" s="5" t="n"/>
      <c r="E631" s="8" t="n"/>
      <c r="F631" s="5" t="n"/>
      <c r="G631" s="5" t="n"/>
      <c r="H631" s="5" t="n"/>
      <c r="I631" s="5" t="n"/>
    </row>
    <row r="632">
      <c r="A632" s="5" t="n"/>
      <c r="B632" s="5" t="n"/>
      <c r="C632" s="5" t="n"/>
      <c r="D632" s="5" t="n"/>
      <c r="E632" s="8" t="n"/>
      <c r="F632" s="5" t="n"/>
      <c r="G632" s="5" t="n"/>
      <c r="H632" s="5" t="n"/>
      <c r="I632" s="5" t="n"/>
    </row>
    <row r="633">
      <c r="A633" s="5" t="n"/>
      <c r="B633" s="5" t="n"/>
      <c r="C633" s="5" t="n"/>
      <c r="D633" s="5" t="n"/>
      <c r="E633" s="8" t="n"/>
      <c r="F633" s="5" t="n"/>
      <c r="G633" s="5" t="n"/>
      <c r="H633" s="5" t="n"/>
      <c r="I633" s="5" t="n"/>
    </row>
    <row r="634">
      <c r="A634" s="5" t="n"/>
      <c r="B634" s="5" t="n"/>
      <c r="C634" s="5" t="n"/>
      <c r="D634" s="5" t="n"/>
      <c r="E634" s="8" t="n"/>
      <c r="F634" s="5" t="n"/>
      <c r="G634" s="5" t="n"/>
      <c r="H634" s="5" t="n"/>
      <c r="I634" s="5" t="n"/>
    </row>
    <row r="635">
      <c r="A635" s="5" t="n"/>
      <c r="B635" s="5" t="n"/>
      <c r="C635" s="5" t="n"/>
      <c r="D635" s="5" t="n"/>
      <c r="E635" s="8" t="n"/>
      <c r="F635" s="5" t="n"/>
      <c r="G635" s="5" t="n"/>
      <c r="H635" s="5" t="n"/>
      <c r="I635" s="5" t="n"/>
    </row>
    <row r="636">
      <c r="A636" s="5" t="n"/>
      <c r="B636" s="5" t="n"/>
      <c r="C636" s="5" t="n"/>
      <c r="D636" s="5" t="n"/>
      <c r="E636" s="8" t="n"/>
      <c r="F636" s="5" t="n"/>
      <c r="G636" s="5" t="n"/>
      <c r="H636" s="5" t="n"/>
      <c r="I636" s="5" t="n"/>
    </row>
    <row r="637">
      <c r="A637" s="5" t="n"/>
      <c r="B637" s="5" t="n"/>
      <c r="C637" s="5" t="n"/>
      <c r="D637" s="5" t="n"/>
      <c r="E637" s="8" t="n"/>
      <c r="F637" s="5" t="n"/>
      <c r="G637" s="5" t="n"/>
      <c r="H637" s="5" t="n"/>
      <c r="I637" s="5" t="n"/>
    </row>
    <row r="638">
      <c r="A638" s="5" t="n"/>
      <c r="B638" s="5" t="n"/>
      <c r="C638" s="5" t="n"/>
      <c r="D638" s="5" t="n"/>
      <c r="E638" s="8" t="n"/>
      <c r="F638" s="5" t="n"/>
      <c r="G638" s="5" t="n"/>
      <c r="H638" s="5" t="n"/>
      <c r="I638" s="5" t="n"/>
    </row>
    <row r="639">
      <c r="A639" s="5" t="n"/>
      <c r="B639" s="5" t="n"/>
      <c r="C639" s="5" t="n"/>
      <c r="D639" s="5" t="n"/>
      <c r="E639" s="8" t="n"/>
      <c r="F639" s="5" t="n"/>
      <c r="G639" s="5" t="n"/>
      <c r="H639" s="5" t="n"/>
      <c r="I639" s="5" t="n"/>
    </row>
    <row r="640">
      <c r="A640" s="5" t="n"/>
      <c r="B640" s="5" t="n"/>
      <c r="C640" s="5" t="n"/>
      <c r="D640" s="5" t="n"/>
      <c r="E640" s="8" t="n"/>
      <c r="F640" s="5" t="n"/>
      <c r="G640" s="5" t="n"/>
      <c r="H640" s="5" t="n"/>
      <c r="I640" s="5" t="n"/>
    </row>
    <row r="641">
      <c r="A641" s="5" t="n"/>
      <c r="B641" s="5" t="n"/>
      <c r="C641" s="5" t="n"/>
      <c r="D641" s="5" t="n"/>
      <c r="E641" s="8" t="n"/>
      <c r="F641" s="5" t="n"/>
      <c r="G641" s="5" t="n"/>
      <c r="H641" s="5" t="n"/>
      <c r="I641" s="5" t="n"/>
    </row>
    <row r="642">
      <c r="A642" s="5" t="n"/>
      <c r="B642" s="5" t="n"/>
      <c r="C642" s="5" t="n"/>
      <c r="D642" s="5" t="n"/>
      <c r="E642" s="8" t="n"/>
      <c r="F642" s="5" t="n"/>
      <c r="G642" s="5" t="n"/>
      <c r="H642" s="5" t="n"/>
      <c r="I642" s="5" t="n"/>
    </row>
    <row r="643">
      <c r="A643" s="5" t="n"/>
      <c r="B643" s="5" t="n"/>
      <c r="C643" s="5" t="n"/>
      <c r="D643" s="5" t="n"/>
      <c r="E643" s="8" t="n"/>
      <c r="F643" s="5" t="n"/>
      <c r="G643" s="5" t="n"/>
      <c r="H643" s="5" t="n"/>
      <c r="I643" s="5" t="n"/>
    </row>
    <row r="644">
      <c r="A644" s="5" t="n"/>
      <c r="B644" s="5" t="n"/>
      <c r="C644" s="5" t="n"/>
      <c r="D644" s="5" t="n"/>
      <c r="E644" s="8" t="n"/>
      <c r="F644" s="5" t="n"/>
      <c r="G644" s="5" t="n"/>
      <c r="H644" s="5" t="n"/>
      <c r="I644" s="5" t="n"/>
    </row>
    <row r="645">
      <c r="A645" s="5" t="n"/>
      <c r="B645" s="5" t="n"/>
      <c r="C645" s="5" t="n"/>
      <c r="D645" s="5" t="n"/>
      <c r="E645" s="8" t="n"/>
      <c r="F645" s="5" t="n"/>
      <c r="G645" s="5" t="n"/>
      <c r="H645" s="5" t="n"/>
      <c r="I645" s="5" t="n"/>
    </row>
    <row r="646">
      <c r="A646" s="5" t="n"/>
      <c r="B646" s="5" t="n"/>
      <c r="C646" s="5" t="n"/>
      <c r="D646" s="5" t="n"/>
      <c r="E646" s="8" t="n"/>
      <c r="F646" s="5" t="n"/>
      <c r="G646" s="5" t="n"/>
      <c r="H646" s="5" t="n"/>
      <c r="I646" s="5" t="n"/>
    </row>
    <row r="647">
      <c r="A647" s="5" t="n"/>
      <c r="B647" s="5" t="n"/>
      <c r="C647" s="5" t="n"/>
      <c r="D647" s="5" t="n"/>
      <c r="E647" s="8" t="n"/>
      <c r="F647" s="5" t="n"/>
      <c r="G647" s="5" t="n"/>
      <c r="H647" s="5" t="n"/>
      <c r="I647" s="5" t="n"/>
    </row>
    <row r="648">
      <c r="A648" s="5" t="n"/>
      <c r="B648" s="5" t="n"/>
      <c r="C648" s="5" t="n"/>
      <c r="D648" s="5" t="n"/>
      <c r="E648" s="8" t="n"/>
      <c r="F648" s="5" t="n"/>
      <c r="G648" s="5" t="n"/>
      <c r="H648" s="5" t="n"/>
      <c r="I648" s="5" t="n"/>
    </row>
    <row r="649">
      <c r="A649" s="5" t="n"/>
      <c r="B649" s="5" t="n"/>
      <c r="C649" s="5" t="n"/>
      <c r="D649" s="5" t="n"/>
      <c r="E649" s="8" t="n"/>
      <c r="F649" s="5" t="n"/>
      <c r="G649" s="5" t="n"/>
      <c r="H649" s="5" t="n"/>
      <c r="I649" s="5" t="n"/>
    </row>
    <row r="650">
      <c r="A650" s="5" t="n"/>
      <c r="B650" s="5" t="n"/>
      <c r="C650" s="5" t="n"/>
      <c r="D650" s="5" t="n"/>
      <c r="E650" s="8" t="n"/>
      <c r="F650" s="5" t="n"/>
      <c r="G650" s="5" t="n"/>
      <c r="H650" s="5" t="n"/>
      <c r="I650" s="5" t="n"/>
    </row>
    <row r="651">
      <c r="A651" s="5" t="n"/>
      <c r="B651" s="5" t="n"/>
      <c r="C651" s="5" t="n"/>
      <c r="D651" s="5" t="n"/>
      <c r="E651" s="8" t="n"/>
      <c r="F651" s="5" t="n"/>
      <c r="G651" s="5" t="n"/>
      <c r="H651" s="5" t="n"/>
      <c r="I651" s="5" t="n"/>
    </row>
    <row r="652">
      <c r="A652" s="5" t="n"/>
      <c r="B652" s="5" t="n"/>
      <c r="C652" s="5" t="n"/>
      <c r="D652" s="5" t="n"/>
      <c r="E652" s="8" t="n"/>
      <c r="F652" s="5" t="n"/>
      <c r="G652" s="5" t="n"/>
      <c r="H652" s="5" t="n"/>
      <c r="I652" s="5" t="n"/>
    </row>
    <row r="653">
      <c r="A653" s="5" t="n"/>
      <c r="B653" s="5" t="n"/>
      <c r="C653" s="5" t="n"/>
      <c r="D653" s="5" t="n"/>
      <c r="E653" s="8" t="n"/>
      <c r="F653" s="5" t="n"/>
      <c r="G653" s="5" t="n"/>
      <c r="H653" s="5" t="n"/>
      <c r="I653" s="5" t="n"/>
    </row>
    <row r="654">
      <c r="A654" s="5" t="n"/>
      <c r="B654" s="5" t="n"/>
      <c r="C654" s="5" t="n"/>
      <c r="D654" s="5" t="n"/>
      <c r="E654" s="8" t="n"/>
      <c r="F654" s="5" t="n"/>
      <c r="G654" s="5" t="n"/>
      <c r="H654" s="5" t="n"/>
      <c r="I654" s="5" t="n"/>
    </row>
    <row r="655">
      <c r="A655" s="5" t="n"/>
      <c r="B655" s="5" t="n"/>
      <c r="C655" s="5" t="n"/>
      <c r="D655" s="5" t="n"/>
      <c r="E655" s="8" t="n"/>
      <c r="F655" s="5" t="n"/>
      <c r="G655" s="5" t="n"/>
      <c r="H655" s="5" t="n"/>
      <c r="I655" s="5" t="n"/>
    </row>
    <row r="656">
      <c r="A656" s="5" t="n"/>
      <c r="B656" s="5" t="n"/>
      <c r="C656" s="5" t="n"/>
      <c r="D656" s="5" t="n"/>
      <c r="E656" s="8" t="n"/>
      <c r="F656" s="5" t="n"/>
      <c r="G656" s="5" t="n"/>
      <c r="H656" s="5" t="n"/>
      <c r="I656" s="5" t="n"/>
    </row>
    <row r="657">
      <c r="A657" s="5" t="n"/>
      <c r="B657" s="5" t="n"/>
      <c r="C657" s="5" t="n"/>
      <c r="D657" s="5" t="n"/>
      <c r="E657" s="8" t="n"/>
      <c r="F657" s="5" t="n"/>
      <c r="G657" s="5" t="n"/>
      <c r="H657" s="5" t="n"/>
      <c r="I657" s="5" t="n"/>
    </row>
    <row r="658">
      <c r="A658" s="5" t="n"/>
      <c r="B658" s="5" t="n"/>
      <c r="C658" s="5" t="n"/>
      <c r="D658" s="5" t="n"/>
      <c r="E658" s="8" t="n"/>
      <c r="F658" s="5" t="n"/>
      <c r="G658" s="5" t="n"/>
      <c r="H658" s="5" t="n"/>
      <c r="I658" s="5" t="n"/>
    </row>
    <row r="659">
      <c r="A659" s="5" t="n"/>
      <c r="B659" s="5" t="n"/>
      <c r="C659" s="5" t="n"/>
      <c r="D659" s="5" t="n"/>
      <c r="E659" s="8" t="n"/>
      <c r="F659" s="5" t="n"/>
      <c r="G659" s="5" t="n"/>
      <c r="H659" s="5" t="n"/>
      <c r="I659" s="5" t="n"/>
    </row>
    <row r="660">
      <c r="A660" s="5" t="n"/>
      <c r="B660" s="5" t="n"/>
      <c r="C660" s="5" t="n"/>
      <c r="D660" s="5" t="n"/>
      <c r="E660" s="8" t="n"/>
      <c r="F660" s="5" t="n"/>
      <c r="G660" s="5" t="n"/>
      <c r="H660" s="5" t="n"/>
      <c r="I660" s="5" t="n"/>
    </row>
    <row r="661">
      <c r="A661" s="5" t="n"/>
      <c r="B661" s="5" t="n"/>
      <c r="C661" s="5" t="n"/>
      <c r="D661" s="5" t="n"/>
      <c r="E661" s="8" t="n"/>
      <c r="F661" s="5" t="n"/>
      <c r="G661" s="5" t="n"/>
      <c r="H661" s="5" t="n"/>
      <c r="I661" s="5" t="n"/>
    </row>
    <row r="662">
      <c r="A662" s="5" t="n"/>
      <c r="B662" s="5" t="n"/>
      <c r="C662" s="5" t="n"/>
      <c r="D662" s="5" t="n"/>
      <c r="E662" s="8" t="n"/>
      <c r="F662" s="5" t="n"/>
      <c r="G662" s="5" t="n"/>
      <c r="H662" s="5" t="n"/>
      <c r="I662" s="5" t="n"/>
    </row>
    <row r="663">
      <c r="A663" s="5" t="n"/>
      <c r="B663" s="5" t="n"/>
      <c r="C663" s="5" t="n"/>
      <c r="D663" s="5" t="n"/>
      <c r="E663" s="8" t="n"/>
      <c r="F663" s="5" t="n"/>
      <c r="G663" s="5" t="n"/>
      <c r="H663" s="5" t="n"/>
      <c r="I663" s="5" t="n"/>
    </row>
    <row r="664">
      <c r="A664" s="5" t="n"/>
      <c r="B664" s="5" t="n"/>
      <c r="C664" s="5" t="n"/>
      <c r="D664" s="5" t="n"/>
      <c r="E664" s="8" t="n"/>
      <c r="F664" s="5" t="n"/>
      <c r="G664" s="5" t="n"/>
      <c r="H664" s="5" t="n"/>
      <c r="I664" s="5" t="n"/>
    </row>
    <row r="665">
      <c r="A665" s="5" t="n"/>
      <c r="B665" s="5" t="n"/>
      <c r="C665" s="5" t="n"/>
      <c r="D665" s="5" t="n"/>
      <c r="E665" s="8" t="n"/>
      <c r="F665" s="5" t="n"/>
      <c r="G665" s="5" t="n"/>
      <c r="H665" s="5" t="n"/>
      <c r="I665" s="5" t="n"/>
    </row>
    <row r="666">
      <c r="A666" s="5" t="n"/>
      <c r="B666" s="5" t="n"/>
      <c r="C666" s="5" t="n"/>
      <c r="D666" s="5" t="n"/>
      <c r="E666" s="8" t="n"/>
      <c r="F666" s="5" t="n"/>
      <c r="G666" s="5" t="n"/>
      <c r="H666" s="5" t="n"/>
      <c r="I666" s="5" t="n"/>
    </row>
    <row r="667">
      <c r="A667" s="5" t="n"/>
      <c r="B667" s="5" t="n"/>
      <c r="C667" s="5" t="n"/>
      <c r="D667" s="5" t="n"/>
      <c r="E667" s="8" t="n"/>
      <c r="F667" s="5" t="n"/>
      <c r="G667" s="5" t="n"/>
      <c r="H667" s="5" t="n"/>
      <c r="I667" s="5" t="n"/>
    </row>
    <row r="668">
      <c r="A668" s="5" t="n"/>
      <c r="B668" s="5" t="n"/>
      <c r="C668" s="5" t="n"/>
      <c r="D668" s="5" t="n"/>
      <c r="E668" s="8" t="n"/>
      <c r="F668" s="5" t="n"/>
      <c r="G668" s="5" t="n"/>
      <c r="H668" s="5" t="n"/>
      <c r="I668" s="5" t="n"/>
    </row>
    <row r="669">
      <c r="A669" s="5" t="n"/>
      <c r="B669" s="5" t="n"/>
      <c r="C669" s="5" t="n"/>
      <c r="D669" s="5" t="n"/>
      <c r="E669" s="8" t="n"/>
      <c r="F669" s="5" t="n"/>
      <c r="G669" s="5" t="n"/>
      <c r="H669" s="5" t="n"/>
      <c r="I669" s="5" t="n"/>
    </row>
    <row r="670">
      <c r="A670" s="5" t="n"/>
      <c r="B670" s="5" t="n"/>
      <c r="C670" s="5" t="n"/>
      <c r="D670" s="5" t="n"/>
      <c r="E670" s="8" t="n"/>
      <c r="F670" s="5" t="n"/>
      <c r="G670" s="5" t="n"/>
      <c r="H670" s="5" t="n"/>
      <c r="I670" s="5" t="n"/>
    </row>
    <row r="671">
      <c r="A671" s="5" t="n"/>
      <c r="B671" s="5" t="n"/>
      <c r="C671" s="5" t="n"/>
      <c r="D671" s="5" t="n"/>
      <c r="E671" s="8" t="n"/>
      <c r="F671" s="5" t="n"/>
      <c r="G671" s="5" t="n"/>
      <c r="H671" s="5" t="n"/>
      <c r="I671" s="5" t="n"/>
    </row>
    <row r="672">
      <c r="A672" s="5" t="n"/>
      <c r="B672" s="5" t="n"/>
      <c r="C672" s="5" t="n"/>
      <c r="D672" s="5" t="n"/>
      <c r="E672" s="8" t="n"/>
      <c r="F672" s="5" t="n"/>
      <c r="G672" s="5" t="n"/>
      <c r="H672" s="5" t="n"/>
      <c r="I672" s="5" t="n"/>
    </row>
    <row r="673">
      <c r="A673" s="5" t="n"/>
      <c r="B673" s="5" t="n"/>
      <c r="C673" s="5" t="n"/>
      <c r="D673" s="5" t="n"/>
      <c r="E673" s="8" t="n"/>
      <c r="F673" s="5" t="n"/>
      <c r="G673" s="5" t="n"/>
      <c r="H673" s="5" t="n"/>
      <c r="I673" s="5" t="n"/>
    </row>
    <row r="674">
      <c r="A674" s="5" t="n"/>
      <c r="B674" s="5" t="n"/>
      <c r="C674" s="5" t="n"/>
      <c r="D674" s="5" t="n"/>
      <c r="E674" s="8" t="n"/>
      <c r="F674" s="5" t="n"/>
      <c r="G674" s="5" t="n"/>
      <c r="H674" s="5" t="n"/>
      <c r="I674" s="5" t="n"/>
    </row>
    <row r="675">
      <c r="A675" s="5" t="n"/>
      <c r="B675" s="5" t="n"/>
      <c r="C675" s="5" t="n"/>
      <c r="D675" s="5" t="n"/>
      <c r="E675" s="8" t="n"/>
      <c r="F675" s="5" t="n"/>
      <c r="G675" s="5" t="n"/>
      <c r="H675" s="5" t="n"/>
      <c r="I675" s="5" t="n"/>
    </row>
    <row r="676">
      <c r="A676" s="5" t="n"/>
      <c r="B676" s="5" t="n"/>
      <c r="C676" s="5" t="n"/>
      <c r="D676" s="5" t="n"/>
      <c r="E676" s="8" t="n"/>
      <c r="F676" s="5" t="n"/>
      <c r="G676" s="5" t="n"/>
      <c r="H676" s="5" t="n"/>
      <c r="I676" s="5" t="n"/>
    </row>
    <row r="677">
      <c r="A677" s="5" t="n"/>
      <c r="B677" s="5" t="n"/>
      <c r="C677" s="5" t="n"/>
      <c r="D677" s="5" t="n"/>
      <c r="E677" s="8" t="n"/>
      <c r="F677" s="5" t="n"/>
      <c r="G677" s="5" t="n"/>
      <c r="H677" s="5" t="n"/>
      <c r="I677" s="5" t="n"/>
    </row>
    <row r="678">
      <c r="A678" s="5" t="n"/>
      <c r="B678" s="5" t="n"/>
      <c r="C678" s="5" t="n"/>
      <c r="D678" s="5" t="n"/>
      <c r="E678" s="8" t="n"/>
      <c r="F678" s="5" t="n"/>
      <c r="G678" s="5" t="n"/>
      <c r="H678" s="5" t="n"/>
      <c r="I678" s="5" t="n"/>
    </row>
    <row r="679">
      <c r="A679" s="5" t="n"/>
      <c r="B679" s="5" t="n"/>
      <c r="C679" s="5" t="n"/>
      <c r="D679" s="5" t="n"/>
      <c r="E679" s="8" t="n"/>
      <c r="F679" s="5" t="n"/>
      <c r="G679" s="5" t="n"/>
      <c r="H679" s="5" t="n"/>
      <c r="I679" s="5" t="n"/>
    </row>
    <row r="680">
      <c r="A680" s="5" t="n"/>
      <c r="B680" s="5" t="n"/>
      <c r="C680" s="5" t="n"/>
      <c r="D680" s="5" t="n"/>
      <c r="E680" s="8" t="n"/>
      <c r="F680" s="5" t="n"/>
      <c r="G680" s="5" t="n"/>
      <c r="H680" s="5" t="n"/>
      <c r="I680" s="5" t="n"/>
    </row>
    <row r="681">
      <c r="A681" s="5" t="n"/>
      <c r="B681" s="5" t="n"/>
      <c r="C681" s="5" t="n"/>
      <c r="D681" s="5" t="n"/>
      <c r="E681" s="8" t="n"/>
      <c r="F681" s="5" t="n"/>
      <c r="G681" s="5" t="n"/>
      <c r="H681" s="5" t="n"/>
      <c r="I681" s="5" t="n"/>
    </row>
    <row r="682">
      <c r="A682" s="5" t="n"/>
      <c r="B682" s="5" t="n"/>
      <c r="C682" s="5" t="n"/>
      <c r="D682" s="5" t="n"/>
      <c r="E682" s="8" t="n"/>
      <c r="F682" s="5" t="n"/>
      <c r="G682" s="5" t="n"/>
      <c r="H682" s="5" t="n"/>
      <c r="I682" s="5" t="n"/>
    </row>
    <row r="683">
      <c r="A683" s="5" t="n"/>
      <c r="B683" s="5" t="n"/>
      <c r="C683" s="5" t="n"/>
      <c r="D683" s="5" t="n"/>
      <c r="E683" s="8" t="n"/>
      <c r="F683" s="5" t="n"/>
      <c r="G683" s="5" t="n"/>
      <c r="H683" s="5" t="n"/>
      <c r="I683" s="5" t="n"/>
    </row>
    <row r="684">
      <c r="A684" s="5" t="n"/>
      <c r="B684" s="5" t="n"/>
      <c r="C684" s="5" t="n"/>
      <c r="D684" s="5" t="n"/>
      <c r="E684" s="8" t="n"/>
      <c r="F684" s="5" t="n"/>
      <c r="G684" s="5" t="n"/>
      <c r="H684" s="5" t="n"/>
      <c r="I684" s="5" t="n"/>
    </row>
    <row r="685">
      <c r="A685" s="5" t="n"/>
      <c r="B685" s="5" t="n"/>
      <c r="C685" s="5" t="n"/>
      <c r="D685" s="5" t="n"/>
      <c r="E685" s="8" t="n"/>
      <c r="F685" s="5" t="n"/>
      <c r="G685" s="5" t="n"/>
      <c r="H685" s="5" t="n"/>
      <c r="I685" s="5" t="n"/>
    </row>
    <row r="686">
      <c r="A686" s="5" t="n"/>
      <c r="B686" s="5" t="n"/>
      <c r="C686" s="5" t="n"/>
      <c r="D686" s="5" t="n"/>
      <c r="E686" s="8" t="n"/>
      <c r="F686" s="5" t="n"/>
      <c r="G686" s="5" t="n"/>
      <c r="H686" s="5" t="n"/>
      <c r="I686" s="5" t="n"/>
    </row>
    <row r="687">
      <c r="A687" s="5" t="n"/>
      <c r="B687" s="5" t="n"/>
      <c r="C687" s="5" t="n"/>
      <c r="D687" s="5" t="n"/>
      <c r="E687" s="8" t="n"/>
      <c r="F687" s="5" t="n"/>
      <c r="G687" s="5" t="n"/>
      <c r="H687" s="5" t="n"/>
      <c r="I687" s="5" t="n"/>
    </row>
    <row r="688">
      <c r="A688" s="5" t="n"/>
      <c r="B688" s="5" t="n"/>
      <c r="C688" s="5" t="n"/>
      <c r="D688" s="5" t="n"/>
      <c r="E688" s="8" t="n"/>
      <c r="F688" s="5" t="n"/>
      <c r="G688" s="5" t="n"/>
      <c r="H688" s="5" t="n"/>
      <c r="I688" s="5" t="n"/>
    </row>
    <row r="689">
      <c r="A689" s="5" t="n"/>
      <c r="B689" s="5" t="n"/>
      <c r="C689" s="5" t="n"/>
      <c r="D689" s="5" t="n"/>
      <c r="E689" s="8" t="n"/>
      <c r="F689" s="5" t="n"/>
      <c r="G689" s="5" t="n"/>
      <c r="H689" s="5" t="n"/>
      <c r="I689" s="5" t="n"/>
    </row>
    <row r="690">
      <c r="A690" s="5" t="n"/>
      <c r="B690" s="5" t="n"/>
      <c r="C690" s="5" t="n"/>
      <c r="D690" s="5" t="n"/>
      <c r="E690" s="8" t="n"/>
      <c r="F690" s="5" t="n"/>
      <c r="G690" s="5" t="n"/>
      <c r="H690" s="5" t="n"/>
      <c r="I690" s="5" t="n"/>
    </row>
    <row r="691">
      <c r="A691" s="5" t="n"/>
      <c r="B691" s="5" t="n"/>
      <c r="C691" s="5" t="n"/>
      <c r="D691" s="5" t="n"/>
      <c r="E691" s="8" t="n"/>
      <c r="F691" s="5" t="n"/>
      <c r="G691" s="5" t="n"/>
      <c r="H691" s="5" t="n"/>
      <c r="I691" s="5" t="n"/>
    </row>
    <row r="692">
      <c r="A692" s="5" t="n"/>
      <c r="B692" s="5" t="n"/>
      <c r="C692" s="5" t="n"/>
      <c r="D692" s="5" t="n"/>
      <c r="E692" s="8" t="n"/>
      <c r="F692" s="5" t="n"/>
      <c r="G692" s="5" t="n"/>
      <c r="H692" s="5" t="n"/>
      <c r="I692" s="5" t="n"/>
    </row>
    <row r="693">
      <c r="A693" s="5" t="n"/>
      <c r="B693" s="5" t="n"/>
      <c r="C693" s="5" t="n"/>
      <c r="D693" s="5" t="n"/>
      <c r="E693" s="8" t="n"/>
      <c r="F693" s="5" t="n"/>
      <c r="G693" s="5" t="n"/>
      <c r="H693" s="5" t="n"/>
      <c r="I693" s="5" t="n"/>
    </row>
    <row r="694">
      <c r="A694" s="5" t="n"/>
      <c r="B694" s="5" t="n"/>
      <c r="C694" s="5" t="n"/>
      <c r="D694" s="5" t="n"/>
      <c r="E694" s="8" t="n"/>
      <c r="F694" s="5" t="n"/>
      <c r="G694" s="5" t="n"/>
      <c r="H694" s="5" t="n"/>
      <c r="I694" s="5" t="n"/>
    </row>
    <row r="695">
      <c r="A695" s="5" t="n"/>
      <c r="B695" s="5" t="n"/>
      <c r="C695" s="5" t="n"/>
      <c r="D695" s="5" t="n"/>
      <c r="E695" s="8" t="n"/>
      <c r="F695" s="5" t="n"/>
      <c r="G695" s="5" t="n"/>
      <c r="H695" s="5" t="n"/>
      <c r="I695" s="5" t="n"/>
    </row>
    <row r="696">
      <c r="A696" s="5" t="n"/>
      <c r="B696" s="5" t="n"/>
      <c r="C696" s="5" t="n"/>
      <c r="D696" s="5" t="n"/>
      <c r="E696" s="8" t="n"/>
      <c r="F696" s="5" t="n"/>
      <c r="G696" s="5" t="n"/>
      <c r="H696" s="5" t="n"/>
      <c r="I696" s="5" t="n"/>
    </row>
    <row r="697">
      <c r="A697" s="5" t="n"/>
      <c r="B697" s="5" t="n"/>
      <c r="C697" s="5" t="n"/>
      <c r="D697" s="5" t="n"/>
      <c r="E697" s="8" t="n"/>
      <c r="F697" s="5" t="n"/>
      <c r="G697" s="5" t="n"/>
      <c r="H697" s="5" t="n"/>
      <c r="I697" s="5" t="n"/>
    </row>
    <row r="698">
      <c r="A698" s="5" t="n"/>
      <c r="B698" s="5" t="n"/>
      <c r="C698" s="5" t="n"/>
      <c r="D698" s="5" t="n"/>
      <c r="E698" s="8" t="n"/>
      <c r="F698" s="5" t="n"/>
      <c r="G698" s="5" t="n"/>
      <c r="H698" s="5" t="n"/>
      <c r="I698" s="5" t="n"/>
    </row>
    <row r="699">
      <c r="A699" s="5" t="n"/>
      <c r="B699" s="5" t="n"/>
      <c r="C699" s="5" t="n"/>
      <c r="D699" s="5" t="n"/>
      <c r="E699" s="8" t="n"/>
      <c r="F699" s="5" t="n"/>
      <c r="G699" s="5" t="n"/>
      <c r="H699" s="5" t="n"/>
      <c r="I699" s="5" t="n"/>
    </row>
    <row r="700">
      <c r="A700" s="5" t="n"/>
      <c r="B700" s="5" t="n"/>
      <c r="C700" s="5" t="n"/>
      <c r="D700" s="5" t="n"/>
      <c r="E700" s="8" t="n"/>
      <c r="F700" s="5" t="n"/>
      <c r="G700" s="5" t="n"/>
      <c r="H700" s="5" t="n"/>
      <c r="I700" s="5" t="n"/>
    </row>
    <row r="701">
      <c r="A701" s="5" t="n"/>
      <c r="B701" s="5" t="n"/>
      <c r="C701" s="5" t="n"/>
      <c r="D701" s="5" t="n"/>
      <c r="E701" s="8" t="n"/>
      <c r="F701" s="5" t="n"/>
      <c r="G701" s="5" t="n"/>
      <c r="H701" s="5" t="n"/>
      <c r="I701" s="5" t="n"/>
    </row>
    <row r="702">
      <c r="A702" s="5" t="n"/>
      <c r="B702" s="5" t="n"/>
      <c r="C702" s="5" t="n"/>
      <c r="D702" s="5" t="n"/>
      <c r="E702" s="8" t="n"/>
      <c r="F702" s="5" t="n"/>
      <c r="G702" s="5" t="n"/>
      <c r="H702" s="5" t="n"/>
      <c r="I702" s="5" t="n"/>
    </row>
    <row r="703">
      <c r="A703" s="5" t="n"/>
      <c r="B703" s="5" t="n"/>
      <c r="C703" s="5" t="n"/>
      <c r="D703" s="5" t="n"/>
      <c r="E703" s="8" t="n"/>
      <c r="F703" s="5" t="n"/>
      <c r="G703" s="5" t="n"/>
      <c r="H703" s="5" t="n"/>
      <c r="I703" s="5" t="n"/>
    </row>
    <row r="704">
      <c r="A704" s="5" t="n"/>
      <c r="B704" s="5" t="n"/>
      <c r="C704" s="5" t="n"/>
      <c r="D704" s="5" t="n"/>
      <c r="E704" s="8" t="n"/>
      <c r="F704" s="5" t="n"/>
      <c r="G704" s="5" t="n"/>
      <c r="H704" s="5" t="n"/>
      <c r="I704" s="5" t="n"/>
    </row>
    <row r="705">
      <c r="A705" s="5" t="n"/>
      <c r="B705" s="5" t="n"/>
      <c r="C705" s="5" t="n"/>
      <c r="D705" s="5" t="n"/>
      <c r="E705" s="8" t="n"/>
      <c r="F705" s="5" t="n"/>
      <c r="G705" s="5" t="n"/>
      <c r="H705" s="5" t="n"/>
      <c r="I705" s="5" t="n"/>
    </row>
    <row r="706">
      <c r="A706" s="5" t="n"/>
      <c r="B706" s="5" t="n"/>
      <c r="C706" s="5" t="n"/>
      <c r="D706" s="5" t="n"/>
      <c r="E706" s="8" t="n"/>
      <c r="F706" s="5" t="n"/>
      <c r="G706" s="5" t="n"/>
      <c r="H706" s="5" t="n"/>
      <c r="I706" s="5" t="n"/>
    </row>
    <row r="707">
      <c r="A707" s="5" t="n"/>
      <c r="B707" s="5" t="n"/>
      <c r="C707" s="5" t="n"/>
      <c r="D707" s="5" t="n"/>
      <c r="E707" s="8" t="n"/>
      <c r="F707" s="5" t="n"/>
      <c r="G707" s="5" t="n"/>
      <c r="H707" s="5" t="n"/>
      <c r="I707" s="5" t="n"/>
    </row>
    <row r="708">
      <c r="A708" s="5" t="n"/>
      <c r="B708" s="5" t="n"/>
      <c r="C708" s="5" t="n"/>
      <c r="D708" s="5" t="n"/>
      <c r="E708" s="8" t="n"/>
      <c r="F708" s="5" t="n"/>
      <c r="G708" s="5" t="n"/>
      <c r="H708" s="5" t="n"/>
      <c r="I708" s="5" t="n"/>
    </row>
    <row r="709">
      <c r="A709" s="5" t="n"/>
      <c r="B709" s="5" t="n"/>
      <c r="C709" s="5" t="n"/>
      <c r="D709" s="5" t="n"/>
      <c r="E709" s="8" t="n"/>
      <c r="F709" s="5" t="n"/>
      <c r="G709" s="5" t="n"/>
      <c r="H709" s="5" t="n"/>
      <c r="I709" s="5" t="n"/>
    </row>
    <row r="710">
      <c r="A710" s="5" t="n"/>
      <c r="B710" s="5" t="n"/>
      <c r="C710" s="5" t="n"/>
      <c r="D710" s="5" t="n"/>
      <c r="E710" s="8" t="n"/>
      <c r="F710" s="5" t="n"/>
      <c r="G710" s="5" t="n"/>
      <c r="H710" s="5" t="n"/>
      <c r="I710" s="5" t="n"/>
    </row>
    <row r="711">
      <c r="A711" s="5" t="n"/>
      <c r="B711" s="5" t="n"/>
      <c r="C711" s="5" t="n"/>
      <c r="D711" s="5" t="n"/>
      <c r="E711" s="8" t="n"/>
      <c r="F711" s="5" t="n"/>
      <c r="G711" s="5" t="n"/>
      <c r="H711" s="5" t="n"/>
      <c r="I711" s="5" t="n"/>
    </row>
    <row r="712">
      <c r="A712" s="5" t="n"/>
      <c r="B712" s="5" t="n"/>
      <c r="C712" s="5" t="n"/>
      <c r="D712" s="5" t="n"/>
      <c r="E712" s="8" t="n"/>
      <c r="F712" s="5" t="n"/>
      <c r="G712" s="5" t="n"/>
      <c r="H712" s="5" t="n"/>
      <c r="I712" s="5" t="n"/>
    </row>
    <row r="713">
      <c r="A713" s="5" t="n"/>
      <c r="B713" s="5" t="n"/>
      <c r="C713" s="5" t="n"/>
      <c r="D713" s="5" t="n"/>
      <c r="E713" s="8" t="n"/>
      <c r="F713" s="5" t="n"/>
      <c r="G713" s="5" t="n"/>
      <c r="H713" s="5" t="n"/>
      <c r="I713" s="5" t="n"/>
    </row>
    <row r="714">
      <c r="A714" s="5" t="n"/>
      <c r="B714" s="5" t="n"/>
      <c r="C714" s="5" t="n"/>
      <c r="D714" s="5" t="n"/>
      <c r="E714" s="8" t="n"/>
      <c r="F714" s="5" t="n"/>
      <c r="G714" s="5" t="n"/>
      <c r="H714" s="5" t="n"/>
      <c r="I714" s="5" t="n"/>
    </row>
    <row r="715">
      <c r="A715" s="5" t="n"/>
      <c r="B715" s="5" t="n"/>
      <c r="C715" s="5" t="n"/>
      <c r="D715" s="5" t="n"/>
      <c r="E715" s="8" t="n"/>
      <c r="F715" s="5" t="n"/>
      <c r="G715" s="5" t="n"/>
      <c r="H715" s="5" t="n"/>
      <c r="I715" s="5" t="n"/>
    </row>
    <row r="716">
      <c r="A716" s="5" t="n"/>
      <c r="B716" s="5" t="n"/>
      <c r="C716" s="5" t="n"/>
      <c r="D716" s="5" t="n"/>
      <c r="E716" s="8" t="n"/>
      <c r="F716" s="5" t="n"/>
      <c r="G716" s="5" t="n"/>
      <c r="H716" s="5" t="n"/>
      <c r="I716" s="5" t="n"/>
    </row>
    <row r="717">
      <c r="A717" s="5" t="n"/>
      <c r="B717" s="5" t="n"/>
      <c r="C717" s="5" t="n"/>
      <c r="D717" s="5" t="n"/>
      <c r="E717" s="8" t="n"/>
      <c r="F717" s="5" t="n"/>
      <c r="G717" s="5" t="n"/>
      <c r="H717" s="5" t="n"/>
      <c r="I717" s="5" t="n"/>
    </row>
    <row r="718">
      <c r="A718" s="5" t="n"/>
      <c r="B718" s="5" t="n"/>
      <c r="C718" s="5" t="n"/>
      <c r="D718" s="5" t="n"/>
      <c r="E718" s="8" t="n"/>
      <c r="F718" s="5" t="n"/>
      <c r="G718" s="5" t="n"/>
      <c r="H718" s="5" t="n"/>
      <c r="I718" s="5" t="n"/>
    </row>
    <row r="719">
      <c r="A719" s="5" t="n"/>
      <c r="B719" s="5" t="n"/>
      <c r="C719" s="5" t="n"/>
      <c r="D719" s="5" t="n"/>
      <c r="E719" s="8" t="n"/>
      <c r="F719" s="5" t="n"/>
      <c r="G719" s="5" t="n"/>
      <c r="H719" s="5" t="n"/>
      <c r="I719" s="5" t="n"/>
    </row>
    <row r="720">
      <c r="A720" s="5" t="n"/>
      <c r="B720" s="5" t="n"/>
      <c r="C720" s="5" t="n"/>
      <c r="D720" s="5" t="n"/>
      <c r="E720" s="8" t="n"/>
      <c r="F720" s="5" t="n"/>
      <c r="G720" s="5" t="n"/>
      <c r="H720" s="5" t="n"/>
      <c r="I720" s="5" t="n"/>
    </row>
    <row r="721">
      <c r="A721" s="5" t="n"/>
      <c r="B721" s="5" t="n"/>
      <c r="C721" s="5" t="n"/>
      <c r="D721" s="5" t="n"/>
      <c r="E721" s="8" t="n"/>
      <c r="F721" s="5" t="n"/>
      <c r="G721" s="5" t="n"/>
      <c r="H721" s="5" t="n"/>
      <c r="I721" s="5" t="n"/>
    </row>
    <row r="722">
      <c r="A722" s="5" t="n"/>
      <c r="B722" s="5" t="n"/>
      <c r="C722" s="5" t="n"/>
      <c r="D722" s="5" t="n"/>
      <c r="E722" s="8" t="n"/>
      <c r="F722" s="5" t="n"/>
      <c r="G722" s="5" t="n"/>
      <c r="H722" s="5" t="n"/>
      <c r="I722" s="5" t="n"/>
    </row>
    <row r="723">
      <c r="A723" s="5" t="n"/>
      <c r="B723" s="5" t="n"/>
      <c r="C723" s="5" t="n"/>
      <c r="D723" s="5" t="n"/>
      <c r="E723" s="8" t="n"/>
      <c r="F723" s="5" t="n"/>
      <c r="G723" s="5" t="n"/>
      <c r="H723" s="5" t="n"/>
      <c r="I723" s="5" t="n"/>
    </row>
    <row r="724">
      <c r="A724" s="5" t="n"/>
      <c r="B724" s="5" t="n"/>
      <c r="C724" s="5" t="n"/>
      <c r="D724" s="5" t="n"/>
      <c r="E724" s="8" t="n"/>
      <c r="F724" s="5" t="n"/>
      <c r="G724" s="5" t="n"/>
      <c r="H724" s="5" t="n"/>
      <c r="I724" s="5" t="n"/>
    </row>
    <row r="725">
      <c r="A725" s="5" t="n"/>
      <c r="B725" s="5" t="n"/>
      <c r="C725" s="5" t="n"/>
      <c r="D725" s="5" t="n"/>
      <c r="E725" s="8" t="n"/>
      <c r="F725" s="5" t="n"/>
      <c r="G725" s="5" t="n"/>
      <c r="H725" s="5" t="n"/>
      <c r="I725" s="5" t="n"/>
    </row>
    <row r="726">
      <c r="A726" s="5" t="n"/>
      <c r="B726" s="5" t="n"/>
      <c r="C726" s="5" t="n"/>
      <c r="D726" s="5" t="n"/>
      <c r="E726" s="8" t="n"/>
      <c r="F726" s="5" t="n"/>
      <c r="G726" s="5" t="n"/>
      <c r="H726" s="5" t="n"/>
      <c r="I726" s="5" t="n"/>
    </row>
    <row r="727">
      <c r="A727" s="5" t="n"/>
      <c r="B727" s="5" t="n"/>
      <c r="C727" s="5" t="n"/>
      <c r="D727" s="5" t="n"/>
      <c r="E727" s="8" t="n"/>
      <c r="F727" s="5" t="n"/>
      <c r="G727" s="5" t="n"/>
      <c r="H727" s="5" t="n"/>
      <c r="I727" s="5" t="n"/>
    </row>
    <row r="728">
      <c r="A728" s="5" t="n"/>
      <c r="B728" s="5" t="n"/>
      <c r="C728" s="5" t="n"/>
      <c r="D728" s="5" t="n"/>
      <c r="E728" s="8" t="n"/>
      <c r="F728" s="5" t="n"/>
      <c r="G728" s="5" t="n"/>
      <c r="H728" s="5" t="n"/>
      <c r="I728" s="5" t="n"/>
    </row>
    <row r="729">
      <c r="A729" s="5" t="n"/>
      <c r="B729" s="5" t="n"/>
      <c r="C729" s="5" t="n"/>
      <c r="D729" s="5" t="n"/>
      <c r="E729" s="8" t="n"/>
      <c r="F729" s="5" t="n"/>
      <c r="G729" s="5" t="n"/>
      <c r="H729" s="5" t="n"/>
      <c r="I729" s="5" t="n"/>
    </row>
    <row r="730">
      <c r="A730" s="5" t="n"/>
      <c r="B730" s="5" t="n"/>
      <c r="C730" s="5" t="n"/>
      <c r="D730" s="5" t="n"/>
      <c r="E730" s="8" t="n"/>
      <c r="F730" s="5" t="n"/>
      <c r="G730" s="5" t="n"/>
      <c r="H730" s="5" t="n"/>
      <c r="I730" s="5" t="n"/>
    </row>
    <row r="731">
      <c r="A731" s="5" t="n"/>
      <c r="B731" s="5" t="n"/>
      <c r="C731" s="5" t="n"/>
      <c r="D731" s="5" t="n"/>
      <c r="E731" s="8" t="n"/>
      <c r="F731" s="5" t="n"/>
      <c r="G731" s="5" t="n"/>
      <c r="H731" s="5" t="n"/>
      <c r="I731" s="5" t="n"/>
    </row>
    <row r="732">
      <c r="A732" s="5" t="n"/>
      <c r="B732" s="5" t="n"/>
      <c r="C732" s="5" t="n"/>
      <c r="D732" s="5" t="n"/>
      <c r="E732" s="8" t="n"/>
      <c r="F732" s="5" t="n"/>
      <c r="G732" s="5" t="n"/>
      <c r="H732" s="5" t="n"/>
      <c r="I732" s="5" t="n"/>
    </row>
    <row r="733">
      <c r="A733" s="5" t="n"/>
      <c r="B733" s="5" t="n"/>
      <c r="C733" s="5" t="n"/>
      <c r="D733" s="5" t="n"/>
      <c r="E733" s="8" t="n"/>
      <c r="F733" s="5" t="n"/>
      <c r="G733" s="5" t="n"/>
      <c r="H733" s="5" t="n"/>
      <c r="I733" s="5" t="n"/>
    </row>
    <row r="734">
      <c r="A734" s="5" t="n"/>
      <c r="B734" s="5" t="n"/>
      <c r="C734" s="5" t="n"/>
      <c r="D734" s="5" t="n"/>
      <c r="E734" s="8" t="n"/>
      <c r="F734" s="5" t="n"/>
      <c r="G734" s="5" t="n"/>
      <c r="H734" s="5" t="n"/>
      <c r="I734" s="5" t="n"/>
    </row>
    <row r="735">
      <c r="A735" s="5" t="n"/>
      <c r="B735" s="5" t="n"/>
      <c r="C735" s="5" t="n"/>
      <c r="D735" s="5" t="n"/>
      <c r="E735" s="8" t="n"/>
      <c r="F735" s="5" t="n"/>
      <c r="G735" s="5" t="n"/>
      <c r="H735" s="5" t="n"/>
      <c r="I735" s="5" t="n"/>
    </row>
    <row r="736">
      <c r="A736" s="5" t="n"/>
      <c r="B736" s="5" t="n"/>
      <c r="C736" s="5" t="n"/>
      <c r="D736" s="5" t="n"/>
      <c r="E736" s="8" t="n"/>
      <c r="F736" s="5" t="n"/>
      <c r="G736" s="5" t="n"/>
      <c r="H736" s="5" t="n"/>
      <c r="I736" s="5" t="n"/>
    </row>
    <row r="737">
      <c r="A737" s="5" t="n"/>
      <c r="B737" s="5" t="n"/>
      <c r="C737" s="5" t="n"/>
      <c r="D737" s="5" t="n"/>
      <c r="E737" s="8" t="n"/>
      <c r="F737" s="5" t="n"/>
      <c r="G737" s="5" t="n"/>
      <c r="H737" s="5" t="n"/>
      <c r="I737" s="5" t="n"/>
    </row>
    <row r="738">
      <c r="A738" s="5" t="n"/>
      <c r="B738" s="5" t="n"/>
      <c r="C738" s="5" t="n"/>
      <c r="D738" s="5" t="n"/>
      <c r="E738" s="8" t="n"/>
      <c r="F738" s="5" t="n"/>
      <c r="G738" s="5" t="n"/>
      <c r="H738" s="5" t="n"/>
      <c r="I738" s="5" t="n"/>
    </row>
    <row r="739">
      <c r="A739" s="5" t="n"/>
      <c r="B739" s="5" t="n"/>
      <c r="C739" s="5" t="n"/>
      <c r="D739" s="5" t="n"/>
      <c r="E739" s="8" t="n"/>
      <c r="F739" s="5" t="n"/>
      <c r="G739" s="5" t="n"/>
      <c r="H739" s="5" t="n"/>
      <c r="I739" s="5" t="n"/>
    </row>
    <row r="740">
      <c r="A740" s="5" t="n"/>
      <c r="B740" s="5" t="n"/>
      <c r="C740" s="5" t="n"/>
      <c r="D740" s="5" t="n"/>
      <c r="E740" s="8" t="n"/>
      <c r="F740" s="5" t="n"/>
      <c r="G740" s="5" t="n"/>
      <c r="H740" s="5" t="n"/>
      <c r="I740" s="5" t="n"/>
    </row>
    <row r="741">
      <c r="A741" s="5" t="n"/>
      <c r="B741" s="5" t="n"/>
      <c r="C741" s="5" t="n"/>
      <c r="D741" s="5" t="n"/>
      <c r="E741" s="8" t="n"/>
      <c r="F741" s="5" t="n"/>
      <c r="G741" s="5" t="n"/>
      <c r="H741" s="5" t="n"/>
      <c r="I741" s="5" t="n"/>
    </row>
    <row r="742">
      <c r="A742" s="5" t="n"/>
      <c r="B742" s="5" t="n"/>
      <c r="C742" s="5" t="n"/>
      <c r="D742" s="5" t="n"/>
      <c r="E742" s="8" t="n"/>
      <c r="F742" s="5" t="n"/>
      <c r="G742" s="5" t="n"/>
      <c r="H742" s="5" t="n"/>
      <c r="I742" s="5" t="n"/>
    </row>
    <row r="743">
      <c r="A743" s="5" t="n"/>
      <c r="B743" s="5" t="n"/>
      <c r="C743" s="5" t="n"/>
      <c r="D743" s="5" t="n"/>
      <c r="E743" s="8" t="n"/>
      <c r="F743" s="5" t="n"/>
      <c r="G743" s="5" t="n"/>
      <c r="H743" s="5" t="n"/>
      <c r="I743" s="5" t="n"/>
    </row>
    <row r="744">
      <c r="A744" s="5" t="n"/>
      <c r="B744" s="5" t="n"/>
      <c r="C744" s="5" t="n"/>
      <c r="D744" s="5" t="n"/>
      <c r="E744" s="8" t="n"/>
      <c r="F744" s="5" t="n"/>
      <c r="G744" s="5" t="n"/>
      <c r="H744" s="5" t="n"/>
      <c r="I744" s="5" t="n"/>
    </row>
    <row r="745">
      <c r="A745" s="5" t="n"/>
      <c r="B745" s="5" t="n"/>
      <c r="C745" s="5" t="n"/>
      <c r="D745" s="5" t="n"/>
      <c r="E745" s="8" t="n"/>
      <c r="F745" s="5" t="n"/>
      <c r="G745" s="5" t="n"/>
      <c r="H745" s="5" t="n"/>
      <c r="I745" s="5" t="n"/>
    </row>
    <row r="746">
      <c r="A746" s="5" t="n"/>
      <c r="B746" s="5" t="n"/>
      <c r="C746" s="5" t="n"/>
      <c r="D746" s="5" t="n"/>
      <c r="E746" s="8" t="n"/>
      <c r="F746" s="5" t="n"/>
      <c r="G746" s="5" t="n"/>
      <c r="H746" s="5" t="n"/>
      <c r="I746" s="5" t="n"/>
    </row>
    <row r="747">
      <c r="A747" s="5" t="n"/>
      <c r="B747" s="5" t="n"/>
      <c r="C747" s="5" t="n"/>
      <c r="D747" s="5" t="n"/>
      <c r="E747" s="8" t="n"/>
      <c r="F747" s="5" t="n"/>
      <c r="G747" s="5" t="n"/>
      <c r="H747" s="5" t="n"/>
      <c r="I747" s="5" t="n"/>
    </row>
    <row r="748">
      <c r="A748" s="5" t="n"/>
      <c r="B748" s="5" t="n"/>
      <c r="C748" s="5" t="n"/>
      <c r="D748" s="5" t="n"/>
      <c r="E748" s="8" t="n"/>
      <c r="F748" s="5" t="n"/>
      <c r="G748" s="5" t="n"/>
      <c r="H748" s="5" t="n"/>
      <c r="I748" s="5" t="n"/>
    </row>
    <row r="749">
      <c r="A749" s="5" t="n"/>
      <c r="B749" s="5" t="n"/>
      <c r="C749" s="5" t="n"/>
      <c r="D749" s="5" t="n"/>
      <c r="E749" s="8" t="n"/>
      <c r="F749" s="5" t="n"/>
      <c r="G749" s="5" t="n"/>
      <c r="H749" s="5" t="n"/>
      <c r="I749" s="5" t="n"/>
    </row>
    <row r="750">
      <c r="A750" s="5" t="n"/>
      <c r="B750" s="5" t="n"/>
      <c r="C750" s="5" t="n"/>
      <c r="D750" s="5" t="n"/>
      <c r="E750" s="8" t="n"/>
      <c r="F750" s="5" t="n"/>
      <c r="G750" s="5" t="n"/>
      <c r="H750" s="5" t="n"/>
      <c r="I750" s="5" t="n"/>
    </row>
    <row r="751">
      <c r="A751" s="5" t="n"/>
      <c r="B751" s="5" t="n"/>
      <c r="C751" s="5" t="n"/>
      <c r="D751" s="5" t="n"/>
      <c r="E751" s="8" t="n"/>
      <c r="F751" s="5" t="n"/>
      <c r="G751" s="5" t="n"/>
      <c r="H751" s="5" t="n"/>
      <c r="I751" s="5" t="n"/>
    </row>
    <row r="752">
      <c r="A752" s="5" t="n"/>
      <c r="B752" s="5" t="n"/>
      <c r="C752" s="5" t="n"/>
      <c r="D752" s="5" t="n"/>
      <c r="E752" s="8" t="n"/>
      <c r="F752" s="5" t="n"/>
      <c r="G752" s="5" t="n"/>
      <c r="H752" s="5" t="n"/>
      <c r="I752" s="5" t="n"/>
    </row>
    <row r="753">
      <c r="A753" s="5" t="n"/>
      <c r="B753" s="5" t="n"/>
      <c r="C753" s="5" t="n"/>
      <c r="D753" s="5" t="n"/>
      <c r="E753" s="8" t="n"/>
      <c r="F753" s="5" t="n"/>
      <c r="G753" s="5" t="n"/>
      <c r="H753" s="5" t="n"/>
      <c r="I753" s="5" t="n"/>
    </row>
    <row r="754">
      <c r="A754" s="5" t="n"/>
      <c r="B754" s="5" t="n"/>
      <c r="C754" s="5" t="n"/>
      <c r="D754" s="5" t="n"/>
      <c r="E754" s="8" t="n"/>
      <c r="F754" s="5" t="n"/>
      <c r="G754" s="5" t="n"/>
      <c r="H754" s="5" t="n"/>
      <c r="I754" s="5" t="n"/>
    </row>
    <row r="755">
      <c r="A755" s="5" t="n"/>
      <c r="B755" s="5" t="n"/>
      <c r="C755" s="5" t="n"/>
      <c r="D755" s="5" t="n"/>
      <c r="E755" s="8" t="n"/>
      <c r="F755" s="5" t="n"/>
      <c r="G755" s="5" t="n"/>
      <c r="H755" s="5" t="n"/>
      <c r="I755" s="5" t="n"/>
    </row>
    <row r="756">
      <c r="A756" s="5" t="n"/>
      <c r="B756" s="5" t="n"/>
      <c r="C756" s="5" t="n"/>
      <c r="D756" s="5" t="n"/>
      <c r="E756" s="8" t="n"/>
      <c r="F756" s="5" t="n"/>
      <c r="G756" s="5" t="n"/>
      <c r="H756" s="5" t="n"/>
      <c r="I756" s="5" t="n"/>
    </row>
    <row r="757">
      <c r="A757" s="5" t="n"/>
      <c r="B757" s="5" t="n"/>
      <c r="C757" s="5" t="n"/>
      <c r="D757" s="5" t="n"/>
      <c r="E757" s="8" t="n"/>
      <c r="F757" s="5" t="n"/>
      <c r="G757" s="5" t="n"/>
      <c r="H757" s="5" t="n"/>
      <c r="I757" s="5" t="n"/>
    </row>
    <row r="758">
      <c r="A758" s="5" t="n"/>
      <c r="B758" s="5" t="n"/>
      <c r="C758" s="5" t="n"/>
      <c r="D758" s="5" t="n"/>
      <c r="E758" s="8" t="n"/>
      <c r="F758" s="5" t="n"/>
      <c r="G758" s="5" t="n"/>
      <c r="H758" s="5" t="n"/>
      <c r="I758" s="5" t="n"/>
    </row>
    <row r="759">
      <c r="A759" s="5" t="n"/>
      <c r="B759" s="5" t="n"/>
      <c r="C759" s="5" t="n"/>
      <c r="D759" s="5" t="n"/>
      <c r="E759" s="8" t="n"/>
      <c r="F759" s="5" t="n"/>
      <c r="G759" s="5" t="n"/>
      <c r="H759" s="5" t="n"/>
      <c r="I759" s="5" t="n"/>
    </row>
    <row r="760">
      <c r="A760" s="5" t="n"/>
      <c r="B760" s="5" t="n"/>
      <c r="C760" s="5" t="n"/>
      <c r="D760" s="5" t="n"/>
      <c r="E760" s="8" t="n"/>
      <c r="F760" s="5" t="n"/>
      <c r="G760" s="5" t="n"/>
      <c r="H760" s="5" t="n"/>
      <c r="I760" s="5" t="n"/>
    </row>
    <row r="761">
      <c r="A761" s="5" t="n"/>
      <c r="B761" s="5" t="n"/>
      <c r="C761" s="5" t="n"/>
      <c r="D761" s="5" t="n"/>
      <c r="E761" s="8" t="n"/>
      <c r="F761" s="5" t="n"/>
      <c r="G761" s="5" t="n"/>
      <c r="H761" s="5" t="n"/>
      <c r="I761" s="5" t="n"/>
    </row>
    <row r="762">
      <c r="A762" s="5" t="n"/>
      <c r="B762" s="5" t="n"/>
      <c r="C762" s="5" t="n"/>
      <c r="D762" s="5" t="n"/>
      <c r="E762" s="8" t="n"/>
      <c r="F762" s="5" t="n"/>
      <c r="G762" s="5" t="n"/>
      <c r="H762" s="5" t="n"/>
      <c r="I762" s="5" t="n"/>
    </row>
    <row r="763">
      <c r="A763" s="5" t="n"/>
      <c r="B763" s="5" t="n"/>
      <c r="C763" s="5" t="n"/>
      <c r="D763" s="5" t="n"/>
      <c r="E763" s="8" t="n"/>
      <c r="F763" s="5" t="n"/>
      <c r="G763" s="5" t="n"/>
      <c r="H763" s="5" t="n"/>
      <c r="I763" s="5" t="n"/>
    </row>
    <row r="764">
      <c r="A764" s="5" t="n"/>
      <c r="B764" s="5" t="n"/>
      <c r="C764" s="5" t="n"/>
      <c r="D764" s="5" t="n"/>
      <c r="E764" s="8" t="n"/>
      <c r="F764" s="5" t="n"/>
      <c r="G764" s="5" t="n"/>
      <c r="H764" s="5" t="n"/>
      <c r="I764" s="5" t="n"/>
    </row>
    <row r="765">
      <c r="A765" s="5" t="n"/>
      <c r="B765" s="5" t="n"/>
      <c r="C765" s="5" t="n"/>
      <c r="D765" s="5" t="n"/>
      <c r="E765" s="8" t="n"/>
      <c r="F765" s="5" t="n"/>
      <c r="G765" s="5" t="n"/>
      <c r="H765" s="5" t="n"/>
      <c r="I765" s="5" t="n"/>
    </row>
    <row r="766">
      <c r="A766" s="5" t="n"/>
      <c r="B766" s="5" t="n"/>
      <c r="C766" s="5" t="n"/>
      <c r="D766" s="5" t="n"/>
      <c r="E766" s="8" t="n"/>
      <c r="F766" s="5" t="n"/>
      <c r="G766" s="5" t="n"/>
      <c r="H766" s="5" t="n"/>
      <c r="I766" s="5" t="n"/>
    </row>
    <row r="767">
      <c r="A767" s="5" t="n"/>
      <c r="B767" s="5" t="n"/>
      <c r="C767" s="5" t="n"/>
      <c r="D767" s="5" t="n"/>
      <c r="E767" s="8" t="n"/>
      <c r="F767" s="5" t="n"/>
      <c r="G767" s="5" t="n"/>
      <c r="H767" s="5" t="n"/>
      <c r="I767" s="5" t="n"/>
    </row>
    <row r="768">
      <c r="A768" s="5" t="n"/>
      <c r="B768" s="5" t="n"/>
      <c r="C768" s="5" t="n"/>
      <c r="D768" s="5" t="n"/>
      <c r="E768" s="8" t="n"/>
      <c r="F768" s="5" t="n"/>
      <c r="G768" s="5" t="n"/>
      <c r="H768" s="5" t="n"/>
      <c r="I768" s="5" t="n"/>
    </row>
    <row r="769">
      <c r="A769" s="5" t="n"/>
      <c r="B769" s="5" t="n"/>
      <c r="C769" s="5" t="n"/>
      <c r="D769" s="5" t="n"/>
      <c r="E769" s="8" t="n"/>
      <c r="F769" s="5" t="n"/>
      <c r="G769" s="5" t="n"/>
      <c r="H769" s="5" t="n"/>
      <c r="I769" s="5" t="n"/>
    </row>
    <row r="770">
      <c r="A770" s="5" t="n"/>
      <c r="B770" s="5" t="n"/>
      <c r="C770" s="5" t="n"/>
      <c r="D770" s="5" t="n"/>
      <c r="E770" s="8" t="n"/>
      <c r="F770" s="5" t="n"/>
      <c r="G770" s="5" t="n"/>
      <c r="H770" s="5" t="n"/>
      <c r="I770" s="5" t="n"/>
    </row>
    <row r="771">
      <c r="A771" s="5" t="n"/>
      <c r="B771" s="5" t="n"/>
      <c r="C771" s="5" t="n"/>
      <c r="D771" s="5" t="n"/>
      <c r="E771" s="8" t="n"/>
      <c r="F771" s="5" t="n"/>
      <c r="G771" s="5" t="n"/>
      <c r="H771" s="5" t="n"/>
      <c r="I771" s="5" t="n"/>
    </row>
    <row r="772">
      <c r="A772" s="5" t="n"/>
      <c r="B772" s="5" t="n"/>
      <c r="C772" s="5" t="n"/>
      <c r="D772" s="5" t="n"/>
      <c r="E772" s="8" t="n"/>
      <c r="F772" s="5" t="n"/>
      <c r="G772" s="5" t="n"/>
      <c r="H772" s="5" t="n"/>
      <c r="I772" s="5" t="n"/>
    </row>
    <row r="773">
      <c r="A773" s="5" t="n"/>
      <c r="B773" s="5" t="n"/>
      <c r="C773" s="5" t="n"/>
      <c r="D773" s="5" t="n"/>
      <c r="E773" s="8" t="n"/>
      <c r="F773" s="5" t="n"/>
      <c r="G773" s="5" t="n"/>
      <c r="H773" s="5" t="n"/>
      <c r="I773" s="5" t="n"/>
    </row>
    <row r="774">
      <c r="A774" s="5" t="n"/>
      <c r="B774" s="5" t="n"/>
      <c r="C774" s="5" t="n"/>
      <c r="D774" s="5" t="n"/>
      <c r="E774" s="8" t="n"/>
      <c r="F774" s="5" t="n"/>
      <c r="G774" s="5" t="n"/>
      <c r="H774" s="5" t="n"/>
      <c r="I774" s="5" t="n"/>
    </row>
    <row r="775">
      <c r="A775" s="5" t="n"/>
      <c r="B775" s="5" t="n"/>
      <c r="C775" s="5" t="n"/>
      <c r="D775" s="5" t="n"/>
      <c r="E775" s="8" t="n"/>
      <c r="F775" s="5" t="n"/>
      <c r="G775" s="5" t="n"/>
      <c r="H775" s="5" t="n"/>
      <c r="I775" s="5" t="n"/>
    </row>
    <row r="776">
      <c r="A776" s="5" t="n"/>
      <c r="B776" s="5" t="n"/>
      <c r="C776" s="5" t="n"/>
      <c r="D776" s="5" t="n"/>
      <c r="E776" s="8" t="n"/>
      <c r="F776" s="5" t="n"/>
      <c r="G776" s="5" t="n"/>
      <c r="H776" s="5" t="n"/>
      <c r="I776" s="5" t="n"/>
    </row>
    <row r="777">
      <c r="A777" s="5" t="n"/>
      <c r="B777" s="5" t="n"/>
      <c r="C777" s="5" t="n"/>
      <c r="D777" s="5" t="n"/>
      <c r="E777" s="8" t="n"/>
      <c r="F777" s="5" t="n"/>
      <c r="G777" s="5" t="n"/>
      <c r="H777" s="5" t="n"/>
      <c r="I777" s="5" t="n"/>
    </row>
    <row r="778">
      <c r="A778" s="5" t="n"/>
      <c r="B778" s="5" t="n"/>
      <c r="C778" s="5" t="n"/>
      <c r="D778" s="5" t="n"/>
      <c r="E778" s="8" t="n"/>
      <c r="F778" s="5" t="n"/>
      <c r="G778" s="5" t="n"/>
      <c r="H778" s="5" t="n"/>
      <c r="I778" s="5" t="n"/>
    </row>
    <row r="779">
      <c r="A779" s="5" t="n"/>
      <c r="B779" s="5" t="n"/>
      <c r="C779" s="5" t="n"/>
      <c r="D779" s="5" t="n"/>
      <c r="E779" s="8" t="n"/>
      <c r="F779" s="5" t="n"/>
      <c r="G779" s="5" t="n"/>
      <c r="H779" s="5" t="n"/>
      <c r="I779" s="5" t="n"/>
    </row>
    <row r="780">
      <c r="A780" s="5" t="n"/>
      <c r="B780" s="5" t="n"/>
      <c r="C780" s="5" t="n"/>
      <c r="D780" s="5" t="n"/>
      <c r="E780" s="8" t="n"/>
      <c r="F780" s="5" t="n"/>
      <c r="G780" s="5" t="n"/>
      <c r="H780" s="5" t="n"/>
      <c r="I780" s="5" t="n"/>
    </row>
    <row r="781">
      <c r="A781" s="5" t="n"/>
      <c r="B781" s="5" t="n"/>
      <c r="C781" s="5" t="n"/>
      <c r="D781" s="5" t="n"/>
      <c r="E781" s="8" t="n"/>
      <c r="F781" s="5" t="n"/>
      <c r="G781" s="5" t="n"/>
      <c r="H781" s="5" t="n"/>
      <c r="I781" s="5" t="n"/>
    </row>
    <row r="782">
      <c r="A782" s="5" t="n"/>
      <c r="B782" s="5" t="n"/>
      <c r="C782" s="5" t="n"/>
      <c r="D782" s="5" t="n"/>
      <c r="E782" s="8" t="n"/>
      <c r="F782" s="5" t="n"/>
      <c r="G782" s="5" t="n"/>
      <c r="H782" s="5" t="n"/>
      <c r="I782" s="5" t="n"/>
    </row>
    <row r="783">
      <c r="A783" s="5" t="n"/>
      <c r="B783" s="5" t="n"/>
      <c r="C783" s="5" t="n"/>
      <c r="D783" s="5" t="n"/>
      <c r="E783" s="8" t="n"/>
      <c r="F783" s="5" t="n"/>
      <c r="G783" s="5" t="n"/>
      <c r="H783" s="5" t="n"/>
      <c r="I783" s="5" t="n"/>
    </row>
    <row r="784">
      <c r="A784" s="5" t="n"/>
      <c r="B784" s="5" t="n"/>
      <c r="C784" s="5" t="n"/>
      <c r="D784" s="5" t="n"/>
      <c r="E784" s="8" t="n"/>
      <c r="F784" s="5" t="n"/>
      <c r="G784" s="5" t="n"/>
      <c r="H784" s="5" t="n"/>
      <c r="I784" s="5" t="n"/>
    </row>
    <row r="785">
      <c r="A785" s="5" t="n"/>
      <c r="B785" s="5" t="n"/>
      <c r="C785" s="5" t="n"/>
      <c r="D785" s="5" t="n"/>
      <c r="E785" s="8" t="n"/>
      <c r="F785" s="5" t="n"/>
      <c r="G785" s="5" t="n"/>
      <c r="H785" s="5" t="n"/>
      <c r="I785" s="5" t="n"/>
    </row>
    <row r="786">
      <c r="A786" s="5" t="n"/>
      <c r="B786" s="5" t="n"/>
      <c r="C786" s="5" t="n"/>
      <c r="D786" s="5" t="n"/>
      <c r="E786" s="8" t="n"/>
      <c r="F786" s="5" t="n"/>
      <c r="G786" s="5" t="n"/>
      <c r="H786" s="5" t="n"/>
      <c r="I786" s="5" t="n"/>
    </row>
    <row r="787">
      <c r="A787" s="5" t="n"/>
      <c r="B787" s="5" t="n"/>
      <c r="C787" s="5" t="n"/>
      <c r="D787" s="5" t="n"/>
      <c r="E787" s="8" t="n"/>
      <c r="F787" s="5" t="n"/>
      <c r="G787" s="5" t="n"/>
      <c r="H787" s="5" t="n"/>
      <c r="I787" s="5" t="n"/>
    </row>
    <row r="788">
      <c r="A788" s="5" t="n"/>
      <c r="B788" s="5" t="n"/>
      <c r="C788" s="5" t="n"/>
      <c r="D788" s="5" t="n"/>
      <c r="E788" s="8" t="n"/>
      <c r="F788" s="5" t="n"/>
      <c r="G788" s="5" t="n"/>
      <c r="H788" s="5" t="n"/>
      <c r="I788" s="5" t="n"/>
    </row>
    <row r="789">
      <c r="A789" s="5" t="n"/>
      <c r="B789" s="5" t="n"/>
      <c r="C789" s="5" t="n"/>
      <c r="D789" s="5" t="n"/>
      <c r="E789" s="8" t="n"/>
      <c r="F789" s="5" t="n"/>
      <c r="G789" s="5" t="n"/>
      <c r="H789" s="5" t="n"/>
      <c r="I789" s="5" t="n"/>
    </row>
    <row r="790">
      <c r="A790" s="5" t="n"/>
      <c r="B790" s="5" t="n"/>
      <c r="C790" s="5" t="n"/>
      <c r="D790" s="5" t="n"/>
      <c r="E790" s="8" t="n"/>
      <c r="F790" s="5" t="n"/>
      <c r="G790" s="5" t="n"/>
      <c r="H790" s="5" t="n"/>
      <c r="I790" s="5" t="n"/>
    </row>
    <row r="791">
      <c r="A791" s="5" t="n"/>
      <c r="B791" s="5" t="n"/>
      <c r="C791" s="5" t="n"/>
      <c r="D791" s="5" t="n"/>
      <c r="E791" s="8" t="n"/>
      <c r="F791" s="5" t="n"/>
      <c r="G791" s="5" t="n"/>
      <c r="H791" s="5" t="n"/>
      <c r="I791" s="5" t="n"/>
    </row>
    <row r="792">
      <c r="A792" s="5" t="n"/>
      <c r="B792" s="5" t="n"/>
      <c r="C792" s="5" t="n"/>
      <c r="D792" s="5" t="n"/>
      <c r="E792" s="8" t="n"/>
      <c r="F792" s="5" t="n"/>
      <c r="G792" s="5" t="n"/>
      <c r="H792" s="5" t="n"/>
      <c r="I792" s="5" t="n"/>
    </row>
    <row r="793">
      <c r="A793" s="5" t="n"/>
      <c r="B793" s="5" t="n"/>
      <c r="C793" s="5" t="n"/>
      <c r="D793" s="5" t="n"/>
      <c r="E793" s="8" t="n"/>
      <c r="F793" s="5" t="n"/>
      <c r="G793" s="5" t="n"/>
      <c r="H793" s="5" t="n"/>
      <c r="I793" s="5" t="n"/>
    </row>
    <row r="794">
      <c r="A794" s="5" t="n"/>
      <c r="B794" s="5" t="n"/>
      <c r="C794" s="5" t="n"/>
      <c r="D794" s="5" t="n"/>
      <c r="E794" s="8" t="n"/>
      <c r="F794" s="5" t="n"/>
      <c r="G794" s="5" t="n"/>
      <c r="H794" s="5" t="n"/>
      <c r="I794" s="5" t="n"/>
    </row>
    <row r="795">
      <c r="A795" s="5" t="n"/>
      <c r="B795" s="5" t="n"/>
      <c r="C795" s="5" t="n"/>
      <c r="D795" s="5" t="n"/>
      <c r="E795" s="8" t="n"/>
      <c r="F795" s="5" t="n"/>
      <c r="G795" s="5" t="n"/>
      <c r="H795" s="5" t="n"/>
      <c r="I795" s="5" t="n"/>
    </row>
    <row r="796">
      <c r="A796" s="5" t="n"/>
      <c r="B796" s="5" t="n"/>
      <c r="C796" s="5" t="n"/>
      <c r="D796" s="5" t="n"/>
      <c r="E796" s="8" t="n"/>
      <c r="F796" s="5" t="n"/>
      <c r="G796" s="5" t="n"/>
      <c r="H796" s="5" t="n"/>
      <c r="I796" s="5" t="n"/>
    </row>
    <row r="797">
      <c r="A797" s="5" t="n"/>
      <c r="B797" s="5" t="n"/>
      <c r="C797" s="5" t="n"/>
      <c r="D797" s="5" t="n"/>
      <c r="E797" s="8" t="n"/>
      <c r="F797" s="5" t="n"/>
      <c r="G797" s="5" t="n"/>
      <c r="H797" s="5" t="n"/>
      <c r="I797" s="5" t="n"/>
    </row>
    <row r="798">
      <c r="A798" s="5" t="n"/>
      <c r="B798" s="5" t="n"/>
      <c r="C798" s="5" t="n"/>
      <c r="D798" s="5" t="n"/>
      <c r="E798" s="8" t="n"/>
      <c r="F798" s="5" t="n"/>
      <c r="G798" s="5" t="n"/>
      <c r="H798" s="5" t="n"/>
      <c r="I798" s="5" t="n"/>
    </row>
    <row r="799">
      <c r="A799" s="5" t="n"/>
      <c r="B799" s="5" t="n"/>
      <c r="C799" s="5" t="n"/>
      <c r="D799" s="5" t="n"/>
      <c r="E799" s="8" t="n"/>
      <c r="F799" s="5" t="n"/>
      <c r="G799" s="5" t="n"/>
      <c r="H799" s="5" t="n"/>
      <c r="I799" s="5" t="n"/>
    </row>
    <row r="800">
      <c r="A800" s="5" t="n"/>
      <c r="B800" s="5" t="n"/>
      <c r="C800" s="5" t="n"/>
      <c r="D800" s="5" t="n"/>
      <c r="E800" s="8" t="n"/>
      <c r="F800" s="5" t="n"/>
      <c r="G800" s="5" t="n"/>
      <c r="H800" s="5" t="n"/>
      <c r="I800" s="5" t="n"/>
    </row>
    <row r="801">
      <c r="A801" s="5" t="n"/>
      <c r="B801" s="5" t="n"/>
      <c r="C801" s="5" t="n"/>
      <c r="D801" s="5" t="n"/>
      <c r="E801" s="8" t="n"/>
      <c r="F801" s="5" t="n"/>
      <c r="G801" s="5" t="n"/>
      <c r="H801" s="5" t="n"/>
      <c r="I801" s="5" t="n"/>
    </row>
    <row r="802">
      <c r="A802" s="5" t="n"/>
      <c r="B802" s="5" t="n"/>
      <c r="C802" s="5" t="n"/>
      <c r="D802" s="5" t="n"/>
      <c r="E802" s="8" t="n"/>
      <c r="F802" s="5" t="n"/>
      <c r="G802" s="5" t="n"/>
      <c r="H802" s="5" t="n"/>
      <c r="I802" s="5" t="n"/>
    </row>
    <row r="803">
      <c r="A803" s="5" t="n"/>
      <c r="B803" s="5" t="n"/>
      <c r="C803" s="5" t="n"/>
      <c r="D803" s="5" t="n"/>
      <c r="E803" s="8" t="n"/>
      <c r="F803" s="5" t="n"/>
      <c r="G803" s="5" t="n"/>
      <c r="H803" s="5" t="n"/>
      <c r="I803" s="5" t="n"/>
    </row>
    <row r="804">
      <c r="A804" s="5" t="n"/>
      <c r="B804" s="5" t="n"/>
      <c r="C804" s="5" t="n"/>
      <c r="D804" s="5" t="n"/>
      <c r="E804" s="8" t="n"/>
      <c r="F804" s="5" t="n"/>
      <c r="G804" s="5" t="n"/>
      <c r="H804" s="5" t="n"/>
      <c r="I804" s="5" t="n"/>
    </row>
    <row r="805">
      <c r="A805" s="5" t="n"/>
      <c r="B805" s="5" t="n"/>
      <c r="C805" s="5" t="n"/>
      <c r="D805" s="5" t="n"/>
      <c r="E805" s="8" t="n"/>
      <c r="F805" s="5" t="n"/>
      <c r="G805" s="5" t="n"/>
      <c r="H805" s="5" t="n"/>
      <c r="I805" s="5" t="n"/>
    </row>
    <row r="806">
      <c r="A806" s="5" t="n"/>
      <c r="B806" s="5" t="n"/>
      <c r="C806" s="5" t="n"/>
      <c r="D806" s="5" t="n"/>
      <c r="E806" s="8" t="n"/>
      <c r="F806" s="5" t="n"/>
      <c r="G806" s="5" t="n"/>
      <c r="H806" s="5" t="n"/>
      <c r="I806" s="5" t="n"/>
    </row>
    <row r="807">
      <c r="A807" s="5" t="n"/>
      <c r="B807" s="5" t="n"/>
      <c r="C807" s="5" t="n"/>
      <c r="D807" s="5" t="n"/>
      <c r="E807" s="8" t="n"/>
      <c r="F807" s="5" t="n"/>
      <c r="G807" s="5" t="n"/>
      <c r="H807" s="5" t="n"/>
      <c r="I807" s="5" t="n"/>
    </row>
    <row r="808">
      <c r="A808" s="5" t="n"/>
      <c r="B808" s="5" t="n"/>
      <c r="C808" s="5" t="n"/>
      <c r="D808" s="5" t="n"/>
      <c r="E808" s="8" t="n"/>
      <c r="F808" s="5" t="n"/>
      <c r="G808" s="5" t="n"/>
      <c r="H808" s="5" t="n"/>
      <c r="I808" s="5" t="n"/>
    </row>
    <row r="809">
      <c r="A809" s="5" t="n"/>
      <c r="B809" s="5" t="n"/>
      <c r="C809" s="5" t="n"/>
      <c r="D809" s="5" t="n"/>
      <c r="E809" s="8" t="n"/>
      <c r="F809" s="5" t="n"/>
      <c r="G809" s="5" t="n"/>
      <c r="H809" s="5" t="n"/>
      <c r="I809" s="5" t="n"/>
    </row>
    <row r="810">
      <c r="A810" s="5" t="n"/>
      <c r="B810" s="5" t="n"/>
      <c r="C810" s="5" t="n"/>
      <c r="D810" s="5" t="n"/>
      <c r="E810" s="8" t="n"/>
      <c r="F810" s="5" t="n"/>
      <c r="G810" s="5" t="n"/>
      <c r="H810" s="5" t="n"/>
      <c r="I810" s="5" t="n"/>
    </row>
    <row r="811">
      <c r="A811" s="5" t="n"/>
      <c r="B811" s="5" t="n"/>
      <c r="C811" s="5" t="n"/>
      <c r="D811" s="5" t="n"/>
      <c r="E811" s="8" t="n"/>
      <c r="F811" s="5" t="n"/>
      <c r="G811" s="5" t="n"/>
      <c r="H811" s="5" t="n"/>
      <c r="I811" s="5" t="n"/>
    </row>
    <row r="812">
      <c r="A812" s="5" t="n"/>
      <c r="B812" s="5" t="n"/>
      <c r="C812" s="5" t="n"/>
      <c r="D812" s="5" t="n"/>
      <c r="E812" s="8" t="n"/>
      <c r="F812" s="5" t="n"/>
      <c r="G812" s="5" t="n"/>
      <c r="H812" s="5" t="n"/>
      <c r="I812" s="5" t="n"/>
    </row>
    <row r="813">
      <c r="A813" s="5" t="n"/>
      <c r="B813" s="5" t="n"/>
      <c r="C813" s="5" t="n"/>
      <c r="D813" s="5" t="n"/>
      <c r="E813" s="8" t="n"/>
      <c r="F813" s="5" t="n"/>
      <c r="G813" s="5" t="n"/>
      <c r="H813" s="5" t="n"/>
      <c r="I813" s="5" t="n"/>
    </row>
    <row r="814">
      <c r="A814" s="5" t="n"/>
      <c r="B814" s="5" t="n"/>
      <c r="C814" s="5" t="n"/>
      <c r="D814" s="5" t="n"/>
      <c r="E814" s="8" t="n"/>
      <c r="F814" s="5" t="n"/>
      <c r="G814" s="5" t="n"/>
      <c r="H814" s="5" t="n"/>
      <c r="I814" s="5" t="n"/>
    </row>
    <row r="815">
      <c r="A815" s="5" t="n"/>
      <c r="B815" s="5" t="n"/>
      <c r="C815" s="5" t="n"/>
      <c r="D815" s="5" t="n"/>
      <c r="E815" s="8" t="n"/>
      <c r="F815" s="5" t="n"/>
      <c r="G815" s="5" t="n"/>
      <c r="H815" s="5" t="n"/>
      <c r="I815" s="5" t="n"/>
    </row>
    <row r="816">
      <c r="A816" s="5" t="n"/>
      <c r="B816" s="5" t="n"/>
      <c r="C816" s="5" t="n"/>
      <c r="D816" s="5" t="n"/>
      <c r="E816" s="8" t="n"/>
      <c r="F816" s="5" t="n"/>
      <c r="G816" s="5" t="n"/>
      <c r="H816" s="5" t="n"/>
      <c r="I816" s="5" t="n"/>
    </row>
    <row r="817">
      <c r="A817" s="5" t="n"/>
      <c r="B817" s="5" t="n"/>
      <c r="C817" s="5" t="n"/>
      <c r="D817" s="5" t="n"/>
      <c r="E817" s="8" t="n"/>
      <c r="F817" s="5" t="n"/>
      <c r="G817" s="5" t="n"/>
      <c r="H817" s="5" t="n"/>
      <c r="I817" s="5" t="n"/>
    </row>
    <row r="818">
      <c r="A818" s="5" t="n"/>
      <c r="B818" s="5" t="n"/>
      <c r="C818" s="5" t="n"/>
      <c r="D818" s="5" t="n"/>
      <c r="E818" s="8" t="n"/>
      <c r="F818" s="5" t="n"/>
      <c r="G818" s="5" t="n"/>
      <c r="H818" s="5" t="n"/>
      <c r="I818" s="5" t="n"/>
    </row>
    <row r="819">
      <c r="A819" s="5" t="n"/>
      <c r="B819" s="5" t="n"/>
      <c r="C819" s="5" t="n"/>
      <c r="D819" s="5" t="n"/>
      <c r="E819" s="8" t="n"/>
      <c r="F819" s="5" t="n"/>
      <c r="G819" s="5" t="n"/>
      <c r="H819" s="5" t="n"/>
      <c r="I819" s="5" t="n"/>
    </row>
    <row r="820">
      <c r="A820" s="5" t="n"/>
      <c r="B820" s="5" t="n"/>
      <c r="C820" s="5" t="n"/>
      <c r="D820" s="5" t="n"/>
      <c r="E820" s="8" t="n"/>
      <c r="F820" s="5" t="n"/>
      <c r="G820" s="5" t="n"/>
      <c r="H820" s="5" t="n"/>
      <c r="I820" s="5" t="n"/>
    </row>
    <row r="821">
      <c r="A821" s="5" t="n"/>
      <c r="B821" s="5" t="n"/>
      <c r="C821" s="5" t="n"/>
      <c r="D821" s="5" t="n"/>
      <c r="E821" s="8" t="n"/>
      <c r="F821" s="5" t="n"/>
      <c r="G821" s="5" t="n"/>
      <c r="H821" s="5" t="n"/>
      <c r="I821" s="5" t="n"/>
    </row>
    <row r="822">
      <c r="A822" s="5" t="n"/>
      <c r="B822" s="5" t="n"/>
      <c r="C822" s="5" t="n"/>
      <c r="D822" s="5" t="n"/>
      <c r="E822" s="8" t="n"/>
      <c r="F822" s="5" t="n"/>
      <c r="G822" s="5" t="n"/>
      <c r="H822" s="5" t="n"/>
      <c r="I822" s="5" t="n"/>
    </row>
    <row r="823">
      <c r="A823" s="5" t="n"/>
      <c r="B823" s="5" t="n"/>
      <c r="C823" s="5" t="n"/>
      <c r="D823" s="5" t="n"/>
      <c r="E823" s="8" t="n"/>
      <c r="F823" s="5" t="n"/>
      <c r="G823" s="5" t="n"/>
      <c r="H823" s="5" t="n"/>
      <c r="I823" s="5" t="n"/>
    </row>
    <row r="824">
      <c r="A824" s="5" t="n"/>
      <c r="B824" s="5" t="n"/>
      <c r="C824" s="5" t="n"/>
      <c r="D824" s="5" t="n"/>
      <c r="E824" s="8" t="n"/>
      <c r="F824" s="5" t="n"/>
      <c r="G824" s="5" t="n"/>
      <c r="H824" s="5" t="n"/>
      <c r="I824" s="5" t="n"/>
    </row>
    <row r="825">
      <c r="A825" s="5" t="n"/>
      <c r="B825" s="5" t="n"/>
      <c r="C825" s="5" t="n"/>
      <c r="D825" s="5" t="n"/>
      <c r="E825" s="8" t="n"/>
      <c r="F825" s="5" t="n"/>
      <c r="G825" s="5" t="n"/>
      <c r="H825" s="5" t="n"/>
      <c r="I825" s="5" t="n"/>
    </row>
    <row r="826">
      <c r="A826" s="5" t="n"/>
      <c r="B826" s="5" t="n"/>
      <c r="C826" s="5" t="n"/>
      <c r="D826" s="5" t="n"/>
      <c r="E826" s="8" t="n"/>
      <c r="F826" s="5" t="n"/>
      <c r="G826" s="5" t="n"/>
      <c r="H826" s="5" t="n"/>
      <c r="I826" s="5" t="n"/>
    </row>
    <row r="827">
      <c r="A827" s="5" t="n"/>
      <c r="B827" s="5" t="n"/>
      <c r="C827" s="5" t="n"/>
      <c r="D827" s="5" t="n"/>
      <c r="E827" s="8" t="n"/>
      <c r="F827" s="5" t="n"/>
      <c r="G827" s="5" t="n"/>
      <c r="H827" s="5" t="n"/>
      <c r="I827" s="5" t="n"/>
    </row>
    <row r="828">
      <c r="A828" s="5" t="n"/>
      <c r="B828" s="5" t="n"/>
      <c r="C828" s="5" t="n"/>
      <c r="D828" s="5" t="n"/>
      <c r="E828" s="8" t="n"/>
      <c r="F828" s="5" t="n"/>
      <c r="G828" s="5" t="n"/>
      <c r="H828" s="5" t="n"/>
      <c r="I828" s="5" t="n"/>
    </row>
    <row r="829">
      <c r="A829" s="5" t="n"/>
      <c r="B829" s="5" t="n"/>
      <c r="C829" s="5" t="n"/>
      <c r="D829" s="5" t="n"/>
      <c r="E829" s="8" t="n"/>
      <c r="F829" s="5" t="n"/>
      <c r="G829" s="5" t="n"/>
      <c r="H829" s="5" t="n"/>
      <c r="I829" s="5" t="n"/>
    </row>
    <row r="830">
      <c r="A830" s="5" t="n"/>
      <c r="B830" s="5" t="n"/>
      <c r="C830" s="5" t="n"/>
      <c r="D830" s="5" t="n"/>
      <c r="E830" s="8" t="n"/>
      <c r="F830" s="5" t="n"/>
      <c r="G830" s="5" t="n"/>
      <c r="H830" s="5" t="n"/>
      <c r="I830" s="5" t="n"/>
    </row>
    <row r="831">
      <c r="A831" s="5" t="n"/>
      <c r="B831" s="5" t="n"/>
      <c r="C831" s="5" t="n"/>
      <c r="D831" s="5" t="n"/>
      <c r="E831" s="8" t="n"/>
      <c r="F831" s="5" t="n"/>
      <c r="G831" s="5" t="n"/>
      <c r="H831" s="5" t="n"/>
      <c r="I831" s="5" t="n"/>
    </row>
    <row r="832">
      <c r="A832" s="5" t="n"/>
      <c r="B832" s="5" t="n"/>
      <c r="C832" s="5" t="n"/>
      <c r="D832" s="5" t="n"/>
      <c r="E832" s="8" t="n"/>
      <c r="F832" s="5" t="n"/>
      <c r="G832" s="5" t="n"/>
      <c r="H832" s="5" t="n"/>
      <c r="I832" s="5" t="n"/>
    </row>
    <row r="833">
      <c r="A833" s="5" t="n"/>
      <c r="B833" s="5" t="n"/>
      <c r="C833" s="5" t="n"/>
      <c r="D833" s="5" t="n"/>
      <c r="E833" s="8" t="n"/>
      <c r="F833" s="5" t="n"/>
      <c r="G833" s="5" t="n"/>
      <c r="H833" s="5" t="n"/>
      <c r="I833" s="5" t="n"/>
    </row>
    <row r="834">
      <c r="A834" s="5" t="n"/>
      <c r="B834" s="5" t="n"/>
      <c r="C834" s="5" t="n"/>
      <c r="D834" s="5" t="n"/>
      <c r="E834" s="8" t="n"/>
      <c r="F834" s="5" t="n"/>
      <c r="G834" s="5" t="n"/>
      <c r="H834" s="5" t="n"/>
      <c r="I834" s="5" t="n"/>
    </row>
    <row r="835">
      <c r="A835" s="5" t="n"/>
      <c r="B835" s="5" t="n"/>
      <c r="C835" s="5" t="n"/>
      <c r="D835" s="5" t="n"/>
      <c r="E835" s="8" t="n"/>
      <c r="F835" s="5" t="n"/>
      <c r="G835" s="5" t="n"/>
      <c r="H835" s="5" t="n"/>
      <c r="I835" s="5" t="n"/>
    </row>
    <row r="836">
      <c r="A836" s="5" t="n"/>
      <c r="B836" s="5" t="n"/>
      <c r="C836" s="5" t="n"/>
      <c r="D836" s="5" t="n"/>
      <c r="E836" s="8" t="n"/>
      <c r="F836" s="5" t="n"/>
      <c r="G836" s="5" t="n"/>
      <c r="H836" s="5" t="n"/>
      <c r="I836" s="5" t="n"/>
    </row>
    <row r="837">
      <c r="A837" s="5" t="n"/>
      <c r="B837" s="5" t="n"/>
      <c r="C837" s="5" t="n"/>
      <c r="D837" s="5" t="n"/>
      <c r="E837" s="8" t="n"/>
      <c r="F837" s="5" t="n"/>
      <c r="G837" s="5" t="n"/>
      <c r="H837" s="5" t="n"/>
      <c r="I837" s="5" t="n"/>
    </row>
    <row r="838">
      <c r="A838" s="5" t="n"/>
      <c r="B838" s="5" t="n"/>
      <c r="C838" s="5" t="n"/>
      <c r="D838" s="5" t="n"/>
      <c r="E838" s="8" t="n"/>
      <c r="F838" s="5" t="n"/>
      <c r="G838" s="5" t="n"/>
      <c r="H838" s="5" t="n"/>
      <c r="I838" s="5" t="n"/>
    </row>
    <row r="839">
      <c r="A839" s="5" t="n"/>
      <c r="B839" s="5" t="n"/>
      <c r="C839" s="5" t="n"/>
      <c r="D839" s="5" t="n"/>
      <c r="E839" s="8" t="n"/>
      <c r="F839" s="5" t="n"/>
      <c r="G839" s="5" t="n"/>
      <c r="H839" s="5" t="n"/>
      <c r="I839" s="5" t="n"/>
    </row>
    <row r="840">
      <c r="A840" s="5" t="n"/>
      <c r="B840" s="5" t="n"/>
      <c r="C840" s="5" t="n"/>
      <c r="D840" s="5" t="n"/>
      <c r="E840" s="8" t="n"/>
      <c r="F840" s="5" t="n"/>
      <c r="G840" s="5" t="n"/>
      <c r="H840" s="5" t="n"/>
      <c r="I840" s="5" t="n"/>
    </row>
    <row r="841">
      <c r="A841" s="5" t="n"/>
      <c r="B841" s="5" t="n"/>
      <c r="C841" s="5" t="n"/>
      <c r="D841" s="5" t="n"/>
      <c r="E841" s="8" t="n"/>
      <c r="F841" s="5" t="n"/>
      <c r="G841" s="5" t="n"/>
      <c r="H841" s="5" t="n"/>
      <c r="I841" s="5" t="n"/>
    </row>
    <row r="842">
      <c r="A842" s="5" t="n"/>
      <c r="B842" s="5" t="n"/>
      <c r="C842" s="5" t="n"/>
      <c r="D842" s="5" t="n"/>
      <c r="E842" s="8" t="n"/>
      <c r="F842" s="5" t="n"/>
      <c r="G842" s="5" t="n"/>
      <c r="H842" s="5" t="n"/>
      <c r="I842" s="5" t="n"/>
    </row>
    <row r="843">
      <c r="A843" s="5" t="n"/>
      <c r="B843" s="5" t="n"/>
      <c r="C843" s="5" t="n"/>
      <c r="D843" s="5" t="n"/>
      <c r="E843" s="8" t="n"/>
      <c r="F843" s="5" t="n"/>
      <c r="G843" s="5" t="n"/>
      <c r="H843" s="5" t="n"/>
      <c r="I843" s="5" t="n"/>
    </row>
    <row r="844">
      <c r="A844" s="5" t="n"/>
      <c r="B844" s="5" t="n"/>
      <c r="C844" s="5" t="n"/>
      <c r="D844" s="5" t="n"/>
      <c r="E844" s="8" t="n"/>
      <c r="F844" s="5" t="n"/>
      <c r="G844" s="5" t="n"/>
      <c r="H844" s="5" t="n"/>
      <c r="I844" s="5" t="n"/>
    </row>
    <row r="845">
      <c r="A845" s="5" t="n"/>
      <c r="B845" s="5" t="n"/>
      <c r="C845" s="5" t="n"/>
      <c r="D845" s="5" t="n"/>
      <c r="E845" s="8" t="n"/>
      <c r="F845" s="5" t="n"/>
      <c r="G845" s="5" t="n"/>
      <c r="H845" s="5" t="n"/>
      <c r="I845" s="5" t="n"/>
    </row>
    <row r="846">
      <c r="A846" s="5" t="n"/>
      <c r="B846" s="5" t="n"/>
      <c r="C846" s="5" t="n"/>
      <c r="D846" s="5" t="n"/>
      <c r="E846" s="8" t="n"/>
      <c r="F846" s="5" t="n"/>
      <c r="G846" s="5" t="n"/>
      <c r="H846" s="5" t="n"/>
      <c r="I846" s="5" t="n"/>
    </row>
    <row r="847">
      <c r="A847" s="5" t="n"/>
      <c r="B847" s="5" t="n"/>
      <c r="C847" s="5" t="n"/>
      <c r="D847" s="5" t="n"/>
      <c r="E847" s="8" t="n"/>
      <c r="F847" s="5" t="n"/>
      <c r="G847" s="5" t="n"/>
      <c r="H847" s="5" t="n"/>
      <c r="I847" s="5" t="n"/>
    </row>
    <row r="848">
      <c r="A848" s="5" t="n"/>
      <c r="B848" s="5" t="n"/>
      <c r="C848" s="5" t="n"/>
      <c r="D848" s="5" t="n"/>
      <c r="E848" s="8" t="n"/>
      <c r="F848" s="5" t="n"/>
      <c r="G848" s="5" t="n"/>
      <c r="H848" s="5" t="n"/>
      <c r="I848" s="5" t="n"/>
    </row>
    <row r="849">
      <c r="A849" s="5" t="n"/>
      <c r="B849" s="5" t="n"/>
      <c r="C849" s="5" t="n"/>
      <c r="D849" s="5" t="n"/>
      <c r="E849" s="8" t="n"/>
      <c r="F849" s="5" t="n"/>
      <c r="G849" s="5" t="n"/>
      <c r="H849" s="5" t="n"/>
      <c r="I849" s="5" t="n"/>
    </row>
    <row r="850">
      <c r="A850" s="5" t="n"/>
      <c r="B850" s="5" t="n"/>
      <c r="C850" s="5" t="n"/>
      <c r="D850" s="5" t="n"/>
      <c r="E850" s="8" t="n"/>
      <c r="F850" s="5" t="n"/>
      <c r="G850" s="5" t="n"/>
      <c r="H850" s="5" t="n"/>
      <c r="I850" s="5" t="n"/>
    </row>
    <row r="851">
      <c r="A851" s="5" t="n"/>
      <c r="B851" s="5" t="n"/>
      <c r="C851" s="5" t="n"/>
      <c r="D851" s="5" t="n"/>
      <c r="E851" s="8" t="n"/>
      <c r="F851" s="5" t="n"/>
      <c r="G851" s="5" t="n"/>
      <c r="H851" s="5" t="n"/>
      <c r="I851" s="5" t="n"/>
    </row>
    <row r="852">
      <c r="A852" s="5" t="n"/>
      <c r="B852" s="5" t="n"/>
      <c r="C852" s="5" t="n"/>
      <c r="D852" s="5" t="n"/>
      <c r="E852" s="8" t="n"/>
      <c r="F852" s="5" t="n"/>
      <c r="G852" s="5" t="n"/>
      <c r="H852" s="5" t="n"/>
      <c r="I852" s="5" t="n"/>
    </row>
    <row r="853">
      <c r="A853" s="5" t="n"/>
      <c r="B853" s="5" t="n"/>
      <c r="C853" s="5" t="n"/>
      <c r="D853" s="5" t="n"/>
      <c r="E853" s="8" t="n"/>
      <c r="F853" s="5" t="n"/>
      <c r="G853" s="5" t="n"/>
      <c r="H853" s="5" t="n"/>
      <c r="I853" s="5" t="n"/>
    </row>
    <row r="854">
      <c r="A854" s="5" t="n"/>
      <c r="B854" s="5" t="n"/>
      <c r="C854" s="5" t="n"/>
      <c r="D854" s="5" t="n"/>
      <c r="E854" s="8" t="n"/>
      <c r="F854" s="5" t="n"/>
      <c r="G854" s="5" t="n"/>
      <c r="H854" s="5" t="n"/>
      <c r="I854" s="5" t="n"/>
    </row>
    <row r="855">
      <c r="A855" s="5" t="n"/>
      <c r="B855" s="5" t="n"/>
      <c r="C855" s="5" t="n"/>
      <c r="D855" s="5" t="n"/>
      <c r="E855" s="8" t="n"/>
      <c r="F855" s="5" t="n"/>
      <c r="G855" s="5" t="n"/>
      <c r="H855" s="5" t="n"/>
      <c r="I855" s="5" t="n"/>
    </row>
    <row r="856">
      <c r="A856" s="5" t="n"/>
      <c r="B856" s="5" t="n"/>
      <c r="C856" s="5" t="n"/>
      <c r="D856" s="5" t="n"/>
      <c r="E856" s="8" t="n"/>
      <c r="F856" s="5" t="n"/>
      <c r="G856" s="5" t="n"/>
      <c r="H856" s="5" t="n"/>
      <c r="I856" s="5" t="n"/>
    </row>
    <row r="857">
      <c r="A857" s="5" t="n"/>
      <c r="B857" s="5" t="n"/>
      <c r="C857" s="5" t="n"/>
      <c r="D857" s="5" t="n"/>
      <c r="E857" s="8" t="n"/>
      <c r="F857" s="5" t="n"/>
      <c r="G857" s="5" t="n"/>
      <c r="H857" s="5" t="n"/>
      <c r="I857" s="5" t="n"/>
    </row>
    <row r="858">
      <c r="A858" s="5" t="n"/>
      <c r="B858" s="5" t="n"/>
      <c r="C858" s="5" t="n"/>
      <c r="D858" s="5" t="n"/>
      <c r="E858" s="8" t="n"/>
      <c r="F858" s="5" t="n"/>
      <c r="G858" s="5" t="n"/>
      <c r="H858" s="5" t="n"/>
      <c r="I858" s="5" t="n"/>
    </row>
    <row r="859">
      <c r="A859" s="5" t="n"/>
      <c r="B859" s="5" t="n"/>
      <c r="C859" s="5" t="n"/>
      <c r="D859" s="5" t="n"/>
      <c r="E859" s="8" t="n"/>
      <c r="F859" s="5" t="n"/>
      <c r="G859" s="5" t="n"/>
      <c r="H859" s="5" t="n"/>
      <c r="I859" s="5" t="n"/>
    </row>
    <row r="860">
      <c r="A860" s="5" t="n"/>
      <c r="B860" s="5" t="n"/>
      <c r="C860" s="5" t="n"/>
      <c r="D860" s="5" t="n"/>
      <c r="E860" s="8" t="n"/>
      <c r="F860" s="5" t="n"/>
      <c r="G860" s="5" t="n"/>
      <c r="H860" s="5" t="n"/>
      <c r="I860" s="5" t="n"/>
    </row>
    <row r="861">
      <c r="A861" s="5" t="n"/>
      <c r="B861" s="5" t="n"/>
      <c r="C861" s="5" t="n"/>
      <c r="D861" s="5" t="n"/>
      <c r="E861" s="8" t="n"/>
      <c r="F861" s="5" t="n"/>
      <c r="G861" s="5" t="n"/>
      <c r="H861" s="5" t="n"/>
      <c r="I861" s="5" t="n"/>
    </row>
    <row r="862">
      <c r="A862" s="5" t="n"/>
      <c r="B862" s="5" t="n"/>
      <c r="C862" s="5" t="n"/>
      <c r="D862" s="5" t="n"/>
      <c r="E862" s="8" t="n"/>
      <c r="F862" s="5" t="n"/>
      <c r="G862" s="5" t="n"/>
      <c r="H862" s="5" t="n"/>
      <c r="I862" s="5" t="n"/>
    </row>
    <row r="863">
      <c r="A863" s="5" t="n"/>
      <c r="B863" s="5" t="n"/>
      <c r="C863" s="5" t="n"/>
      <c r="D863" s="5" t="n"/>
      <c r="E863" s="8" t="n"/>
      <c r="F863" s="5" t="n"/>
      <c r="G863" s="5" t="n"/>
      <c r="H863" s="5" t="n"/>
      <c r="I863" s="5" t="n"/>
    </row>
    <row r="864">
      <c r="A864" s="5" t="n"/>
      <c r="B864" s="5" t="n"/>
      <c r="C864" s="5" t="n"/>
      <c r="D864" s="5" t="n"/>
      <c r="E864" s="8" t="n"/>
      <c r="F864" s="5" t="n"/>
      <c r="G864" s="5" t="n"/>
      <c r="H864" s="5" t="n"/>
      <c r="I864" s="5" t="n"/>
    </row>
    <row r="865">
      <c r="A865" s="5" t="n"/>
      <c r="B865" s="5" t="n"/>
      <c r="C865" s="5" t="n"/>
      <c r="D865" s="5" t="n"/>
      <c r="E865" s="8" t="n"/>
      <c r="F865" s="5" t="n"/>
      <c r="G865" s="5" t="n"/>
      <c r="H865" s="5" t="n"/>
      <c r="I865" s="5" t="n"/>
    </row>
    <row r="866">
      <c r="A866" s="5" t="n"/>
      <c r="B866" s="5" t="n"/>
      <c r="C866" s="5" t="n"/>
      <c r="D866" s="5" t="n"/>
      <c r="E866" s="8" t="n"/>
      <c r="F866" s="5" t="n"/>
      <c r="G866" s="5" t="n"/>
      <c r="H866" s="5" t="n"/>
      <c r="I866" s="5" t="n"/>
    </row>
    <row r="867">
      <c r="A867" s="5" t="n"/>
      <c r="B867" s="5" t="n"/>
      <c r="C867" s="5" t="n"/>
      <c r="D867" s="5" t="n"/>
      <c r="E867" s="8" t="n"/>
      <c r="F867" s="5" t="n"/>
      <c r="G867" s="5" t="n"/>
      <c r="H867" s="5" t="n"/>
      <c r="I867" s="5" t="n"/>
    </row>
    <row r="868">
      <c r="A868" s="5" t="n"/>
      <c r="B868" s="5" t="n"/>
      <c r="C868" s="5" t="n"/>
      <c r="D868" s="5" t="n"/>
      <c r="E868" s="8" t="n"/>
      <c r="F868" s="5" t="n"/>
      <c r="G868" s="5" t="n"/>
      <c r="H868" s="5" t="n"/>
      <c r="I868" s="5" t="n"/>
    </row>
    <row r="869">
      <c r="A869" s="5" t="n"/>
      <c r="B869" s="5" t="n"/>
      <c r="C869" s="5" t="n"/>
      <c r="D869" s="5" t="n"/>
      <c r="E869" s="8" t="n"/>
      <c r="F869" s="5" t="n"/>
      <c r="G869" s="5" t="n"/>
      <c r="H869" s="5" t="n"/>
      <c r="I869" s="5" t="n"/>
    </row>
    <row r="870">
      <c r="A870" s="5" t="n"/>
      <c r="B870" s="5" t="n"/>
      <c r="C870" s="5" t="n"/>
      <c r="D870" s="5" t="n"/>
      <c r="E870" s="8" t="n"/>
      <c r="F870" s="5" t="n"/>
      <c r="G870" s="5" t="n"/>
      <c r="H870" s="5" t="n"/>
      <c r="I870" s="5" t="n"/>
    </row>
    <row r="871">
      <c r="A871" s="5" t="n"/>
      <c r="B871" s="5" t="n"/>
      <c r="C871" s="5" t="n"/>
      <c r="D871" s="5" t="n"/>
      <c r="E871" s="8" t="n"/>
      <c r="F871" s="5" t="n"/>
      <c r="G871" s="5" t="n"/>
      <c r="H871" s="5" t="n"/>
      <c r="I871" s="5" t="n"/>
    </row>
    <row r="872">
      <c r="A872" s="5" t="n"/>
      <c r="B872" s="5" t="n"/>
      <c r="C872" s="5" t="n"/>
      <c r="D872" s="5" t="n"/>
      <c r="E872" s="8" t="n"/>
      <c r="F872" s="5" t="n"/>
      <c r="G872" s="5" t="n"/>
      <c r="H872" s="5" t="n"/>
      <c r="I872" s="5" t="n"/>
    </row>
    <row r="873">
      <c r="A873" s="5" t="n"/>
      <c r="B873" s="5" t="n"/>
      <c r="C873" s="5" t="n"/>
      <c r="D873" s="5" t="n"/>
      <c r="E873" s="8" t="n"/>
      <c r="F873" s="5" t="n"/>
      <c r="G873" s="5" t="n"/>
      <c r="H873" s="5" t="n"/>
      <c r="I873" s="5" t="n"/>
    </row>
    <row r="874">
      <c r="A874" s="5" t="n"/>
      <c r="B874" s="5" t="n"/>
      <c r="C874" s="5" t="n"/>
      <c r="D874" s="5" t="n"/>
      <c r="E874" s="8" t="n"/>
      <c r="F874" s="5" t="n"/>
      <c r="G874" s="5" t="n"/>
      <c r="H874" s="5" t="n"/>
      <c r="I874" s="5" t="n"/>
    </row>
    <row r="875">
      <c r="A875" s="5" t="n"/>
      <c r="B875" s="5" t="n"/>
      <c r="C875" s="5" t="n"/>
      <c r="D875" s="5" t="n"/>
      <c r="E875" s="8" t="n"/>
      <c r="F875" s="5" t="n"/>
      <c r="G875" s="5" t="n"/>
      <c r="H875" s="5" t="n"/>
      <c r="I875" s="5" t="n"/>
    </row>
    <row r="876">
      <c r="A876" s="5" t="n"/>
      <c r="B876" s="5" t="n"/>
      <c r="C876" s="5" t="n"/>
      <c r="D876" s="5" t="n"/>
      <c r="E876" s="8" t="n"/>
      <c r="F876" s="5" t="n"/>
      <c r="G876" s="5" t="n"/>
      <c r="H876" s="5" t="n"/>
      <c r="I876" s="5" t="n"/>
    </row>
    <row r="877">
      <c r="A877" s="5" t="n"/>
      <c r="B877" s="5" t="n"/>
      <c r="C877" s="5" t="n"/>
      <c r="D877" s="5" t="n"/>
      <c r="E877" s="8" t="n"/>
      <c r="F877" s="5" t="n"/>
      <c r="G877" s="5" t="n"/>
      <c r="H877" s="5" t="n"/>
      <c r="I877" s="5" t="n"/>
    </row>
    <row r="878">
      <c r="A878" s="5" t="n"/>
      <c r="B878" s="5" t="n"/>
      <c r="C878" s="5" t="n"/>
      <c r="D878" s="5" t="n"/>
      <c r="E878" s="8" t="n"/>
      <c r="F878" s="5" t="n"/>
      <c r="G878" s="5" t="n"/>
      <c r="H878" s="5" t="n"/>
      <c r="I878" s="5" t="n"/>
    </row>
    <row r="879">
      <c r="A879" s="5" t="n"/>
      <c r="B879" s="5" t="n"/>
      <c r="C879" s="5" t="n"/>
      <c r="D879" s="5" t="n"/>
      <c r="E879" s="8" t="n"/>
      <c r="F879" s="5" t="n"/>
      <c r="G879" s="5" t="n"/>
      <c r="H879" s="5" t="n"/>
      <c r="I879" s="5" t="n"/>
    </row>
    <row r="880">
      <c r="A880" s="5" t="n"/>
      <c r="B880" s="5" t="n"/>
      <c r="C880" s="5" t="n"/>
      <c r="D880" s="5" t="n"/>
      <c r="E880" s="8" t="n"/>
      <c r="F880" s="5" t="n"/>
      <c r="G880" s="5" t="n"/>
      <c r="H880" s="5" t="n"/>
      <c r="I880" s="5" t="n"/>
    </row>
    <row r="881">
      <c r="A881" s="5" t="n"/>
      <c r="B881" s="5" t="n"/>
      <c r="C881" s="5" t="n"/>
      <c r="D881" s="5" t="n"/>
      <c r="E881" s="8" t="n"/>
      <c r="F881" s="5" t="n"/>
      <c r="G881" s="5" t="n"/>
      <c r="H881" s="5" t="n"/>
      <c r="I881" s="5" t="n"/>
    </row>
    <row r="882">
      <c r="A882" s="5" t="n"/>
      <c r="B882" s="5" t="n"/>
      <c r="C882" s="5" t="n"/>
      <c r="D882" s="5" t="n"/>
      <c r="E882" s="8" t="n"/>
      <c r="F882" s="5" t="n"/>
      <c r="G882" s="5" t="n"/>
      <c r="H882" s="5" t="n"/>
      <c r="I882" s="5" t="n"/>
    </row>
    <row r="883">
      <c r="A883" s="5" t="n"/>
      <c r="B883" s="5" t="n"/>
      <c r="C883" s="5" t="n"/>
      <c r="D883" s="5" t="n"/>
      <c r="E883" s="8" t="n"/>
      <c r="F883" s="5" t="n"/>
      <c r="G883" s="5" t="n"/>
      <c r="H883" s="5" t="n"/>
      <c r="I883" s="5" t="n"/>
    </row>
    <row r="884">
      <c r="A884" s="5" t="n"/>
      <c r="B884" s="5" t="n"/>
      <c r="C884" s="5" t="n"/>
      <c r="D884" s="5" t="n"/>
      <c r="E884" s="8" t="n"/>
      <c r="F884" s="5" t="n"/>
      <c r="G884" s="5" t="n"/>
      <c r="H884" s="5" t="n"/>
      <c r="I884" s="5" t="n"/>
    </row>
    <row r="885">
      <c r="A885" s="5" t="n"/>
      <c r="B885" s="5" t="n"/>
      <c r="C885" s="5" t="n"/>
      <c r="D885" s="5" t="n"/>
      <c r="E885" s="8" t="n"/>
      <c r="F885" s="5" t="n"/>
      <c r="G885" s="5" t="n"/>
      <c r="H885" s="5" t="n"/>
      <c r="I885" s="5" t="n"/>
    </row>
    <row r="886">
      <c r="A886" s="5" t="n"/>
      <c r="B886" s="5" t="n"/>
      <c r="C886" s="5" t="n"/>
      <c r="D886" s="5" t="n"/>
      <c r="E886" s="8" t="n"/>
      <c r="F886" s="5" t="n"/>
      <c r="G886" s="5" t="n"/>
      <c r="H886" s="5" t="n"/>
      <c r="I886" s="5" t="n"/>
    </row>
    <row r="887">
      <c r="A887" s="5" t="n"/>
      <c r="B887" s="5" t="n"/>
      <c r="C887" s="5" t="n"/>
      <c r="D887" s="5" t="n"/>
      <c r="E887" s="8" t="n"/>
      <c r="F887" s="5" t="n"/>
      <c r="G887" s="5" t="n"/>
      <c r="H887" s="5" t="n"/>
      <c r="I887" s="5" t="n"/>
    </row>
    <row r="888">
      <c r="A888" s="5" t="n"/>
      <c r="B888" s="5" t="n"/>
      <c r="C888" s="5" t="n"/>
      <c r="D888" s="5" t="n"/>
      <c r="E888" s="8" t="n"/>
      <c r="F888" s="5" t="n"/>
      <c r="G888" s="5" t="n"/>
      <c r="H888" s="5" t="n"/>
      <c r="I888" s="5" t="n"/>
    </row>
    <row r="889">
      <c r="A889" s="5" t="n"/>
      <c r="B889" s="5" t="n"/>
      <c r="C889" s="5" t="n"/>
      <c r="D889" s="5" t="n"/>
      <c r="E889" s="8" t="n"/>
      <c r="F889" s="5" t="n"/>
      <c r="G889" s="5" t="n"/>
      <c r="H889" s="5" t="n"/>
      <c r="I889" s="5" t="n"/>
    </row>
    <row r="890">
      <c r="A890" s="5" t="n"/>
      <c r="B890" s="5" t="n"/>
      <c r="C890" s="5" t="n"/>
      <c r="D890" s="5" t="n"/>
      <c r="E890" s="8" t="n"/>
      <c r="F890" s="5" t="n"/>
      <c r="G890" s="5" t="n"/>
      <c r="H890" s="5" t="n"/>
      <c r="I890" s="5" t="n"/>
    </row>
    <row r="891">
      <c r="A891" s="5" t="n"/>
      <c r="B891" s="5" t="n"/>
      <c r="C891" s="5" t="n"/>
      <c r="D891" s="5" t="n"/>
      <c r="E891" s="8" t="n"/>
      <c r="F891" s="5" t="n"/>
      <c r="G891" s="5" t="n"/>
      <c r="H891" s="5" t="n"/>
      <c r="I891" s="5" t="n"/>
    </row>
    <row r="892">
      <c r="A892" s="5" t="n"/>
      <c r="B892" s="5" t="n"/>
      <c r="C892" s="5" t="n"/>
      <c r="D892" s="5" t="n"/>
      <c r="E892" s="8" t="n"/>
      <c r="F892" s="5" t="n"/>
      <c r="G892" s="5" t="n"/>
      <c r="H892" s="5" t="n"/>
      <c r="I892" s="5" t="n"/>
    </row>
    <row r="893">
      <c r="A893" s="5" t="n"/>
      <c r="B893" s="5" t="n"/>
      <c r="C893" s="5" t="n"/>
      <c r="D893" s="5" t="n"/>
      <c r="E893" s="8" t="n"/>
      <c r="F893" s="5" t="n"/>
      <c r="G893" s="5" t="n"/>
      <c r="H893" s="5" t="n"/>
      <c r="I893" s="5" t="n"/>
    </row>
    <row r="894">
      <c r="A894" s="5" t="n"/>
      <c r="B894" s="5" t="n"/>
      <c r="C894" s="5" t="n"/>
      <c r="D894" s="5" t="n"/>
      <c r="E894" s="8" t="n"/>
      <c r="F894" s="5" t="n"/>
      <c r="G894" s="5" t="n"/>
      <c r="H894" s="5" t="n"/>
      <c r="I894" s="5" t="n"/>
    </row>
    <row r="895">
      <c r="A895" s="5" t="n"/>
      <c r="B895" s="5" t="n"/>
      <c r="C895" s="5" t="n"/>
      <c r="D895" s="5" t="n"/>
      <c r="E895" s="8" t="n"/>
      <c r="F895" s="5" t="n"/>
      <c r="G895" s="5" t="n"/>
      <c r="H895" s="5" t="n"/>
      <c r="I895" s="5" t="n"/>
    </row>
    <row r="896">
      <c r="A896" s="5" t="n"/>
      <c r="B896" s="5" t="n"/>
      <c r="C896" s="5" t="n"/>
      <c r="D896" s="5" t="n"/>
      <c r="E896" s="8" t="n"/>
      <c r="F896" s="5" t="n"/>
      <c r="G896" s="5" t="n"/>
      <c r="H896" s="5" t="n"/>
      <c r="I896" s="5" t="n"/>
    </row>
    <row r="897">
      <c r="A897" s="5" t="n"/>
      <c r="B897" s="5" t="n"/>
      <c r="C897" s="5" t="n"/>
      <c r="D897" s="5" t="n"/>
      <c r="E897" s="8" t="n"/>
      <c r="F897" s="5" t="n"/>
      <c r="G897" s="5" t="n"/>
      <c r="H897" s="5" t="n"/>
      <c r="I897" s="5" t="n"/>
    </row>
    <row r="898">
      <c r="A898" s="5" t="n"/>
      <c r="B898" s="5" t="n"/>
      <c r="C898" s="5" t="n"/>
      <c r="D898" s="5" t="n"/>
      <c r="E898" s="8" t="n"/>
      <c r="F898" s="5" t="n"/>
      <c r="G898" s="5" t="n"/>
      <c r="H898" s="5" t="n"/>
      <c r="I898" s="5" t="n"/>
    </row>
    <row r="899">
      <c r="A899" s="5" t="n"/>
      <c r="B899" s="5" t="n"/>
      <c r="C899" s="5" t="n"/>
      <c r="D899" s="5" t="n"/>
      <c r="E899" s="8" t="n"/>
      <c r="F899" s="5" t="n"/>
      <c r="G899" s="5" t="n"/>
      <c r="H899" s="5" t="n"/>
      <c r="I899" s="5" t="n"/>
    </row>
    <row r="900">
      <c r="A900" s="5" t="n"/>
      <c r="B900" s="5" t="n"/>
      <c r="C900" s="5" t="n"/>
      <c r="D900" s="5" t="n"/>
      <c r="E900" s="8" t="n"/>
      <c r="F900" s="5" t="n"/>
      <c r="G900" s="5" t="n"/>
      <c r="H900" s="5" t="n"/>
      <c r="I900" s="5" t="n"/>
    </row>
    <row r="901">
      <c r="A901" s="5" t="n"/>
      <c r="B901" s="5" t="n"/>
      <c r="C901" s="5" t="n"/>
      <c r="D901" s="5" t="n"/>
      <c r="E901" s="8" t="n"/>
      <c r="F901" s="5" t="n"/>
      <c r="G901" s="5" t="n"/>
      <c r="H901" s="5" t="n"/>
      <c r="I901" s="5" t="n"/>
    </row>
    <row r="902">
      <c r="A902" s="5" t="n"/>
      <c r="B902" s="5" t="n"/>
      <c r="C902" s="5" t="n"/>
      <c r="D902" s="5" t="n"/>
      <c r="E902" s="8" t="n"/>
      <c r="F902" s="5" t="n"/>
      <c r="G902" s="5" t="n"/>
      <c r="H902" s="5" t="n"/>
      <c r="I902" s="5" t="n"/>
    </row>
    <row r="903">
      <c r="A903" s="5" t="n"/>
      <c r="B903" s="5" t="n"/>
      <c r="C903" s="5" t="n"/>
      <c r="D903" s="5" t="n"/>
      <c r="E903" s="8" t="n"/>
      <c r="F903" s="5" t="n"/>
      <c r="G903" s="5" t="n"/>
      <c r="H903" s="5" t="n"/>
      <c r="I903" s="5" t="n"/>
    </row>
    <row r="904">
      <c r="A904" s="5" t="n"/>
      <c r="B904" s="5" t="n"/>
      <c r="C904" s="5" t="n"/>
      <c r="D904" s="5" t="n"/>
      <c r="E904" s="8" t="n"/>
      <c r="F904" s="5" t="n"/>
      <c r="G904" s="5" t="n"/>
      <c r="H904" s="5" t="n"/>
      <c r="I904" s="5" t="n"/>
    </row>
    <row r="905">
      <c r="A905" s="5" t="n"/>
      <c r="B905" s="5" t="n"/>
      <c r="C905" s="5" t="n"/>
      <c r="D905" s="5" t="n"/>
      <c r="E905" s="8" t="n"/>
      <c r="F905" s="5" t="n"/>
      <c r="G905" s="5" t="n"/>
      <c r="H905" s="5" t="n"/>
      <c r="I905" s="5" t="n"/>
    </row>
    <row r="906">
      <c r="A906" s="5" t="n"/>
      <c r="B906" s="5" t="n"/>
      <c r="C906" s="5" t="n"/>
      <c r="D906" s="5" t="n"/>
      <c r="E906" s="8" t="n"/>
      <c r="F906" s="5" t="n"/>
      <c r="G906" s="5" t="n"/>
      <c r="H906" s="5" t="n"/>
      <c r="I906" s="5" t="n"/>
    </row>
    <row r="907">
      <c r="A907" s="5" t="n"/>
      <c r="B907" s="5" t="n"/>
      <c r="C907" s="5" t="n"/>
      <c r="D907" s="5" t="n"/>
      <c r="E907" s="8" t="n"/>
      <c r="F907" s="5" t="n"/>
      <c r="G907" s="5" t="n"/>
      <c r="H907" s="5" t="n"/>
      <c r="I907" s="5" t="n"/>
    </row>
    <row r="908">
      <c r="A908" s="5" t="n"/>
      <c r="B908" s="5" t="n"/>
      <c r="C908" s="5" t="n"/>
      <c r="D908" s="5" t="n"/>
      <c r="E908" s="8" t="n"/>
      <c r="F908" s="5" t="n"/>
      <c r="G908" s="5" t="n"/>
      <c r="H908" s="5" t="n"/>
      <c r="I908" s="5" t="n"/>
    </row>
    <row r="909">
      <c r="A909" s="5" t="n"/>
      <c r="B909" s="5" t="n"/>
      <c r="C909" s="5" t="n"/>
      <c r="D909" s="5" t="n"/>
      <c r="E909" s="8" t="n"/>
      <c r="F909" s="5" t="n"/>
      <c r="G909" s="5" t="n"/>
      <c r="H909" s="5" t="n"/>
      <c r="I909" s="5" t="n"/>
    </row>
    <row r="910">
      <c r="A910" s="5" t="n"/>
      <c r="B910" s="5" t="n"/>
      <c r="C910" s="5" t="n"/>
      <c r="D910" s="5" t="n"/>
      <c r="E910" s="8" t="n"/>
      <c r="F910" s="5" t="n"/>
      <c r="G910" s="5" t="n"/>
      <c r="H910" s="5" t="n"/>
      <c r="I910" s="5" t="n"/>
    </row>
    <row r="911">
      <c r="A911" s="5" t="n"/>
      <c r="B911" s="5" t="n"/>
      <c r="C911" s="5" t="n"/>
      <c r="D911" s="5" t="n"/>
      <c r="E911" s="8" t="n"/>
      <c r="F911" s="5" t="n"/>
      <c r="G911" s="5" t="n"/>
      <c r="H911" s="5" t="n"/>
      <c r="I911" s="5" t="n"/>
    </row>
    <row r="912">
      <c r="A912" s="5" t="n"/>
      <c r="B912" s="5" t="n"/>
      <c r="C912" s="5" t="n"/>
      <c r="D912" s="5" t="n"/>
      <c r="E912" s="8" t="n"/>
      <c r="F912" s="5" t="n"/>
      <c r="G912" s="5" t="n"/>
      <c r="H912" s="5" t="n"/>
      <c r="I912" s="5" t="n"/>
    </row>
    <row r="913">
      <c r="A913" s="5" t="n"/>
      <c r="B913" s="5" t="n"/>
      <c r="C913" s="5" t="n"/>
      <c r="D913" s="5" t="n"/>
      <c r="E913" s="8" t="n"/>
      <c r="F913" s="5" t="n"/>
      <c r="G913" s="5" t="n"/>
      <c r="H913" s="5" t="n"/>
      <c r="I913" s="5" t="n"/>
    </row>
    <row r="914">
      <c r="A914" s="5" t="n"/>
      <c r="B914" s="5" t="n"/>
      <c r="C914" s="5" t="n"/>
      <c r="D914" s="5" t="n"/>
      <c r="E914" s="8" t="n"/>
      <c r="F914" s="5" t="n"/>
      <c r="G914" s="5" t="n"/>
      <c r="H914" s="5" t="n"/>
      <c r="I914" s="5" t="n"/>
    </row>
    <row r="915">
      <c r="A915" s="5" t="n"/>
      <c r="B915" s="5" t="n"/>
      <c r="C915" s="5" t="n"/>
      <c r="D915" s="5" t="n"/>
      <c r="E915" s="8" t="n"/>
      <c r="F915" s="5" t="n"/>
      <c r="G915" s="5" t="n"/>
      <c r="H915" s="5" t="n"/>
      <c r="I915" s="5" t="n"/>
    </row>
    <row r="916">
      <c r="A916" s="5" t="n"/>
      <c r="B916" s="5" t="n"/>
      <c r="C916" s="5" t="n"/>
      <c r="D916" s="5" t="n"/>
      <c r="E916" s="8" t="n"/>
      <c r="F916" s="5" t="n"/>
      <c r="G916" s="5" t="n"/>
      <c r="H916" s="5" t="n"/>
      <c r="I916" s="5" t="n"/>
    </row>
    <row r="917">
      <c r="A917" s="5" t="n"/>
      <c r="B917" s="5" t="n"/>
      <c r="C917" s="5" t="n"/>
      <c r="D917" s="5" t="n"/>
      <c r="E917" s="8" t="n"/>
      <c r="F917" s="5" t="n"/>
      <c r="G917" s="5" t="n"/>
      <c r="H917" s="5" t="n"/>
      <c r="I917" s="5" t="n"/>
    </row>
    <row r="918">
      <c r="A918" s="5" t="n"/>
      <c r="B918" s="5" t="n"/>
      <c r="C918" s="5" t="n"/>
      <c r="D918" s="5" t="n"/>
      <c r="E918" s="8" t="n"/>
      <c r="F918" s="5" t="n"/>
      <c r="G918" s="5" t="n"/>
      <c r="H918" s="5" t="n"/>
      <c r="I918" s="5" t="n"/>
    </row>
    <row r="919">
      <c r="A919" s="5" t="n"/>
      <c r="B919" s="5" t="n"/>
      <c r="C919" s="5" t="n"/>
      <c r="D919" s="5" t="n"/>
      <c r="E919" s="8" t="n"/>
      <c r="F919" s="5" t="n"/>
      <c r="G919" s="5" t="n"/>
      <c r="H919" s="5" t="n"/>
      <c r="I919" s="5" t="n"/>
    </row>
    <row r="920">
      <c r="A920" s="5" t="n"/>
      <c r="B920" s="5" t="n"/>
      <c r="C920" s="5" t="n"/>
      <c r="D920" s="5" t="n"/>
      <c r="E920" s="8" t="n"/>
      <c r="F920" s="5" t="n"/>
      <c r="G920" s="5" t="n"/>
      <c r="H920" s="5" t="n"/>
      <c r="I920" s="5" t="n"/>
    </row>
    <row r="921">
      <c r="A921" s="5" t="n"/>
      <c r="B921" s="5" t="n"/>
      <c r="C921" s="5" t="n"/>
      <c r="D921" s="5" t="n"/>
      <c r="E921" s="8" t="n"/>
      <c r="F921" s="5" t="n"/>
      <c r="G921" s="5" t="n"/>
      <c r="H921" s="5" t="n"/>
      <c r="I921" s="5" t="n"/>
    </row>
    <row r="922">
      <c r="A922" s="5" t="n"/>
      <c r="B922" s="5" t="n"/>
      <c r="C922" s="5" t="n"/>
      <c r="D922" s="5" t="n"/>
      <c r="E922" s="8" t="n"/>
      <c r="F922" s="5" t="n"/>
      <c r="G922" s="5" t="n"/>
      <c r="H922" s="5" t="n"/>
      <c r="I922" s="5" t="n"/>
    </row>
    <row r="923">
      <c r="A923" s="5" t="n"/>
      <c r="B923" s="5" t="n"/>
      <c r="C923" s="5" t="n"/>
      <c r="D923" s="5" t="n"/>
      <c r="E923" s="8" t="n"/>
      <c r="F923" s="5" t="n"/>
      <c r="G923" s="5" t="n"/>
      <c r="H923" s="5" t="n"/>
      <c r="I923" s="5" t="n"/>
    </row>
    <row r="924">
      <c r="A924" s="5" t="n"/>
      <c r="B924" s="5" t="n"/>
      <c r="C924" s="5" t="n"/>
      <c r="D924" s="5" t="n"/>
      <c r="E924" s="8" t="n"/>
      <c r="F924" s="5" t="n"/>
      <c r="G924" s="5" t="n"/>
      <c r="H924" s="5" t="n"/>
      <c r="I924" s="5" t="n"/>
    </row>
    <row r="925">
      <c r="A925" s="5" t="n"/>
      <c r="B925" s="5" t="n"/>
      <c r="C925" s="5" t="n"/>
      <c r="D925" s="5" t="n"/>
      <c r="E925" s="8" t="n"/>
      <c r="F925" s="5" t="n"/>
      <c r="G925" s="5" t="n"/>
      <c r="H925" s="5" t="n"/>
      <c r="I925" s="5" t="n"/>
    </row>
    <row r="926">
      <c r="A926" s="5" t="n"/>
      <c r="B926" s="5" t="n"/>
      <c r="C926" s="5" t="n"/>
      <c r="D926" s="5" t="n"/>
      <c r="E926" s="8" t="n"/>
      <c r="F926" s="5" t="n"/>
      <c r="G926" s="5" t="n"/>
      <c r="H926" s="5" t="n"/>
      <c r="I926" s="5" t="n"/>
    </row>
    <row r="927">
      <c r="A927" s="5" t="n"/>
      <c r="B927" s="5" t="n"/>
      <c r="C927" s="5" t="n"/>
      <c r="D927" s="5" t="n"/>
      <c r="E927" s="8" t="n"/>
      <c r="F927" s="5" t="n"/>
      <c r="G927" s="5" t="n"/>
      <c r="H927" s="5" t="n"/>
      <c r="I927" s="5" t="n"/>
    </row>
    <row r="928">
      <c r="A928" s="5" t="n"/>
      <c r="B928" s="5" t="n"/>
      <c r="C928" s="5" t="n"/>
      <c r="D928" s="5" t="n"/>
      <c r="E928" s="8" t="n"/>
      <c r="F928" s="5" t="n"/>
      <c r="G928" s="5" t="n"/>
      <c r="H928" s="5" t="n"/>
      <c r="I928" s="5" t="n"/>
    </row>
    <row r="929">
      <c r="A929" s="5" t="n"/>
      <c r="B929" s="5" t="n"/>
      <c r="C929" s="5" t="n"/>
      <c r="D929" s="5" t="n"/>
      <c r="E929" s="8" t="n"/>
      <c r="F929" s="5" t="n"/>
      <c r="G929" s="5" t="n"/>
      <c r="H929" s="5" t="n"/>
      <c r="I929" s="5" t="n"/>
    </row>
    <row r="930">
      <c r="A930" s="5" t="n"/>
      <c r="B930" s="5" t="n"/>
      <c r="C930" s="5" t="n"/>
      <c r="D930" s="5" t="n"/>
      <c r="E930" s="8" t="n"/>
      <c r="F930" s="5" t="n"/>
      <c r="G930" s="5" t="n"/>
      <c r="H930" s="5" t="n"/>
      <c r="I930" s="5" t="n"/>
    </row>
    <row r="931">
      <c r="A931" s="5" t="n"/>
      <c r="B931" s="5" t="n"/>
      <c r="C931" s="5" t="n"/>
      <c r="D931" s="5" t="n"/>
      <c r="E931" s="8" t="n"/>
      <c r="F931" s="5" t="n"/>
      <c r="G931" s="5" t="n"/>
      <c r="H931" s="5" t="n"/>
      <c r="I931" s="5" t="n"/>
    </row>
    <row r="932">
      <c r="A932" s="5" t="n"/>
      <c r="B932" s="5" t="n"/>
      <c r="C932" s="5" t="n"/>
      <c r="D932" s="5" t="n"/>
      <c r="E932" s="8" t="n"/>
      <c r="F932" s="5" t="n"/>
      <c r="G932" s="5" t="n"/>
      <c r="H932" s="5" t="n"/>
      <c r="I932" s="5" t="n"/>
    </row>
    <row r="933">
      <c r="A933" s="5" t="n"/>
      <c r="B933" s="5" t="n"/>
      <c r="C933" s="5" t="n"/>
      <c r="D933" s="5" t="n"/>
      <c r="E933" s="8" t="n"/>
      <c r="F933" s="5" t="n"/>
      <c r="G933" s="5" t="n"/>
      <c r="H933" s="5" t="n"/>
      <c r="I933" s="5" t="n"/>
    </row>
    <row r="934">
      <c r="A934" s="5" t="n"/>
      <c r="B934" s="5" t="n"/>
      <c r="C934" s="5" t="n"/>
      <c r="D934" s="5" t="n"/>
      <c r="E934" s="8" t="n"/>
      <c r="F934" s="5" t="n"/>
      <c r="G934" s="5" t="n"/>
      <c r="H934" s="5" t="n"/>
      <c r="I934" s="5" t="n"/>
    </row>
    <row r="935">
      <c r="A935" s="5" t="n"/>
      <c r="B935" s="5" t="n"/>
      <c r="C935" s="5" t="n"/>
      <c r="D935" s="5" t="n"/>
      <c r="E935" s="8" t="n"/>
      <c r="F935" s="5" t="n"/>
      <c r="G935" s="5" t="n"/>
      <c r="H935" s="5" t="n"/>
      <c r="I935" s="5" t="n"/>
    </row>
    <row r="936">
      <c r="A936" s="5" t="n"/>
      <c r="B936" s="5" t="n"/>
      <c r="C936" s="5" t="n"/>
      <c r="D936" s="5" t="n"/>
      <c r="E936" s="8" t="n"/>
      <c r="F936" s="5" t="n"/>
      <c r="G936" s="5" t="n"/>
      <c r="H936" s="5" t="n"/>
      <c r="I936" s="5" t="n"/>
    </row>
    <row r="937">
      <c r="A937" s="5" t="n"/>
      <c r="B937" s="5" t="n"/>
      <c r="C937" s="5" t="n"/>
      <c r="D937" s="5" t="n"/>
      <c r="E937" s="8" t="n"/>
      <c r="F937" s="5" t="n"/>
      <c r="G937" s="5" t="n"/>
      <c r="H937" s="5" t="n"/>
      <c r="I937" s="5" t="n"/>
    </row>
    <row r="938">
      <c r="A938" s="5" t="n"/>
      <c r="B938" s="5" t="n"/>
      <c r="C938" s="5" t="n"/>
      <c r="D938" s="5" t="n"/>
      <c r="E938" s="8" t="n"/>
      <c r="F938" s="5" t="n"/>
      <c r="G938" s="5" t="n"/>
      <c r="H938" s="5" t="n"/>
      <c r="I938" s="5" t="n"/>
    </row>
    <row r="939">
      <c r="A939" s="5" t="n"/>
      <c r="B939" s="5" t="n"/>
      <c r="C939" s="5" t="n"/>
      <c r="D939" s="5" t="n"/>
      <c r="E939" s="8" t="n"/>
      <c r="F939" s="5" t="n"/>
      <c r="G939" s="5" t="n"/>
      <c r="H939" s="5" t="n"/>
      <c r="I939" s="5" t="n"/>
    </row>
    <row r="940">
      <c r="A940" s="5" t="n"/>
      <c r="B940" s="5" t="n"/>
      <c r="C940" s="5" t="n"/>
      <c r="D940" s="5" t="n"/>
      <c r="E940" s="8" t="n"/>
      <c r="F940" s="5" t="n"/>
      <c r="G940" s="5" t="n"/>
      <c r="H940" s="5" t="n"/>
      <c r="I940" s="5" t="n"/>
    </row>
    <row r="941">
      <c r="A941" s="5" t="n"/>
      <c r="B941" s="5" t="n"/>
      <c r="C941" s="5" t="n"/>
      <c r="D941" s="5" t="n"/>
      <c r="E941" s="8" t="n"/>
      <c r="F941" s="5" t="n"/>
      <c r="G941" s="5" t="n"/>
      <c r="H941" s="5" t="n"/>
      <c r="I941" s="5" t="n"/>
    </row>
    <row r="942">
      <c r="A942" s="5" t="n"/>
      <c r="B942" s="5" t="n"/>
      <c r="C942" s="5" t="n"/>
      <c r="D942" s="5" t="n"/>
      <c r="E942" s="8" t="n"/>
      <c r="F942" s="5" t="n"/>
      <c r="G942" s="5" t="n"/>
      <c r="H942" s="5" t="n"/>
      <c r="I942" s="5" t="n"/>
    </row>
    <row r="943">
      <c r="A943" s="5" t="n"/>
      <c r="B943" s="5" t="n"/>
      <c r="C943" s="5" t="n"/>
      <c r="D943" s="5" t="n"/>
      <c r="E943" s="8" t="n"/>
      <c r="F943" s="5" t="n"/>
      <c r="G943" s="5" t="n"/>
      <c r="H943" s="5" t="n"/>
      <c r="I943" s="5" t="n"/>
    </row>
    <row r="944">
      <c r="A944" s="5" t="n"/>
      <c r="B944" s="5" t="n"/>
      <c r="C944" s="5" t="n"/>
      <c r="D944" s="5" t="n"/>
      <c r="E944" s="8" t="n"/>
      <c r="F944" s="5" t="n"/>
      <c r="G944" s="5" t="n"/>
      <c r="H944" s="5" t="n"/>
      <c r="I944" s="5" t="n"/>
    </row>
    <row r="945">
      <c r="A945" s="5" t="n"/>
      <c r="B945" s="5" t="n"/>
      <c r="C945" s="5" t="n"/>
      <c r="D945" s="5" t="n"/>
      <c r="E945" s="8" t="n"/>
      <c r="F945" s="5" t="n"/>
      <c r="G945" s="5" t="n"/>
      <c r="H945" s="5" t="n"/>
      <c r="I945" s="5" t="n"/>
    </row>
    <row r="946">
      <c r="A946" s="5" t="n"/>
      <c r="B946" s="5" t="n"/>
      <c r="C946" s="5" t="n"/>
      <c r="D946" s="5" t="n"/>
      <c r="E946" s="8" t="n"/>
      <c r="F946" s="5" t="n"/>
      <c r="G946" s="5" t="n"/>
      <c r="H946" s="5" t="n"/>
      <c r="I946" s="5" t="n"/>
    </row>
    <row r="947">
      <c r="A947" s="5" t="n"/>
      <c r="B947" s="5" t="n"/>
      <c r="C947" s="5" t="n"/>
      <c r="D947" s="5" t="n"/>
      <c r="E947" s="8" t="n"/>
      <c r="F947" s="5" t="n"/>
      <c r="G947" s="5" t="n"/>
      <c r="H947" s="5" t="n"/>
      <c r="I947" s="5" t="n"/>
    </row>
    <row r="948">
      <c r="A948" s="5" t="n"/>
      <c r="B948" s="5" t="n"/>
      <c r="C948" s="5" t="n"/>
      <c r="D948" s="5" t="n"/>
      <c r="E948" s="8" t="n"/>
      <c r="F948" s="5" t="n"/>
      <c r="G948" s="5" t="n"/>
      <c r="H948" s="5" t="n"/>
      <c r="I948" s="5" t="n"/>
    </row>
    <row r="949">
      <c r="A949" s="5" t="n"/>
      <c r="B949" s="5" t="n"/>
      <c r="C949" s="5" t="n"/>
      <c r="D949" s="5" t="n"/>
      <c r="E949" s="8" t="n"/>
      <c r="F949" s="5" t="n"/>
      <c r="G949" s="5" t="n"/>
      <c r="H949" s="5" t="n"/>
      <c r="I949" s="5" t="n"/>
    </row>
    <row r="950">
      <c r="A950" s="5" t="n"/>
      <c r="B950" s="5" t="n"/>
      <c r="C950" s="5" t="n"/>
      <c r="D950" s="5" t="n"/>
      <c r="E950" s="8" t="n"/>
      <c r="F950" s="5" t="n"/>
      <c r="G950" s="5" t="n"/>
      <c r="H950" s="5" t="n"/>
      <c r="I950" s="5" t="n"/>
    </row>
    <row r="951">
      <c r="A951" s="5" t="n"/>
      <c r="B951" s="5" t="n"/>
      <c r="C951" s="5" t="n"/>
      <c r="D951" s="5" t="n"/>
      <c r="E951" s="8" t="n"/>
      <c r="F951" s="5" t="n"/>
      <c r="G951" s="5" t="n"/>
      <c r="H951" s="5" t="n"/>
      <c r="I951" s="5" t="n"/>
    </row>
    <row r="952">
      <c r="A952" s="5" t="n"/>
      <c r="B952" s="5" t="n"/>
      <c r="C952" s="5" t="n"/>
      <c r="D952" s="5" t="n"/>
      <c r="E952" s="8" t="n"/>
      <c r="F952" s="5" t="n"/>
      <c r="G952" s="5" t="n"/>
      <c r="H952" s="5" t="n"/>
      <c r="I952" s="5" t="n"/>
    </row>
    <row r="953">
      <c r="A953" s="5" t="n"/>
      <c r="B953" s="5" t="n"/>
      <c r="C953" s="5" t="n"/>
      <c r="D953" s="5" t="n"/>
      <c r="E953" s="8" t="n"/>
      <c r="F953" s="5" t="n"/>
      <c r="G953" s="5" t="n"/>
      <c r="H953" s="5" t="n"/>
      <c r="I953" s="5" t="n"/>
    </row>
    <row r="954">
      <c r="A954" s="5" t="n"/>
      <c r="B954" s="5" t="n"/>
      <c r="C954" s="5" t="n"/>
      <c r="D954" s="5" t="n"/>
      <c r="E954" s="8" t="n"/>
      <c r="F954" s="5" t="n"/>
      <c r="G954" s="5" t="n"/>
      <c r="H954" s="5" t="n"/>
      <c r="I954" s="5" t="n"/>
    </row>
    <row r="955">
      <c r="A955" s="5" t="n"/>
      <c r="B955" s="5" t="n"/>
      <c r="C955" s="5" t="n"/>
      <c r="D955" s="5" t="n"/>
      <c r="E955" s="8" t="n"/>
      <c r="F955" s="5" t="n"/>
      <c r="G955" s="5" t="n"/>
      <c r="H955" s="5" t="n"/>
      <c r="I955" s="5" t="n"/>
    </row>
    <row r="956">
      <c r="A956" s="5" t="n"/>
      <c r="B956" s="5" t="n"/>
      <c r="C956" s="5" t="n"/>
      <c r="D956" s="5" t="n"/>
      <c r="E956" s="8" t="n"/>
      <c r="F956" s="5" t="n"/>
      <c r="G956" s="5" t="n"/>
      <c r="H956" s="5" t="n"/>
      <c r="I956" s="5" t="n"/>
    </row>
    <row r="957">
      <c r="A957" s="5" t="n"/>
      <c r="B957" s="5" t="n"/>
      <c r="C957" s="5" t="n"/>
      <c r="D957" s="5" t="n"/>
      <c r="E957" s="8" t="n"/>
      <c r="F957" s="5" t="n"/>
      <c r="G957" s="5" t="n"/>
      <c r="H957" s="5" t="n"/>
      <c r="I957" s="5" t="n"/>
    </row>
    <row r="958">
      <c r="A958" s="5" t="n"/>
      <c r="B958" s="5" t="n"/>
      <c r="C958" s="5" t="n"/>
      <c r="D958" s="5" t="n"/>
      <c r="E958" s="8" t="n"/>
      <c r="F958" s="5" t="n"/>
      <c r="G958" s="5" t="n"/>
      <c r="H958" s="5" t="n"/>
      <c r="I958" s="5" t="n"/>
    </row>
    <row r="959">
      <c r="A959" s="5" t="n"/>
      <c r="B959" s="5" t="n"/>
      <c r="C959" s="5" t="n"/>
      <c r="D959" s="5" t="n"/>
      <c r="E959" s="8" t="n"/>
      <c r="F959" s="5" t="n"/>
      <c r="G959" s="5" t="n"/>
      <c r="H959" s="5" t="n"/>
      <c r="I959" s="5" t="n"/>
    </row>
    <row r="960">
      <c r="A960" s="5" t="n"/>
      <c r="B960" s="5" t="n"/>
      <c r="C960" s="5" t="n"/>
      <c r="D960" s="5" t="n"/>
      <c r="E960" s="8" t="n"/>
      <c r="F960" s="5" t="n"/>
      <c r="G960" s="5" t="n"/>
      <c r="H960" s="5" t="n"/>
      <c r="I960" s="5" t="n"/>
    </row>
    <row r="961">
      <c r="A961" s="5" t="n"/>
      <c r="B961" s="5" t="n"/>
      <c r="C961" s="5" t="n"/>
      <c r="D961" s="5" t="n"/>
      <c r="E961" s="8" t="n"/>
      <c r="F961" s="5" t="n"/>
      <c r="G961" s="5" t="n"/>
      <c r="H961" s="5" t="n"/>
      <c r="I961" s="5" t="n"/>
    </row>
    <row r="962">
      <c r="A962" s="5" t="n"/>
      <c r="B962" s="5" t="n"/>
      <c r="C962" s="5" t="n"/>
      <c r="D962" s="5" t="n"/>
      <c r="E962" s="8" t="n"/>
      <c r="F962" s="5" t="n"/>
      <c r="G962" s="5" t="n"/>
      <c r="H962" s="5" t="n"/>
      <c r="I962" s="5" t="n"/>
    </row>
    <row r="963">
      <c r="A963" s="5" t="n"/>
      <c r="B963" s="5" t="n"/>
      <c r="C963" s="5" t="n"/>
      <c r="D963" s="5" t="n"/>
      <c r="E963" s="8" t="n"/>
      <c r="F963" s="5" t="n"/>
      <c r="G963" s="5" t="n"/>
      <c r="H963" s="5" t="n"/>
      <c r="I963" s="5" t="n"/>
    </row>
    <row r="964">
      <c r="A964" s="5" t="n"/>
      <c r="B964" s="5" t="n"/>
      <c r="C964" s="5" t="n"/>
      <c r="D964" s="5" t="n"/>
      <c r="E964" s="8" t="n"/>
      <c r="F964" s="5" t="n"/>
      <c r="G964" s="5" t="n"/>
      <c r="H964" s="5" t="n"/>
      <c r="I964" s="5" t="n"/>
    </row>
    <row r="965">
      <c r="A965" s="5" t="n"/>
      <c r="B965" s="5" t="n"/>
      <c r="C965" s="5" t="n"/>
      <c r="D965" s="5" t="n"/>
      <c r="E965" s="8" t="n"/>
      <c r="F965" s="5" t="n"/>
      <c r="G965" s="5" t="n"/>
      <c r="H965" s="5" t="n"/>
      <c r="I965" s="5" t="n"/>
    </row>
    <row r="966">
      <c r="A966" s="5" t="n"/>
      <c r="B966" s="5" t="n"/>
      <c r="C966" s="5" t="n"/>
      <c r="D966" s="5" t="n"/>
      <c r="E966" s="8" t="n"/>
      <c r="F966" s="5" t="n"/>
      <c r="G966" s="5" t="n"/>
      <c r="H966" s="5" t="n"/>
      <c r="I966" s="5" t="n"/>
    </row>
    <row r="967">
      <c r="A967" s="5" t="n"/>
      <c r="B967" s="5" t="n"/>
      <c r="C967" s="5" t="n"/>
      <c r="D967" s="5" t="n"/>
      <c r="E967" s="8" t="n"/>
      <c r="F967" s="5" t="n"/>
      <c r="G967" s="5" t="n"/>
      <c r="H967" s="5" t="n"/>
      <c r="I967" s="5" t="n"/>
    </row>
    <row r="968">
      <c r="A968" s="5" t="n"/>
      <c r="B968" s="5" t="n"/>
      <c r="C968" s="5" t="n"/>
      <c r="D968" s="5" t="n"/>
      <c r="E968" s="8" t="n"/>
      <c r="F968" s="5" t="n"/>
      <c r="G968" s="5" t="n"/>
      <c r="H968" s="5" t="n"/>
      <c r="I968" s="5" t="n"/>
    </row>
    <row r="969">
      <c r="A969" s="5" t="n"/>
      <c r="B969" s="5" t="n"/>
      <c r="C969" s="5" t="n"/>
      <c r="D969" s="5" t="n"/>
      <c r="E969" s="8" t="n"/>
      <c r="F969" s="5" t="n"/>
      <c r="G969" s="5" t="n"/>
      <c r="H969" s="5" t="n"/>
      <c r="I969" s="5" t="n"/>
    </row>
    <row r="970">
      <c r="A970" s="5" t="n"/>
      <c r="B970" s="5" t="n"/>
      <c r="C970" s="5" t="n"/>
      <c r="D970" s="5" t="n"/>
      <c r="E970" s="8" t="n"/>
      <c r="F970" s="5" t="n"/>
      <c r="G970" s="5" t="n"/>
      <c r="H970" s="5" t="n"/>
      <c r="I970" s="5" t="n"/>
    </row>
    <row r="971">
      <c r="A971" s="5" t="n"/>
      <c r="B971" s="5" t="n"/>
      <c r="C971" s="5" t="n"/>
      <c r="D971" s="5" t="n"/>
      <c r="E971" s="8" t="n"/>
      <c r="F971" s="5" t="n"/>
      <c r="G971" s="5" t="n"/>
      <c r="H971" s="5" t="n"/>
      <c r="I971" s="5" t="n"/>
    </row>
    <row r="972">
      <c r="A972" s="5" t="n"/>
      <c r="B972" s="5" t="n"/>
      <c r="C972" s="5" t="n"/>
      <c r="D972" s="5" t="n"/>
      <c r="E972" s="8" t="n"/>
      <c r="F972" s="5" t="n"/>
      <c r="G972" s="5" t="n"/>
      <c r="H972" s="5" t="n"/>
      <c r="I972" s="5" t="n"/>
    </row>
    <row r="973">
      <c r="A973" s="5" t="n"/>
      <c r="B973" s="5" t="n"/>
      <c r="C973" s="5" t="n"/>
      <c r="D973" s="5" t="n"/>
      <c r="E973" s="8" t="n"/>
      <c r="F973" s="5" t="n"/>
      <c r="G973" s="5" t="n"/>
      <c r="H973" s="5" t="n"/>
      <c r="I973" s="5" t="n"/>
    </row>
    <row r="974">
      <c r="A974" s="5" t="n"/>
      <c r="B974" s="5" t="n"/>
      <c r="C974" s="5" t="n"/>
      <c r="D974" s="5" t="n"/>
      <c r="E974" s="8" t="n"/>
      <c r="F974" s="5" t="n"/>
      <c r="G974" s="5" t="n"/>
      <c r="H974" s="5" t="n"/>
      <c r="I974" s="5" t="n"/>
    </row>
    <row r="975">
      <c r="A975" s="5" t="n"/>
      <c r="B975" s="5" t="n"/>
      <c r="C975" s="5" t="n"/>
      <c r="D975" s="5" t="n"/>
      <c r="E975" s="8" t="n"/>
      <c r="F975" s="5" t="n"/>
      <c r="G975" s="5" t="n"/>
      <c r="H975" s="5" t="n"/>
      <c r="I975" s="5" t="n"/>
    </row>
    <row r="976">
      <c r="A976" s="5" t="n"/>
      <c r="B976" s="5" t="n"/>
      <c r="C976" s="5" t="n"/>
      <c r="D976" s="5" t="n"/>
      <c r="E976" s="8" t="n"/>
      <c r="F976" s="5" t="n"/>
      <c r="G976" s="5" t="n"/>
      <c r="H976" s="5" t="n"/>
      <c r="I976" s="5" t="n"/>
    </row>
    <row r="977">
      <c r="A977" s="5" t="n"/>
      <c r="B977" s="5" t="n"/>
      <c r="C977" s="5" t="n"/>
      <c r="D977" s="5" t="n"/>
      <c r="E977" s="8" t="n"/>
      <c r="F977" s="5" t="n"/>
      <c r="G977" s="5" t="n"/>
      <c r="H977" s="5" t="n"/>
      <c r="I977" s="5" t="n"/>
    </row>
    <row r="978">
      <c r="A978" s="5" t="n"/>
      <c r="B978" s="5" t="n"/>
      <c r="C978" s="5" t="n"/>
      <c r="D978" s="5" t="n"/>
      <c r="E978" s="8" t="n"/>
      <c r="F978" s="5" t="n"/>
      <c r="G978" s="5" t="n"/>
      <c r="H978" s="5" t="n"/>
      <c r="I978" s="5" t="n"/>
    </row>
    <row r="979">
      <c r="A979" s="5" t="n"/>
      <c r="B979" s="5" t="n"/>
      <c r="C979" s="5" t="n"/>
      <c r="D979" s="5" t="n"/>
      <c r="E979" s="8" t="n"/>
      <c r="F979" s="5" t="n"/>
      <c r="G979" s="5" t="n"/>
      <c r="H979" s="5" t="n"/>
      <c r="I979" s="5" t="n"/>
    </row>
    <row r="980">
      <c r="A980" s="5" t="n"/>
      <c r="B980" s="5" t="n"/>
      <c r="C980" s="5" t="n"/>
      <c r="D980" s="5" t="n"/>
      <c r="E980" s="8" t="n"/>
      <c r="F980" s="5" t="n"/>
      <c r="G980" s="5" t="n"/>
      <c r="H980" s="5" t="n"/>
      <c r="I980" s="5" t="n"/>
    </row>
    <row r="981">
      <c r="A981" s="5" t="n"/>
      <c r="B981" s="5" t="n"/>
      <c r="C981" s="5" t="n"/>
      <c r="D981" s="5" t="n"/>
      <c r="E981" s="8" t="n"/>
      <c r="F981" s="5" t="n"/>
      <c r="G981" s="5" t="n"/>
      <c r="H981" s="5" t="n"/>
      <c r="I981" s="5" t="n"/>
    </row>
    <row r="982">
      <c r="A982" s="5" t="n"/>
      <c r="B982" s="5" t="n"/>
      <c r="C982" s="5" t="n"/>
      <c r="D982" s="5" t="n"/>
      <c r="E982" s="8" t="n"/>
      <c r="F982" s="5" t="n"/>
      <c r="G982" s="5" t="n"/>
      <c r="H982" s="5" t="n"/>
      <c r="I982" s="5" t="n"/>
    </row>
    <row r="983">
      <c r="A983" s="5" t="n"/>
      <c r="B983" s="5" t="n"/>
      <c r="C983" s="5" t="n"/>
      <c r="D983" s="5" t="n"/>
      <c r="E983" s="8" t="n"/>
      <c r="F983" s="5" t="n"/>
      <c r="G983" s="5" t="n"/>
      <c r="H983" s="5" t="n"/>
      <c r="I983" s="5" t="n"/>
    </row>
    <row r="984">
      <c r="A984" s="5" t="n"/>
      <c r="B984" s="5" t="n"/>
      <c r="C984" s="5" t="n"/>
      <c r="D984" s="5" t="n"/>
      <c r="E984" s="8" t="n"/>
      <c r="F984" s="5" t="n"/>
      <c r="G984" s="5" t="n"/>
      <c r="H984" s="5" t="n"/>
      <c r="I984" s="5" t="n"/>
    </row>
    <row r="985">
      <c r="A985" s="5" t="n"/>
      <c r="B985" s="5" t="n"/>
      <c r="C985" s="5" t="n"/>
      <c r="D985" s="5" t="n"/>
      <c r="E985" s="8" t="n"/>
      <c r="F985" s="5" t="n"/>
      <c r="G985" s="5" t="n"/>
      <c r="H985" s="5" t="n"/>
      <c r="I985" s="5" t="n"/>
    </row>
    <row r="986">
      <c r="A986" s="5" t="n"/>
      <c r="B986" s="5" t="n"/>
      <c r="C986" s="5" t="n"/>
      <c r="D986" s="5" t="n"/>
      <c r="E986" s="8" t="n"/>
      <c r="F986" s="5" t="n"/>
      <c r="G986" s="5" t="n"/>
      <c r="H986" s="5" t="n"/>
      <c r="I986" s="5" t="n"/>
    </row>
    <row r="987">
      <c r="A987" s="5" t="n"/>
      <c r="B987" s="5" t="n"/>
      <c r="C987" s="5" t="n"/>
      <c r="D987" s="5" t="n"/>
      <c r="E987" s="8" t="n"/>
      <c r="F987" s="5" t="n"/>
      <c r="G987" s="5" t="n"/>
      <c r="H987" s="5" t="n"/>
      <c r="I987" s="5" t="n"/>
    </row>
    <row r="988">
      <c r="A988" s="5" t="n"/>
      <c r="B988" s="5" t="n"/>
      <c r="C988" s="5" t="n"/>
      <c r="D988" s="5" t="n"/>
      <c r="E988" s="8" t="n"/>
      <c r="F988" s="5" t="n"/>
      <c r="G988" s="5" t="n"/>
      <c r="H988" s="5" t="n"/>
      <c r="I988" s="5" t="n"/>
    </row>
    <row r="989">
      <c r="A989" s="5" t="n"/>
      <c r="B989" s="5" t="n"/>
      <c r="C989" s="5" t="n"/>
      <c r="D989" s="5" t="n"/>
      <c r="E989" s="8" t="n"/>
      <c r="F989" s="5" t="n"/>
      <c r="G989" s="5" t="n"/>
      <c r="H989" s="5" t="n"/>
      <c r="I989" s="5" t="n"/>
    </row>
    <row r="990">
      <c r="A990" s="5" t="n"/>
      <c r="B990" s="5" t="n"/>
      <c r="C990" s="5" t="n"/>
      <c r="D990" s="5" t="n"/>
      <c r="E990" s="8" t="n"/>
      <c r="F990" s="5" t="n"/>
      <c r="G990" s="5" t="n"/>
      <c r="H990" s="5" t="n"/>
      <c r="I990" s="5" t="n"/>
    </row>
    <row r="991">
      <c r="A991" s="5" t="n"/>
      <c r="B991" s="5" t="n"/>
      <c r="C991" s="5" t="n"/>
      <c r="D991" s="5" t="n"/>
      <c r="E991" s="8" t="n"/>
      <c r="F991" s="5" t="n"/>
      <c r="G991" s="5" t="n"/>
      <c r="H991" s="5" t="n"/>
      <c r="I991" s="5" t="n"/>
    </row>
    <row r="992">
      <c r="A992" s="5" t="n"/>
      <c r="B992" s="5" t="n"/>
      <c r="C992" s="5" t="n"/>
      <c r="D992" s="5" t="n"/>
      <c r="E992" s="8" t="n"/>
      <c r="F992" s="5" t="n"/>
      <c r="G992" s="5" t="n"/>
      <c r="H992" s="5" t="n"/>
      <c r="I992" s="5" t="n"/>
    </row>
    <row r="993">
      <c r="A993" s="5" t="n"/>
      <c r="B993" s="5" t="n"/>
      <c r="C993" s="5" t="n"/>
      <c r="D993" s="5" t="n"/>
      <c r="E993" s="8" t="n"/>
      <c r="F993" s="5" t="n"/>
      <c r="G993" s="5" t="n"/>
      <c r="H993" s="5" t="n"/>
      <c r="I993" s="5" t="n"/>
    </row>
    <row r="994">
      <c r="A994" s="5" t="n"/>
      <c r="B994" s="5" t="n"/>
      <c r="C994" s="5" t="n"/>
      <c r="D994" s="5" t="n"/>
      <c r="E994" s="8" t="n"/>
      <c r="F994" s="5" t="n"/>
      <c r="G994" s="5" t="n"/>
      <c r="H994" s="5" t="n"/>
      <c r="I994" s="5" t="n"/>
    </row>
    <row r="995">
      <c r="A995" s="5" t="n"/>
      <c r="B995" s="5" t="n"/>
      <c r="C995" s="5" t="n"/>
      <c r="D995" s="5" t="n"/>
      <c r="E995" s="8" t="n"/>
      <c r="F995" s="5" t="n"/>
      <c r="G995" s="5" t="n"/>
      <c r="H995" s="5" t="n"/>
      <c r="I995" s="5" t="n"/>
    </row>
    <row r="996">
      <c r="A996" s="5" t="n"/>
      <c r="B996" s="5" t="n"/>
      <c r="C996" s="5" t="n"/>
      <c r="D996" s="5" t="n"/>
      <c r="E996" s="8" t="n"/>
      <c r="F996" s="5" t="n"/>
      <c r="G996" s="5" t="n"/>
      <c r="H996" s="5" t="n"/>
      <c r="I996" s="5" t="n"/>
    </row>
    <row r="997">
      <c r="A997" s="5" t="n"/>
      <c r="B997" s="5" t="n"/>
      <c r="C997" s="5" t="n"/>
      <c r="D997" s="5" t="n"/>
      <c r="E997" s="8" t="n"/>
      <c r="F997" s="5" t="n"/>
      <c r="G997" s="5" t="n"/>
      <c r="H997" s="5" t="n"/>
      <c r="I997" s="5" t="n"/>
    </row>
    <row r="998">
      <c r="A998" s="5" t="n"/>
      <c r="B998" s="5" t="n"/>
      <c r="C998" s="5" t="n"/>
      <c r="D998" s="5" t="n"/>
      <c r="E998" s="8" t="n"/>
      <c r="F998" s="5" t="n"/>
      <c r="G998" s="5" t="n"/>
      <c r="H998" s="5" t="n"/>
      <c r="I998" s="5" t="n"/>
    </row>
    <row r="999">
      <c r="A999" s="5" t="n"/>
      <c r="B999" s="5" t="n"/>
      <c r="C999" s="5" t="n"/>
      <c r="D999" s="5" t="n"/>
      <c r="E999" s="8" t="n"/>
      <c r="F999" s="5" t="n"/>
      <c r="G999" s="5" t="n"/>
      <c r="H999" s="5" t="n"/>
      <c r="I999" s="5" t="n"/>
    </row>
    <row r="1000">
      <c r="A1000" s="5" t="n"/>
      <c r="B1000" s="5" t="n"/>
      <c r="C1000" s="5" t="n"/>
      <c r="D1000" s="5" t="n"/>
      <c r="E1000" s="8" t="n"/>
      <c r="F1000" s="5" t="n"/>
      <c r="G1000" s="5" t="n"/>
      <c r="H1000" s="5" t="n"/>
      <c r="I1000" s="5" t="n"/>
    </row>
    <row r="1001">
      <c r="A1001" s="5" t="n"/>
      <c r="B1001" s="5" t="n"/>
      <c r="C1001" s="5" t="n"/>
      <c r="D1001" s="5" t="n"/>
      <c r="E1001" s="8" t="n"/>
      <c r="F1001" s="5" t="n"/>
      <c r="G1001" s="5" t="n"/>
      <c r="H1001" s="5" t="n"/>
      <c r="I1001" s="5" t="n"/>
    </row>
    <row r="1002">
      <c r="A1002" s="5" t="n"/>
      <c r="B1002" s="5" t="n"/>
      <c r="C1002" s="5" t="n"/>
      <c r="D1002" s="5" t="n"/>
      <c r="E1002" s="8" t="n"/>
      <c r="F1002" s="5" t="n"/>
      <c r="G1002" s="5" t="n"/>
      <c r="H1002" s="5" t="n"/>
      <c r="I1002" s="5" t="n"/>
    </row>
    <row r="1003">
      <c r="A1003" s="5" t="n"/>
      <c r="B1003" s="5" t="n"/>
      <c r="C1003" s="5" t="n"/>
      <c r="D1003" s="5" t="n"/>
      <c r="E1003" s="8" t="n"/>
      <c r="F1003" s="5" t="n"/>
      <c r="G1003" s="5" t="n"/>
      <c r="H1003" s="5" t="n"/>
      <c r="I1003" s="5" t="n"/>
    </row>
    <row r="1004">
      <c r="A1004" s="5" t="n"/>
      <c r="B1004" s="5" t="n"/>
      <c r="C1004" s="5" t="n"/>
      <c r="D1004" s="5" t="n"/>
      <c r="E1004" s="8" t="n"/>
      <c r="F1004" s="5" t="n"/>
      <c r="G1004" s="5" t="n"/>
      <c r="H1004" s="5" t="n"/>
      <c r="I1004" s="5" t="n"/>
    </row>
    <row r="1005">
      <c r="A1005" s="5" t="n"/>
      <c r="B1005" s="5" t="n"/>
      <c r="C1005" s="5" t="n"/>
      <c r="D1005" s="5" t="n"/>
      <c r="E1005" s="8" t="n"/>
      <c r="F1005" s="5" t="n"/>
      <c r="G1005" s="5" t="n"/>
      <c r="H1005" s="5" t="n"/>
      <c r="I1005" s="5" t="n"/>
    </row>
    <row r="1006">
      <c r="A1006" s="5" t="n"/>
      <c r="B1006" s="5" t="n"/>
      <c r="C1006" s="5" t="n"/>
      <c r="D1006" s="5" t="n"/>
      <c r="E1006" s="8" t="n"/>
      <c r="F1006" s="5" t="n"/>
      <c r="G1006" s="5" t="n"/>
      <c r="H1006" s="5" t="n"/>
      <c r="I1006" s="5" t="n"/>
    </row>
    <row r="1007">
      <c r="A1007" s="5" t="n"/>
      <c r="B1007" s="5" t="n"/>
      <c r="C1007" s="5" t="n"/>
      <c r="D1007" s="5" t="n"/>
      <c r="E1007" s="8" t="n"/>
      <c r="F1007" s="5" t="n"/>
      <c r="G1007" s="5" t="n"/>
      <c r="H1007" s="5" t="n"/>
      <c r="I1007" s="5" t="n"/>
    </row>
    <row r="1008">
      <c r="A1008" s="5" t="n"/>
      <c r="B1008" s="5" t="n"/>
      <c r="C1008" s="5" t="n"/>
      <c r="D1008" s="5" t="n"/>
      <c r="E1008" s="8" t="n"/>
      <c r="F1008" s="5" t="n"/>
      <c r="G1008" s="5" t="n"/>
      <c r="H1008" s="5" t="n"/>
      <c r="I1008" s="5" t="n"/>
    </row>
    <row r="1009">
      <c r="A1009" s="5" t="n"/>
      <c r="B1009" s="5" t="n"/>
      <c r="C1009" s="5" t="n"/>
      <c r="D1009" s="5" t="n"/>
      <c r="E1009" s="8" t="n"/>
      <c r="F1009" s="5" t="n"/>
      <c r="G1009" s="5" t="n"/>
      <c r="H1009" s="5" t="n"/>
      <c r="I1009" s="5" t="n"/>
    </row>
    <row r="1010">
      <c r="A1010" s="5" t="n"/>
      <c r="B1010" s="5" t="n"/>
      <c r="C1010" s="5" t="n"/>
      <c r="D1010" s="5" t="n"/>
      <c r="E1010" s="8" t="n"/>
      <c r="F1010" s="5" t="n"/>
      <c r="G1010" s="5" t="n"/>
      <c r="H1010" s="5" t="n"/>
      <c r="I1010" s="5" t="n"/>
    </row>
    <row r="1011">
      <c r="A1011" s="5" t="n"/>
      <c r="B1011" s="5" t="n"/>
      <c r="C1011" s="5" t="n"/>
      <c r="D1011" s="5" t="n"/>
      <c r="E1011" s="8" t="n"/>
      <c r="F1011" s="5" t="n"/>
      <c r="G1011" s="5" t="n"/>
      <c r="H1011" s="5" t="n"/>
      <c r="I1011" s="5" t="n"/>
    </row>
    <row r="1012">
      <c r="A1012" s="5" t="n"/>
      <c r="B1012" s="5" t="n"/>
      <c r="C1012" s="5" t="n"/>
      <c r="D1012" s="5" t="n"/>
      <c r="E1012" s="8" t="n"/>
      <c r="F1012" s="5" t="n"/>
      <c r="G1012" s="5" t="n"/>
      <c r="H1012" s="5" t="n"/>
      <c r="I1012" s="5" t="n"/>
    </row>
    <row r="1013">
      <c r="A1013" s="5" t="n"/>
      <c r="B1013" s="5" t="n"/>
      <c r="C1013" s="5" t="n"/>
      <c r="D1013" s="5" t="n"/>
      <c r="E1013" s="8" t="n"/>
      <c r="F1013" s="5" t="n"/>
      <c r="G1013" s="5" t="n"/>
      <c r="H1013" s="5" t="n"/>
      <c r="I1013" s="5" t="n"/>
    </row>
    <row r="1014">
      <c r="A1014" s="5" t="n"/>
      <c r="B1014" s="5" t="n"/>
      <c r="C1014" s="5" t="n"/>
      <c r="D1014" s="5" t="n"/>
      <c r="E1014" s="8" t="n"/>
      <c r="F1014" s="5" t="n"/>
      <c r="G1014" s="5" t="n"/>
      <c r="H1014" s="5" t="n"/>
      <c r="I1014" s="5" t="n"/>
    </row>
    <row r="1015">
      <c r="A1015" s="5" t="n"/>
      <c r="B1015" s="5" t="n"/>
      <c r="C1015" s="5" t="n"/>
      <c r="D1015" s="5" t="n"/>
      <c r="E1015" s="8" t="n"/>
      <c r="F1015" s="5" t="n"/>
      <c r="G1015" s="5" t="n"/>
      <c r="H1015" s="5" t="n"/>
      <c r="I1015" s="5" t="n"/>
    </row>
    <row r="1016">
      <c r="A1016" s="5" t="n"/>
      <c r="B1016" s="5" t="n"/>
      <c r="C1016" s="5" t="n"/>
      <c r="D1016" s="5" t="n"/>
      <c r="E1016" s="8" t="n"/>
      <c r="F1016" s="5" t="n"/>
      <c r="G1016" s="5" t="n"/>
      <c r="H1016" s="5" t="n"/>
      <c r="I1016" s="5" t="n"/>
    </row>
    <row r="1017">
      <c r="A1017" s="5" t="n"/>
      <c r="B1017" s="5" t="n"/>
      <c r="C1017" s="5" t="n"/>
      <c r="D1017" s="5" t="n"/>
      <c r="E1017" s="8" t="n"/>
      <c r="F1017" s="5" t="n"/>
      <c r="G1017" s="5" t="n"/>
      <c r="H1017" s="5" t="n"/>
      <c r="I1017" s="5" t="n"/>
    </row>
    <row r="1018">
      <c r="A1018" s="5" t="n"/>
      <c r="B1018" s="5" t="n"/>
      <c r="C1018" s="5" t="n"/>
      <c r="D1018" s="5" t="n"/>
      <c r="E1018" s="8" t="n"/>
      <c r="F1018" s="5" t="n"/>
      <c r="G1018" s="5" t="n"/>
      <c r="H1018" s="5" t="n"/>
      <c r="I1018" s="5" t="n"/>
    </row>
    <row r="1019">
      <c r="A1019" s="5" t="n"/>
      <c r="B1019" s="5" t="n"/>
      <c r="C1019" s="5" t="n"/>
      <c r="D1019" s="5" t="n"/>
      <c r="E1019" s="8" t="n"/>
      <c r="F1019" s="5" t="n"/>
      <c r="G1019" s="5" t="n"/>
      <c r="H1019" s="5" t="n"/>
      <c r="I1019" s="5" t="n"/>
    </row>
    <row r="1020">
      <c r="A1020" s="5" t="n"/>
      <c r="B1020" s="5" t="n"/>
      <c r="C1020" s="5" t="n"/>
      <c r="D1020" s="5" t="n"/>
      <c r="E1020" s="8" t="n"/>
      <c r="F1020" s="5" t="n"/>
      <c r="G1020" s="5" t="n"/>
      <c r="H1020" s="5" t="n"/>
      <c r="I1020" s="5" t="n"/>
    </row>
    <row r="1021">
      <c r="A1021" s="5" t="n"/>
      <c r="B1021" s="5" t="n"/>
      <c r="C1021" s="5" t="n"/>
      <c r="D1021" s="5" t="n"/>
      <c r="E1021" s="8" t="n"/>
      <c r="F1021" s="5" t="n"/>
      <c r="G1021" s="5" t="n"/>
      <c r="H1021" s="5" t="n"/>
      <c r="I1021" s="5" t="n"/>
    </row>
    <row r="1022">
      <c r="A1022" s="5" t="n"/>
      <c r="B1022" s="5" t="n"/>
      <c r="C1022" s="5" t="n"/>
      <c r="D1022" s="5" t="n"/>
      <c r="E1022" s="8" t="n"/>
      <c r="F1022" s="5" t="n"/>
      <c r="G1022" s="5" t="n"/>
      <c r="H1022" s="5" t="n"/>
      <c r="I1022" s="5" t="n"/>
    </row>
    <row r="1023">
      <c r="A1023" s="5" t="n"/>
      <c r="B1023" s="5" t="n"/>
      <c r="C1023" s="5" t="n"/>
      <c r="D1023" s="5" t="n"/>
      <c r="E1023" s="8" t="n"/>
      <c r="F1023" s="5" t="n"/>
      <c r="G1023" s="5" t="n"/>
      <c r="H1023" s="5" t="n"/>
      <c r="I1023" s="5" t="n"/>
    </row>
    <row r="1024">
      <c r="A1024" s="5" t="n"/>
      <c r="B1024" s="5" t="n"/>
      <c r="C1024" s="5" t="n"/>
      <c r="D1024" s="5" t="n"/>
      <c r="E1024" s="8" t="n"/>
      <c r="F1024" s="5" t="n"/>
      <c r="G1024" s="5" t="n"/>
      <c r="H1024" s="5" t="n"/>
      <c r="I1024" s="5" t="n"/>
    </row>
    <row r="1025">
      <c r="A1025" s="5" t="n"/>
      <c r="B1025" s="5" t="n"/>
      <c r="C1025" s="5" t="n"/>
      <c r="D1025" s="5" t="n"/>
      <c r="E1025" s="8" t="n"/>
      <c r="F1025" s="5" t="n"/>
      <c r="G1025" s="5" t="n"/>
      <c r="H1025" s="5" t="n"/>
      <c r="I1025" s="5" t="n"/>
    </row>
    <row r="1026">
      <c r="A1026" s="5" t="n"/>
      <c r="B1026" s="5" t="n"/>
      <c r="C1026" s="5" t="n"/>
      <c r="D1026" s="5" t="n"/>
      <c r="E1026" s="8" t="n"/>
      <c r="F1026" s="5" t="n"/>
      <c r="G1026" s="5" t="n"/>
      <c r="H1026" s="5" t="n"/>
      <c r="I1026" s="5" t="n"/>
    </row>
    <row r="1027">
      <c r="A1027" s="5" t="n"/>
      <c r="B1027" s="5" t="n"/>
      <c r="C1027" s="5" t="n"/>
      <c r="D1027" s="5" t="n"/>
      <c r="E1027" s="8" t="n"/>
      <c r="F1027" s="5" t="n"/>
      <c r="G1027" s="5" t="n"/>
      <c r="H1027" s="5" t="n"/>
      <c r="I1027" s="5" t="n"/>
    </row>
    <row r="1028">
      <c r="A1028" s="5" t="n"/>
      <c r="B1028" s="5" t="n"/>
      <c r="C1028" s="5" t="n"/>
      <c r="D1028" s="5" t="n"/>
      <c r="E1028" s="8" t="n"/>
      <c r="F1028" s="5" t="n"/>
      <c r="G1028" s="5" t="n"/>
      <c r="H1028" s="5" t="n"/>
      <c r="I1028" s="5" t="n"/>
    </row>
    <row r="1029">
      <c r="A1029" s="5" t="n"/>
      <c r="B1029" s="5" t="n"/>
      <c r="C1029" s="5" t="n"/>
      <c r="D1029" s="5" t="n"/>
      <c r="E1029" s="8" t="n"/>
      <c r="F1029" s="5" t="n"/>
      <c r="G1029" s="5" t="n"/>
      <c r="H1029" s="5" t="n"/>
      <c r="I1029" s="5" t="n"/>
    </row>
    <row r="1030">
      <c r="A1030" s="5" t="n"/>
      <c r="B1030" s="5" t="n"/>
      <c r="C1030" s="5" t="n"/>
      <c r="D1030" s="5" t="n"/>
      <c r="E1030" s="8" t="n"/>
      <c r="F1030" s="5" t="n"/>
      <c r="G1030" s="5" t="n"/>
      <c r="H1030" s="5" t="n"/>
      <c r="I1030" s="5" t="n"/>
    </row>
    <row r="1031">
      <c r="A1031" s="5" t="n"/>
      <c r="B1031" s="5" t="n"/>
      <c r="C1031" s="5" t="n"/>
      <c r="D1031" s="5" t="n"/>
      <c r="E1031" s="8" t="n"/>
      <c r="F1031" s="5" t="n"/>
      <c r="G1031" s="5" t="n"/>
      <c r="H1031" s="5" t="n"/>
      <c r="I1031" s="5" t="n"/>
    </row>
    <row r="1032">
      <c r="A1032" s="5" t="n"/>
      <c r="B1032" s="5" t="n"/>
      <c r="C1032" s="5" t="n"/>
      <c r="D1032" s="5" t="n"/>
      <c r="E1032" s="8" t="n"/>
      <c r="F1032" s="5" t="n"/>
      <c r="G1032" s="5" t="n"/>
      <c r="H1032" s="5" t="n"/>
      <c r="I1032" s="5" t="n"/>
    </row>
    <row r="1033">
      <c r="A1033" s="5" t="n"/>
      <c r="B1033" s="5" t="n"/>
      <c r="C1033" s="5" t="n"/>
      <c r="D1033" s="5" t="n"/>
      <c r="E1033" s="8" t="n"/>
      <c r="F1033" s="5" t="n"/>
      <c r="G1033" s="5" t="n"/>
      <c r="H1033" s="5" t="n"/>
      <c r="I1033" s="5" t="n"/>
    </row>
    <row r="1034">
      <c r="A1034" s="5" t="n"/>
      <c r="B1034" s="5" t="n"/>
      <c r="C1034" s="5" t="n"/>
      <c r="D1034" s="5" t="n"/>
      <c r="E1034" s="8" t="n"/>
      <c r="F1034" s="5" t="n"/>
      <c r="G1034" s="5" t="n"/>
      <c r="H1034" s="5" t="n"/>
      <c r="I1034" s="5" t="n"/>
    </row>
    <row r="1035">
      <c r="A1035" s="5" t="n"/>
      <c r="B1035" s="5" t="n"/>
      <c r="C1035" s="5" t="n"/>
      <c r="D1035" s="5" t="n"/>
      <c r="E1035" s="8" t="n"/>
      <c r="F1035" s="5" t="n"/>
      <c r="G1035" s="5" t="n"/>
      <c r="H1035" s="5" t="n"/>
      <c r="I1035" s="5" t="n"/>
    </row>
    <row r="1036">
      <c r="A1036" s="5" t="n"/>
      <c r="B1036" s="5" t="n"/>
      <c r="C1036" s="5" t="n"/>
      <c r="D1036" s="5" t="n"/>
      <c r="E1036" s="8" t="n"/>
      <c r="F1036" s="5" t="n"/>
      <c r="G1036" s="5" t="n"/>
      <c r="H1036" s="5" t="n"/>
      <c r="I1036" s="5" t="n"/>
    </row>
    <row r="1037">
      <c r="A1037" s="5" t="n"/>
      <c r="B1037" s="5" t="n"/>
      <c r="C1037" s="5" t="n"/>
      <c r="D1037" s="5" t="n"/>
      <c r="E1037" s="8" t="n"/>
      <c r="F1037" s="5" t="n"/>
      <c r="G1037" s="5" t="n"/>
      <c r="H1037" s="5" t="n"/>
      <c r="I1037" s="5" t="n"/>
    </row>
    <row r="1038">
      <c r="A1038" s="5" t="n"/>
      <c r="B1038" s="5" t="n"/>
      <c r="C1038" s="5" t="n"/>
      <c r="D1038" s="5" t="n"/>
      <c r="E1038" s="8" t="n"/>
      <c r="F1038" s="5" t="n"/>
      <c r="G1038" s="5" t="n"/>
      <c r="H1038" s="5" t="n"/>
      <c r="I1038" s="5" t="n"/>
    </row>
    <row r="1039">
      <c r="A1039" s="5" t="n"/>
      <c r="B1039" s="5" t="n"/>
      <c r="C1039" s="5" t="n"/>
      <c r="D1039" s="5" t="n"/>
      <c r="E1039" s="8" t="n"/>
      <c r="F1039" s="5" t="n"/>
      <c r="G1039" s="5" t="n"/>
      <c r="H1039" s="5" t="n"/>
      <c r="I1039" s="5" t="n"/>
    </row>
    <row r="1040">
      <c r="A1040" s="5" t="n"/>
      <c r="B1040" s="5" t="n"/>
      <c r="C1040" s="5" t="n"/>
      <c r="D1040" s="5" t="n"/>
      <c r="E1040" s="8" t="n"/>
      <c r="F1040" s="5" t="n"/>
      <c r="G1040" s="5" t="n"/>
      <c r="H1040" s="5" t="n"/>
      <c r="I1040" s="5" t="n"/>
    </row>
    <row r="1041">
      <c r="A1041" s="5" t="n"/>
      <c r="B1041" s="5" t="n"/>
      <c r="C1041" s="5" t="n"/>
      <c r="D1041" s="5" t="n"/>
      <c r="E1041" s="8" t="n"/>
      <c r="F1041" s="5" t="n"/>
      <c r="G1041" s="5" t="n"/>
      <c r="H1041" s="5" t="n"/>
      <c r="I1041" s="5" t="n"/>
    </row>
    <row r="1042">
      <c r="A1042" s="5" t="n"/>
      <c r="B1042" s="5" t="n"/>
      <c r="C1042" s="5" t="n"/>
      <c r="D1042" s="5" t="n"/>
      <c r="E1042" s="8" t="n"/>
      <c r="F1042" s="5" t="n"/>
      <c r="G1042" s="5" t="n"/>
      <c r="H1042" s="5" t="n"/>
      <c r="I1042" s="5" t="n"/>
    </row>
    <row r="1043">
      <c r="A1043" s="5" t="n"/>
      <c r="B1043" s="5" t="n"/>
      <c r="C1043" s="5" t="n"/>
      <c r="D1043" s="5" t="n"/>
      <c r="E1043" s="8" t="n"/>
      <c r="F1043" s="5" t="n"/>
      <c r="G1043" s="5" t="n"/>
      <c r="H1043" s="5" t="n"/>
      <c r="I1043" s="5" t="n"/>
    </row>
    <row r="1044">
      <c r="A1044" s="5" t="n"/>
      <c r="B1044" s="5" t="n"/>
      <c r="C1044" s="5" t="n"/>
      <c r="D1044" s="5" t="n"/>
      <c r="E1044" s="8" t="n"/>
      <c r="F1044" s="5" t="n"/>
      <c r="G1044" s="5" t="n"/>
      <c r="H1044" s="5" t="n"/>
      <c r="I1044" s="5" t="n"/>
    </row>
    <row r="1045">
      <c r="A1045" s="5" t="n"/>
      <c r="B1045" s="5" t="n"/>
      <c r="C1045" s="5" t="n"/>
      <c r="D1045" s="5" t="n"/>
      <c r="E1045" s="8" t="n"/>
      <c r="F1045" s="5" t="n"/>
      <c r="G1045" s="5" t="n"/>
      <c r="H1045" s="5" t="n"/>
      <c r="I1045" s="5" t="n"/>
    </row>
    <row r="1046">
      <c r="A1046" s="5" t="n"/>
      <c r="B1046" s="5" t="n"/>
      <c r="C1046" s="5" t="n"/>
      <c r="D1046" s="5" t="n"/>
      <c r="E1046" s="8" t="n"/>
      <c r="F1046" s="5" t="n"/>
      <c r="G1046" s="5" t="n"/>
      <c r="H1046" s="5" t="n"/>
      <c r="I1046" s="5" t="n"/>
    </row>
    <row r="1047">
      <c r="A1047" s="5" t="n"/>
      <c r="B1047" s="5" t="n"/>
      <c r="C1047" s="5" t="n"/>
      <c r="D1047" s="5" t="n"/>
      <c r="E1047" s="8" t="n"/>
      <c r="F1047" s="5" t="n"/>
      <c r="G1047" s="5" t="n"/>
      <c r="H1047" s="5" t="n"/>
      <c r="I1047" s="5" t="n"/>
    </row>
    <row r="1048">
      <c r="A1048" s="5" t="n"/>
      <c r="B1048" s="5" t="n"/>
      <c r="C1048" s="5" t="n"/>
      <c r="D1048" s="5" t="n"/>
      <c r="E1048" s="8" t="n"/>
      <c r="F1048" s="5" t="n"/>
      <c r="G1048" s="5" t="n"/>
      <c r="H1048" s="5" t="n"/>
      <c r="I1048" s="5" t="n"/>
    </row>
    <row r="1049">
      <c r="A1049" s="5" t="n"/>
      <c r="B1049" s="5" t="n"/>
      <c r="C1049" s="5" t="n"/>
      <c r="D1049" s="5" t="n"/>
      <c r="E1049" s="8" t="n"/>
      <c r="F1049" s="5" t="n"/>
      <c r="G1049" s="5" t="n"/>
      <c r="H1049" s="5" t="n"/>
      <c r="I1049" s="5" t="n"/>
    </row>
    <row r="1050">
      <c r="A1050" s="5" t="n"/>
      <c r="B1050" s="5" t="n"/>
      <c r="C1050" s="5" t="n"/>
      <c r="D1050" s="5" t="n"/>
      <c r="E1050" s="8" t="n"/>
      <c r="F1050" s="5" t="n"/>
      <c r="G1050" s="5" t="n"/>
      <c r="H1050" s="5" t="n"/>
      <c r="I1050" s="5" t="n"/>
    </row>
    <row r="1051">
      <c r="A1051" s="5" t="n"/>
      <c r="B1051" s="5" t="n"/>
      <c r="C1051" s="5" t="n"/>
      <c r="D1051" s="5" t="n"/>
      <c r="E1051" s="8" t="n"/>
      <c r="F1051" s="5" t="n"/>
      <c r="G1051" s="5" t="n"/>
      <c r="H1051" s="5" t="n"/>
      <c r="I1051" s="5" t="n"/>
    </row>
    <row r="1052">
      <c r="A1052" s="5" t="n"/>
      <c r="B1052" s="5" t="n"/>
      <c r="C1052" s="5" t="n"/>
      <c r="D1052" s="5" t="n"/>
      <c r="E1052" s="8" t="n"/>
      <c r="F1052" s="5" t="n"/>
      <c r="G1052" s="5" t="n"/>
      <c r="H1052" s="5" t="n"/>
      <c r="I1052" s="5" t="n"/>
    </row>
    <row r="1053">
      <c r="A1053" s="5" t="n"/>
      <c r="B1053" s="5" t="n"/>
      <c r="C1053" s="5" t="n"/>
      <c r="D1053" s="5" t="n"/>
      <c r="E1053" s="8" t="n"/>
      <c r="F1053" s="5" t="n"/>
      <c r="G1053" s="5" t="n"/>
      <c r="H1053" s="5" t="n"/>
      <c r="I1053" s="5" t="n"/>
    </row>
    <row r="1054">
      <c r="A1054" s="5" t="n"/>
      <c r="B1054" s="5" t="n"/>
      <c r="C1054" s="5" t="n"/>
      <c r="D1054" s="5" t="n"/>
      <c r="E1054" s="8" t="n"/>
      <c r="F1054" s="5" t="n"/>
      <c r="G1054" s="5" t="n"/>
      <c r="H1054" s="5" t="n"/>
      <c r="I1054" s="5" t="n"/>
    </row>
    <row r="1055">
      <c r="A1055" s="5" t="n"/>
      <c r="B1055" s="5" t="n"/>
      <c r="C1055" s="5" t="n"/>
      <c r="D1055" s="5" t="n"/>
      <c r="E1055" s="8" t="n"/>
      <c r="F1055" s="5" t="n"/>
      <c r="G1055" s="5" t="n"/>
      <c r="H1055" s="5" t="n"/>
      <c r="I1055" s="5" t="n"/>
    </row>
    <row r="1056">
      <c r="A1056" s="5" t="n"/>
      <c r="B1056" s="5" t="n"/>
      <c r="C1056" s="5" t="n"/>
      <c r="D1056" s="5" t="n"/>
      <c r="E1056" s="8" t="n"/>
      <c r="F1056" s="5" t="n"/>
      <c r="G1056" s="5" t="n"/>
      <c r="H1056" s="5" t="n"/>
      <c r="I1056" s="5" t="n"/>
    </row>
    <row r="1057">
      <c r="A1057" s="5" t="n"/>
      <c r="B1057" s="5" t="n"/>
      <c r="C1057" s="5" t="n"/>
      <c r="D1057" s="5" t="n"/>
      <c r="E1057" s="8" t="n"/>
      <c r="F1057" s="5" t="n"/>
      <c r="G1057" s="5" t="n"/>
      <c r="H1057" s="5" t="n"/>
      <c r="I1057" s="5" t="n"/>
    </row>
    <row r="1058">
      <c r="A1058" s="5" t="n"/>
      <c r="B1058" s="5" t="n"/>
      <c r="C1058" s="5" t="n"/>
      <c r="D1058" s="5" t="n"/>
      <c r="E1058" s="8" t="n"/>
      <c r="F1058" s="5" t="n"/>
      <c r="G1058" s="5" t="n"/>
      <c r="H1058" s="5" t="n"/>
      <c r="I1058" s="5" t="n"/>
    </row>
    <row r="1059">
      <c r="A1059" s="5" t="n"/>
      <c r="B1059" s="5" t="n"/>
      <c r="C1059" s="5" t="n"/>
      <c r="D1059" s="5" t="n"/>
      <c r="E1059" s="8" t="n"/>
      <c r="F1059" s="5" t="n"/>
      <c r="G1059" s="5" t="n"/>
      <c r="H1059" s="5" t="n"/>
      <c r="I1059" s="5" t="n"/>
    </row>
    <row r="1060">
      <c r="A1060" s="5" t="n"/>
      <c r="B1060" s="5" t="n"/>
      <c r="C1060" s="5" t="n"/>
      <c r="D1060" s="5" t="n"/>
      <c r="E1060" s="8" t="n"/>
      <c r="F1060" s="5" t="n"/>
      <c r="G1060" s="5" t="n"/>
      <c r="H1060" s="5" t="n"/>
      <c r="I1060" s="5" t="n"/>
    </row>
    <row r="1061">
      <c r="A1061" s="5" t="n"/>
      <c r="B1061" s="5" t="n"/>
      <c r="C1061" s="5" t="n"/>
      <c r="D1061" s="5" t="n"/>
      <c r="E1061" s="8" t="n"/>
      <c r="F1061" s="5" t="n"/>
      <c r="G1061" s="5" t="n"/>
      <c r="H1061" s="5" t="n"/>
      <c r="I1061" s="5" t="n"/>
    </row>
    <row r="1062">
      <c r="A1062" s="5" t="n"/>
      <c r="B1062" s="5" t="n"/>
      <c r="C1062" s="5" t="n"/>
      <c r="D1062" s="5" t="n"/>
      <c r="E1062" s="8" t="n"/>
      <c r="F1062" s="5" t="n"/>
      <c r="G1062" s="5" t="n"/>
      <c r="H1062" s="5" t="n"/>
      <c r="I1062" s="5" t="n"/>
    </row>
    <row r="1063">
      <c r="A1063" s="5" t="n"/>
      <c r="B1063" s="5" t="n"/>
      <c r="C1063" s="5" t="n"/>
      <c r="D1063" s="5" t="n"/>
      <c r="E1063" s="8" t="n"/>
      <c r="F1063" s="5" t="n"/>
      <c r="G1063" s="5" t="n"/>
      <c r="H1063" s="5" t="n"/>
      <c r="I1063" s="5" t="n"/>
    </row>
    <row r="1064">
      <c r="A1064" s="5" t="n"/>
      <c r="B1064" s="5" t="n"/>
      <c r="C1064" s="5" t="n"/>
      <c r="D1064" s="5" t="n"/>
      <c r="E1064" s="8" t="n"/>
      <c r="F1064" s="5" t="n"/>
      <c r="G1064" s="5" t="n"/>
      <c r="H1064" s="5" t="n"/>
      <c r="I1064" s="5" t="n"/>
    </row>
    <row r="1065">
      <c r="A1065" s="5" t="n"/>
      <c r="B1065" s="5" t="n"/>
      <c r="C1065" s="5" t="n"/>
      <c r="D1065" s="5" t="n"/>
      <c r="E1065" s="8" t="n"/>
      <c r="F1065" s="5" t="n"/>
      <c r="G1065" s="5" t="n"/>
      <c r="H1065" s="5" t="n"/>
      <c r="I1065" s="5" t="n"/>
    </row>
    <row r="1066">
      <c r="A1066" s="5" t="n"/>
      <c r="B1066" s="5" t="n"/>
      <c r="C1066" s="5" t="n"/>
      <c r="D1066" s="5" t="n"/>
      <c r="E1066" s="8" t="n"/>
      <c r="F1066" s="5" t="n"/>
      <c r="G1066" s="5" t="n"/>
      <c r="H1066" s="5" t="n"/>
      <c r="I1066" s="5" t="n"/>
    </row>
    <row r="1067">
      <c r="A1067" s="5" t="n"/>
      <c r="B1067" s="5" t="n"/>
      <c r="C1067" s="5" t="n"/>
      <c r="D1067" s="5" t="n"/>
      <c r="E1067" s="8" t="n"/>
      <c r="F1067" s="5" t="n"/>
      <c r="G1067" s="5" t="n"/>
      <c r="H1067" s="5" t="n"/>
      <c r="I1067" s="5" t="n"/>
    </row>
    <row r="1068">
      <c r="A1068" s="5" t="n"/>
      <c r="B1068" s="5" t="n"/>
      <c r="C1068" s="5" t="n"/>
      <c r="D1068" s="5" t="n"/>
      <c r="E1068" s="8" t="n"/>
      <c r="F1068" s="5" t="n"/>
      <c r="G1068" s="5" t="n"/>
      <c r="H1068" s="5" t="n"/>
      <c r="I1068" s="5" t="n"/>
    </row>
    <row r="1069">
      <c r="A1069" s="5" t="n"/>
      <c r="B1069" s="5" t="n"/>
      <c r="C1069" s="5" t="n"/>
      <c r="D1069" s="5" t="n"/>
      <c r="E1069" s="8" t="n"/>
      <c r="F1069" s="5" t="n"/>
      <c r="G1069" s="5" t="n"/>
      <c r="H1069" s="5" t="n"/>
      <c r="I1069" s="5" t="n"/>
    </row>
    <row r="1070">
      <c r="A1070" s="5" t="n"/>
      <c r="B1070" s="5" t="n"/>
      <c r="C1070" s="5" t="n"/>
      <c r="D1070" s="5" t="n"/>
      <c r="E1070" s="8" t="n"/>
      <c r="F1070" s="5" t="n"/>
      <c r="G1070" s="5" t="n"/>
      <c r="H1070" s="5" t="n"/>
      <c r="I1070" s="5" t="n"/>
    </row>
    <row r="1071">
      <c r="A1071" s="5" t="n"/>
      <c r="B1071" s="5" t="n"/>
      <c r="C1071" s="5" t="n"/>
      <c r="D1071" s="5" t="n"/>
      <c r="E1071" s="8" t="n"/>
      <c r="F1071" s="5" t="n"/>
      <c r="G1071" s="5" t="n"/>
      <c r="H1071" s="5" t="n"/>
      <c r="I1071" s="5" t="n"/>
    </row>
    <row r="1072">
      <c r="A1072" s="5" t="n"/>
      <c r="B1072" s="5" t="n"/>
      <c r="C1072" s="5" t="n"/>
      <c r="D1072" s="5" t="n"/>
      <c r="E1072" s="8" t="n"/>
      <c r="F1072" s="5" t="n"/>
      <c r="G1072" s="5" t="n"/>
      <c r="H1072" s="5" t="n"/>
      <c r="I1072" s="5" t="n"/>
    </row>
    <row r="1073">
      <c r="A1073" s="5" t="n"/>
      <c r="B1073" s="5" t="n"/>
      <c r="C1073" s="5" t="n"/>
      <c r="D1073" s="5" t="n"/>
      <c r="E1073" s="8" t="n"/>
      <c r="F1073" s="5" t="n"/>
      <c r="G1073" s="5" t="n"/>
      <c r="H1073" s="5" t="n"/>
      <c r="I1073" s="5" t="n"/>
    </row>
    <row r="1074">
      <c r="A1074" s="5" t="n"/>
      <c r="B1074" s="5" t="n"/>
      <c r="C1074" s="5" t="n"/>
      <c r="D1074" s="5" t="n"/>
      <c r="E1074" s="8" t="n"/>
      <c r="F1074" s="5" t="n"/>
      <c r="G1074" s="5" t="n"/>
      <c r="H1074" s="5" t="n"/>
      <c r="I1074" s="5" t="n"/>
    </row>
    <row r="1075">
      <c r="A1075" s="5" t="n"/>
      <c r="B1075" s="5" t="n"/>
      <c r="C1075" s="5" t="n"/>
      <c r="D1075" s="5" t="n"/>
      <c r="E1075" s="8" t="n"/>
      <c r="F1075" s="5" t="n"/>
      <c r="G1075" s="5" t="n"/>
      <c r="H1075" s="5" t="n"/>
      <c r="I1075" s="5" t="n"/>
    </row>
    <row r="1076">
      <c r="A1076" s="5" t="n"/>
      <c r="B1076" s="5" t="n"/>
      <c r="C1076" s="5" t="n"/>
      <c r="D1076" s="5" t="n"/>
      <c r="E1076" s="8" t="n"/>
      <c r="F1076" s="5" t="n"/>
      <c r="G1076" s="5" t="n"/>
      <c r="H1076" s="5" t="n"/>
      <c r="I1076" s="5" t="n"/>
    </row>
    <row r="1077">
      <c r="A1077" s="5" t="n"/>
      <c r="B1077" s="5" t="n"/>
      <c r="C1077" s="5" t="n"/>
      <c r="D1077" s="5" t="n"/>
      <c r="E1077" s="8" t="n"/>
      <c r="F1077" s="5" t="n"/>
      <c r="G1077" s="5" t="n"/>
      <c r="H1077" s="5" t="n"/>
      <c r="I1077" s="5" t="n"/>
    </row>
    <row r="1078">
      <c r="A1078" s="5" t="n"/>
      <c r="B1078" s="5" t="n"/>
      <c r="C1078" s="5" t="n"/>
      <c r="D1078" s="5" t="n"/>
      <c r="E1078" s="8" t="n"/>
      <c r="F1078" s="5" t="n"/>
      <c r="G1078" s="5" t="n"/>
      <c r="H1078" s="5" t="n"/>
      <c r="I1078" s="5" t="n"/>
    </row>
    <row r="1079">
      <c r="A1079" s="5" t="n"/>
      <c r="B1079" s="5" t="n"/>
      <c r="C1079" s="5" t="n"/>
      <c r="D1079" s="5" t="n"/>
      <c r="E1079" s="8" t="n"/>
      <c r="F1079" s="5" t="n"/>
      <c r="G1079" s="5" t="n"/>
      <c r="H1079" s="5" t="n"/>
      <c r="I1079" s="5" t="n"/>
    </row>
    <row r="1080">
      <c r="A1080" s="5" t="n"/>
      <c r="B1080" s="5" t="n"/>
      <c r="C1080" s="5" t="n"/>
      <c r="D1080" s="5" t="n"/>
      <c r="E1080" s="8" t="n"/>
      <c r="F1080" s="5" t="n"/>
      <c r="G1080" s="5" t="n"/>
      <c r="H1080" s="5" t="n"/>
      <c r="I1080" s="5" t="n"/>
    </row>
    <row r="1081">
      <c r="A1081" s="5" t="n"/>
      <c r="B1081" s="5" t="n"/>
      <c r="C1081" s="5" t="n"/>
      <c r="D1081" s="5" t="n"/>
      <c r="E1081" s="8" t="n"/>
      <c r="F1081" s="5" t="n"/>
      <c r="G1081" s="5" t="n"/>
      <c r="H1081" s="5" t="n"/>
      <c r="I1081" s="5" t="n"/>
    </row>
    <row r="1082">
      <c r="A1082" s="5" t="n"/>
      <c r="B1082" s="5" t="n"/>
      <c r="C1082" s="5" t="n"/>
      <c r="D1082" s="5" t="n"/>
      <c r="E1082" s="8" t="n"/>
      <c r="F1082" s="5" t="n"/>
      <c r="G1082" s="5" t="n"/>
      <c r="H1082" s="5" t="n"/>
      <c r="I1082" s="5" t="n"/>
    </row>
    <row r="1083">
      <c r="A1083" s="5" t="n"/>
      <c r="B1083" s="5" t="n"/>
      <c r="C1083" s="5" t="n"/>
      <c r="D1083" s="5" t="n"/>
      <c r="E1083" s="8" t="n"/>
      <c r="F1083" s="5" t="n"/>
      <c r="G1083" s="5" t="n"/>
      <c r="H1083" s="5" t="n"/>
      <c r="I1083" s="5" t="n"/>
    </row>
    <row r="1084">
      <c r="A1084" s="5" t="n"/>
      <c r="B1084" s="5" t="n"/>
      <c r="C1084" s="5" t="n"/>
      <c r="D1084" s="5" t="n"/>
      <c r="E1084" s="8" t="n"/>
      <c r="F1084" s="5" t="n"/>
      <c r="G1084" s="5" t="n"/>
      <c r="H1084" s="5" t="n"/>
      <c r="I1084" s="5" t="n"/>
    </row>
    <row r="1085">
      <c r="A1085" s="5" t="n"/>
      <c r="B1085" s="5" t="n"/>
      <c r="C1085" s="5" t="n"/>
      <c r="D1085" s="5" t="n"/>
      <c r="E1085" s="8" t="n"/>
      <c r="F1085" s="5" t="n"/>
      <c r="G1085" s="5" t="n"/>
      <c r="H1085" s="5" t="n"/>
      <c r="I1085" s="5" t="n"/>
    </row>
    <row r="1086">
      <c r="A1086" s="5" t="n"/>
      <c r="B1086" s="5" t="n"/>
      <c r="C1086" s="5" t="n"/>
      <c r="D1086" s="5" t="n"/>
      <c r="E1086" s="8" t="n"/>
      <c r="F1086" s="5" t="n"/>
      <c r="G1086" s="5" t="n"/>
      <c r="H1086" s="5" t="n"/>
      <c r="I1086" s="5" t="n"/>
    </row>
    <row r="1087">
      <c r="A1087" s="5" t="n"/>
      <c r="B1087" s="5" t="n"/>
      <c r="C1087" s="5" t="n"/>
      <c r="D1087" s="5" t="n"/>
      <c r="E1087" s="8" t="n"/>
      <c r="F1087" s="5" t="n"/>
      <c r="G1087" s="5" t="n"/>
      <c r="H1087" s="5" t="n"/>
      <c r="I1087" s="5" t="n"/>
    </row>
    <row r="1088">
      <c r="A1088" s="5" t="n"/>
      <c r="B1088" s="5" t="n"/>
      <c r="C1088" s="5" t="n"/>
      <c r="D1088" s="5" t="n"/>
      <c r="E1088" s="8" t="n"/>
      <c r="F1088" s="5" t="n"/>
      <c r="G1088" s="5" t="n"/>
      <c r="H1088" s="5" t="n"/>
      <c r="I1088" s="5" t="n"/>
    </row>
    <row r="1089">
      <c r="A1089" s="5" t="n"/>
      <c r="B1089" s="5" t="n"/>
      <c r="C1089" s="5" t="n"/>
      <c r="D1089" s="5" t="n"/>
      <c r="E1089" s="8" t="n"/>
      <c r="F1089" s="5" t="n"/>
      <c r="G1089" s="5" t="n"/>
      <c r="H1089" s="5" t="n"/>
      <c r="I1089" s="5" t="n"/>
    </row>
    <row r="1090">
      <c r="A1090" s="5" t="n"/>
      <c r="B1090" s="5" t="n"/>
      <c r="C1090" s="5" t="n"/>
      <c r="D1090" s="5" t="n"/>
      <c r="E1090" s="8" t="n"/>
      <c r="F1090" s="5" t="n"/>
      <c r="G1090" s="5" t="n"/>
      <c r="H1090" s="5" t="n"/>
      <c r="I1090" s="5" t="n"/>
    </row>
    <row r="1091">
      <c r="A1091" s="5" t="n"/>
      <c r="B1091" s="5" t="n"/>
      <c r="C1091" s="5" t="n"/>
      <c r="D1091" s="5" t="n"/>
      <c r="E1091" s="8" t="n"/>
      <c r="F1091" s="5" t="n"/>
      <c r="G1091" s="5" t="n"/>
      <c r="H1091" s="5" t="n"/>
      <c r="I1091" s="5" t="n"/>
    </row>
    <row r="1092">
      <c r="A1092" s="5" t="n"/>
      <c r="B1092" s="5" t="n"/>
      <c r="C1092" s="5" t="n"/>
      <c r="D1092" s="5" t="n"/>
      <c r="E1092" s="8" t="n"/>
      <c r="F1092" s="5" t="n"/>
      <c r="G1092" s="5" t="n"/>
      <c r="H1092" s="5" t="n"/>
      <c r="I1092" s="5" t="n"/>
    </row>
    <row r="1093">
      <c r="A1093" s="5" t="n"/>
      <c r="B1093" s="5" t="n"/>
      <c r="C1093" s="5" t="n"/>
      <c r="D1093" s="5" t="n"/>
      <c r="E1093" s="8" t="n"/>
      <c r="F1093" s="5" t="n"/>
      <c r="G1093" s="5" t="n"/>
      <c r="H1093" s="5" t="n"/>
      <c r="I1093" s="5" t="n"/>
    </row>
    <row r="1094">
      <c r="A1094" s="5" t="n"/>
      <c r="B1094" s="5" t="n"/>
      <c r="C1094" s="5" t="n"/>
      <c r="D1094" s="5" t="n"/>
      <c r="E1094" s="8" t="n"/>
      <c r="F1094" s="5" t="n"/>
      <c r="G1094" s="5" t="n"/>
      <c r="H1094" s="5" t="n"/>
      <c r="I1094" s="5" t="n"/>
    </row>
    <row r="1095">
      <c r="A1095" s="5" t="n"/>
      <c r="B1095" s="5" t="n"/>
      <c r="C1095" s="5" t="n"/>
      <c r="D1095" s="5" t="n"/>
      <c r="E1095" s="8" t="n"/>
      <c r="F1095" s="5" t="n"/>
      <c r="G1095" s="5" t="n"/>
      <c r="H1095" s="5" t="n"/>
      <c r="I1095" s="5" t="n"/>
    </row>
    <row r="1096">
      <c r="A1096" s="5" t="n"/>
      <c r="B1096" s="5" t="n"/>
      <c r="C1096" s="5" t="n"/>
      <c r="D1096" s="5" t="n"/>
      <c r="E1096" s="8" t="n"/>
      <c r="F1096" s="5" t="n"/>
      <c r="G1096" s="5" t="n"/>
      <c r="H1096" s="5" t="n"/>
      <c r="I1096" s="5" t="n"/>
    </row>
    <row r="1097">
      <c r="A1097" s="5" t="n"/>
      <c r="B1097" s="5" t="n"/>
      <c r="C1097" s="5" t="n"/>
      <c r="D1097" s="5" t="n"/>
      <c r="E1097" s="8" t="n"/>
      <c r="F1097" s="5" t="n"/>
      <c r="G1097" s="5" t="n"/>
      <c r="H1097" s="5" t="n"/>
      <c r="I1097" s="5" t="n"/>
    </row>
    <row r="1098">
      <c r="A1098" s="5" t="n"/>
      <c r="B1098" s="5" t="n"/>
      <c r="C1098" s="5" t="n"/>
      <c r="D1098" s="5" t="n"/>
      <c r="E1098" s="8" t="n"/>
      <c r="F1098" s="5" t="n"/>
      <c r="G1098" s="5" t="n"/>
      <c r="H1098" s="5" t="n"/>
      <c r="I1098" s="5" t="n"/>
    </row>
    <row r="1099">
      <c r="A1099" s="5" t="n"/>
      <c r="B1099" s="5" t="n"/>
      <c r="C1099" s="5" t="n"/>
      <c r="D1099" s="5" t="n"/>
      <c r="E1099" s="8" t="n"/>
      <c r="F1099" s="5" t="n"/>
      <c r="G1099" s="5" t="n"/>
      <c r="H1099" s="5" t="n"/>
      <c r="I1099" s="5" t="n"/>
    </row>
    <row r="1100">
      <c r="A1100" s="5" t="n"/>
      <c r="B1100" s="5" t="n"/>
      <c r="C1100" s="5" t="n"/>
      <c r="D1100" s="5" t="n"/>
      <c r="E1100" s="8" t="n"/>
      <c r="F1100" s="5" t="n"/>
      <c r="G1100" s="5" t="n"/>
      <c r="H1100" s="5" t="n"/>
      <c r="I1100" s="5" t="n"/>
    </row>
    <row r="1101">
      <c r="A1101" s="5" t="n"/>
      <c r="B1101" s="5" t="n"/>
      <c r="C1101" s="5" t="n"/>
      <c r="D1101" s="5" t="n"/>
      <c r="E1101" s="8" t="n"/>
      <c r="F1101" s="5" t="n"/>
      <c r="G1101" s="5" t="n"/>
      <c r="H1101" s="5" t="n"/>
      <c r="I1101" s="5" t="n"/>
    </row>
    <row r="1102">
      <c r="A1102" s="5" t="n"/>
      <c r="B1102" s="5" t="n"/>
      <c r="C1102" s="5" t="n"/>
      <c r="D1102" s="5" t="n"/>
      <c r="E1102" s="8" t="n"/>
      <c r="F1102" s="5" t="n"/>
      <c r="G1102" s="5" t="n"/>
      <c r="H1102" s="5" t="n"/>
      <c r="I1102" s="5" t="n"/>
    </row>
    <row r="1103">
      <c r="A1103" s="5" t="n"/>
      <c r="B1103" s="5" t="n"/>
      <c r="C1103" s="5" t="n"/>
      <c r="D1103" s="5" t="n"/>
      <c r="E1103" s="8" t="n"/>
      <c r="F1103" s="5" t="n"/>
      <c r="G1103" s="5" t="n"/>
      <c r="H1103" s="5" t="n"/>
      <c r="I1103" s="5" t="n"/>
    </row>
    <row r="1104">
      <c r="A1104" s="5" t="n"/>
      <c r="B1104" s="5" t="n"/>
      <c r="C1104" s="5" t="n"/>
      <c r="D1104" s="5" t="n"/>
      <c r="E1104" s="8" t="n"/>
      <c r="F1104" s="5" t="n"/>
      <c r="G1104" s="5" t="n"/>
      <c r="H1104" s="5" t="n"/>
      <c r="I1104" s="5" t="n"/>
    </row>
    <row r="1105">
      <c r="A1105" s="5" t="n"/>
      <c r="B1105" s="5" t="n"/>
      <c r="C1105" s="5" t="n"/>
      <c r="D1105" s="5" t="n"/>
      <c r="E1105" s="8" t="n"/>
      <c r="F1105" s="5" t="n"/>
      <c r="G1105" s="5" t="n"/>
      <c r="H1105" s="5" t="n"/>
      <c r="I1105" s="5" t="n"/>
    </row>
    <row r="1106">
      <c r="A1106" s="5" t="n"/>
      <c r="B1106" s="5" t="n"/>
      <c r="C1106" s="5" t="n"/>
      <c r="D1106" s="5" t="n"/>
      <c r="E1106" s="8" t="n"/>
      <c r="F1106" s="5" t="n"/>
      <c r="G1106" s="5" t="n"/>
      <c r="H1106" s="5" t="n"/>
      <c r="I1106" s="5" t="n"/>
    </row>
    <row r="1107">
      <c r="A1107" s="5" t="n"/>
      <c r="B1107" s="5" t="n"/>
      <c r="C1107" s="5" t="n"/>
      <c r="D1107" s="5" t="n"/>
      <c r="E1107" s="8" t="n"/>
      <c r="F1107" s="5" t="n"/>
      <c r="G1107" s="5" t="n"/>
      <c r="H1107" s="5" t="n"/>
      <c r="I1107" s="5" t="n"/>
    </row>
    <row r="1108">
      <c r="A1108" s="5" t="n"/>
      <c r="B1108" s="5" t="n"/>
      <c r="C1108" s="5" t="n"/>
      <c r="D1108" s="5" t="n"/>
      <c r="E1108" s="8" t="n"/>
      <c r="F1108" s="5" t="n"/>
      <c r="G1108" s="5" t="n"/>
      <c r="H1108" s="5" t="n"/>
      <c r="I1108" s="5" t="n"/>
    </row>
    <row r="1109">
      <c r="A1109" s="5" t="n"/>
      <c r="B1109" s="5" t="n"/>
      <c r="C1109" s="5" t="n"/>
      <c r="D1109" s="5" t="n"/>
      <c r="E1109" s="8" t="n"/>
      <c r="F1109" s="5" t="n"/>
      <c r="G1109" s="5" t="n"/>
      <c r="H1109" s="5" t="n"/>
      <c r="I1109" s="5" t="n"/>
    </row>
    <row r="1110">
      <c r="A1110" s="5" t="n"/>
      <c r="B1110" s="5" t="n"/>
      <c r="C1110" s="5" t="n"/>
      <c r="D1110" s="5" t="n"/>
      <c r="E1110" s="8" t="n"/>
      <c r="F1110" s="5" t="n"/>
      <c r="G1110" s="5" t="n"/>
      <c r="H1110" s="5" t="n"/>
      <c r="I1110" s="5" t="n"/>
    </row>
    <row r="1111">
      <c r="A1111" s="5" t="n"/>
      <c r="B1111" s="5" t="n"/>
      <c r="C1111" s="5" t="n"/>
      <c r="D1111" s="5" t="n"/>
      <c r="E1111" s="8" t="n"/>
      <c r="F1111" s="5" t="n"/>
      <c r="G1111" s="5" t="n"/>
      <c r="H1111" s="5" t="n"/>
      <c r="I1111" s="5" t="n"/>
    </row>
    <row r="1112">
      <c r="A1112" s="5" t="n"/>
      <c r="B1112" s="5" t="n"/>
      <c r="C1112" s="5" t="n"/>
      <c r="D1112" s="5" t="n"/>
      <c r="E1112" s="8" t="n"/>
      <c r="F1112" s="5" t="n"/>
      <c r="G1112" s="5" t="n"/>
      <c r="H1112" s="5" t="n"/>
      <c r="I1112" s="5" t="n"/>
    </row>
    <row r="1113">
      <c r="A1113" s="5" t="n"/>
      <c r="B1113" s="5" t="n"/>
      <c r="C1113" s="5" t="n"/>
      <c r="D1113" s="5" t="n"/>
      <c r="E1113" s="8" t="n"/>
      <c r="F1113" s="5" t="n"/>
      <c r="G1113" s="5" t="n"/>
      <c r="H1113" s="5" t="n"/>
      <c r="I1113" s="5" t="n"/>
    </row>
    <row r="1114">
      <c r="A1114" s="5" t="n"/>
      <c r="B1114" s="5" t="n"/>
      <c r="C1114" s="5" t="n"/>
      <c r="D1114" s="5" t="n"/>
      <c r="E1114" s="8" t="n"/>
      <c r="F1114" s="5" t="n"/>
      <c r="G1114" s="5" t="n"/>
      <c r="H1114" s="5" t="n"/>
      <c r="I1114" s="5" t="n"/>
    </row>
    <row r="1115">
      <c r="A1115" s="5" t="n"/>
      <c r="B1115" s="5" t="n"/>
      <c r="C1115" s="5" t="n"/>
      <c r="D1115" s="5" t="n"/>
      <c r="E1115" s="8" t="n"/>
      <c r="F1115" s="5" t="n"/>
      <c r="G1115" s="5" t="n"/>
      <c r="H1115" s="5" t="n"/>
      <c r="I1115" s="5" t="n"/>
    </row>
    <row r="1116">
      <c r="A1116" s="5" t="n"/>
      <c r="B1116" s="5" t="n"/>
      <c r="C1116" s="5" t="n"/>
      <c r="D1116" s="5" t="n"/>
      <c r="E1116" s="8" t="n"/>
      <c r="F1116" s="5" t="n"/>
      <c r="G1116" s="5" t="n"/>
      <c r="H1116" s="5" t="n"/>
      <c r="I1116" s="5" t="n"/>
    </row>
    <row r="1117">
      <c r="A1117" s="5" t="n"/>
      <c r="B1117" s="5" t="n"/>
      <c r="C1117" s="5" t="n"/>
      <c r="D1117" s="5" t="n"/>
      <c r="E1117" s="8" t="n"/>
      <c r="F1117" s="5" t="n"/>
      <c r="G1117" s="5" t="n"/>
      <c r="H1117" s="5" t="n"/>
      <c r="I1117" s="5" t="n"/>
    </row>
    <row r="1118">
      <c r="A1118" s="5" t="n"/>
      <c r="B1118" s="5" t="n"/>
      <c r="C1118" s="5" t="n"/>
      <c r="D1118" s="5" t="n"/>
      <c r="E1118" s="8" t="n"/>
      <c r="F1118" s="5" t="n"/>
      <c r="G1118" s="5" t="n"/>
      <c r="H1118" s="5" t="n"/>
      <c r="I1118" s="5" t="n"/>
    </row>
    <row r="1119">
      <c r="A1119" s="5" t="n"/>
      <c r="B1119" s="5" t="n"/>
      <c r="C1119" s="5" t="n"/>
      <c r="D1119" s="5" t="n"/>
      <c r="E1119" s="8" t="n"/>
      <c r="F1119" s="5" t="n"/>
      <c r="G1119" s="5" t="n"/>
      <c r="H1119" s="5" t="n"/>
      <c r="I1119" s="5" t="n"/>
    </row>
    <row r="1120">
      <c r="A1120" s="5" t="n"/>
      <c r="B1120" s="5" t="n"/>
      <c r="C1120" s="5" t="n"/>
      <c r="D1120" s="5" t="n"/>
      <c r="E1120" s="8" t="n"/>
      <c r="F1120" s="5" t="n"/>
      <c r="G1120" s="5" t="n"/>
      <c r="H1120" s="5" t="n"/>
      <c r="I1120" s="5" t="n"/>
    </row>
    <row r="1121">
      <c r="A1121" s="5" t="n"/>
      <c r="B1121" s="5" t="n"/>
      <c r="C1121" s="5" t="n"/>
      <c r="D1121" s="5" t="n"/>
      <c r="E1121" s="8" t="n"/>
      <c r="F1121" s="5" t="n"/>
      <c r="G1121" s="5" t="n"/>
      <c r="H1121" s="5" t="n"/>
      <c r="I1121" s="5" t="n"/>
    </row>
    <row r="1122">
      <c r="A1122" s="5" t="n"/>
      <c r="B1122" s="5" t="n"/>
      <c r="C1122" s="5" t="n"/>
      <c r="D1122" s="5" t="n"/>
      <c r="E1122" s="8" t="n"/>
      <c r="F1122" s="5" t="n"/>
      <c r="G1122" s="5" t="n"/>
      <c r="H1122" s="5" t="n"/>
      <c r="I1122" s="5" t="n"/>
    </row>
    <row r="1123">
      <c r="A1123" s="5" t="n"/>
      <c r="B1123" s="5" t="n"/>
      <c r="C1123" s="5" t="n"/>
      <c r="D1123" s="5" t="n"/>
      <c r="E1123" s="8" t="n"/>
      <c r="F1123" s="5" t="n"/>
      <c r="G1123" s="5" t="n"/>
      <c r="H1123" s="5" t="n"/>
      <c r="I1123" s="5" t="n"/>
    </row>
    <row r="1124">
      <c r="A1124" s="5" t="n"/>
      <c r="B1124" s="5" t="n"/>
      <c r="C1124" s="5" t="n"/>
      <c r="D1124" s="5" t="n"/>
      <c r="E1124" s="8" t="n"/>
      <c r="F1124" s="5" t="n"/>
      <c r="G1124" s="5" t="n"/>
      <c r="H1124" s="5" t="n"/>
      <c r="I1124" s="5" t="n"/>
    </row>
    <row r="1125">
      <c r="A1125" s="5" t="n"/>
      <c r="B1125" s="5" t="n"/>
      <c r="C1125" s="5" t="n"/>
      <c r="D1125" s="5" t="n"/>
      <c r="E1125" s="8" t="n"/>
      <c r="F1125" s="5" t="n"/>
      <c r="G1125" s="5" t="n"/>
      <c r="H1125" s="5" t="n"/>
      <c r="I1125" s="5" t="n"/>
    </row>
    <row r="1126">
      <c r="A1126" s="5" t="n"/>
      <c r="B1126" s="5" t="n"/>
      <c r="C1126" s="5" t="n"/>
      <c r="D1126" s="5" t="n"/>
      <c r="E1126" s="8" t="n"/>
      <c r="F1126" s="5" t="n"/>
      <c r="G1126" s="5" t="n"/>
      <c r="H1126" s="5" t="n"/>
      <c r="I1126" s="5" t="n"/>
    </row>
    <row r="1127">
      <c r="A1127" s="5" t="n"/>
      <c r="B1127" s="5" t="n"/>
      <c r="C1127" s="5" t="n"/>
      <c r="D1127" s="5" t="n"/>
      <c r="E1127" s="8" t="n"/>
      <c r="F1127" s="5" t="n"/>
      <c r="G1127" s="5" t="n"/>
      <c r="H1127" s="5" t="n"/>
      <c r="I1127" s="5" t="n"/>
    </row>
    <row r="1128">
      <c r="A1128" s="5" t="n"/>
      <c r="B1128" s="5" t="n"/>
      <c r="C1128" s="5" t="n"/>
      <c r="D1128" s="5" t="n"/>
      <c r="E1128" s="8" t="n"/>
      <c r="F1128" s="5" t="n"/>
      <c r="G1128" s="5" t="n"/>
      <c r="H1128" s="5" t="n"/>
      <c r="I1128" s="5" t="n"/>
    </row>
    <row r="1129">
      <c r="A1129" s="5" t="n"/>
      <c r="B1129" s="5" t="n"/>
      <c r="C1129" s="5" t="n"/>
      <c r="D1129" s="5" t="n"/>
      <c r="E1129" s="8" t="n"/>
      <c r="F1129" s="5" t="n"/>
      <c r="G1129" s="5" t="n"/>
      <c r="H1129" s="5" t="n"/>
      <c r="I1129" s="5" t="n"/>
    </row>
    <row r="1130">
      <c r="A1130" s="5" t="n"/>
      <c r="B1130" s="5" t="n"/>
      <c r="C1130" s="5" t="n"/>
      <c r="D1130" s="5" t="n"/>
      <c r="E1130" s="8" t="n"/>
      <c r="F1130" s="5" t="n"/>
      <c r="G1130" s="5" t="n"/>
      <c r="H1130" s="5" t="n"/>
      <c r="I1130" s="5" t="n"/>
    </row>
    <row r="1131">
      <c r="A1131" s="5" t="n"/>
      <c r="B1131" s="5" t="n"/>
      <c r="C1131" s="5" t="n"/>
      <c r="D1131" s="5" t="n"/>
      <c r="E1131" s="8" t="n"/>
      <c r="F1131" s="5" t="n"/>
      <c r="G1131" s="5" t="n"/>
      <c r="H1131" s="5" t="n"/>
      <c r="I1131" s="5" t="n"/>
    </row>
    <row r="1132">
      <c r="A1132" s="5" t="n"/>
      <c r="B1132" s="5" t="n"/>
      <c r="C1132" s="5" t="n"/>
      <c r="D1132" s="5" t="n"/>
      <c r="E1132" s="8" t="n"/>
      <c r="F1132" s="5" t="n"/>
      <c r="G1132" s="5" t="n"/>
      <c r="H1132" s="5" t="n"/>
      <c r="I1132" s="5" t="n"/>
    </row>
    <row r="1133">
      <c r="A1133" s="5" t="n"/>
      <c r="B1133" s="5" t="n"/>
      <c r="C1133" s="5" t="n"/>
      <c r="D1133" s="5" t="n"/>
      <c r="E1133" s="8" t="n"/>
      <c r="F1133" s="5" t="n"/>
      <c r="G1133" s="5" t="n"/>
      <c r="H1133" s="5" t="n"/>
      <c r="I1133" s="5" t="n"/>
    </row>
    <row r="1134">
      <c r="A1134" s="5" t="n"/>
      <c r="B1134" s="5" t="n"/>
      <c r="C1134" s="5" t="n"/>
      <c r="D1134" s="5" t="n"/>
      <c r="E1134" s="8" t="n"/>
      <c r="F1134" s="5" t="n"/>
      <c r="G1134" s="5" t="n"/>
      <c r="H1134" s="5" t="n"/>
      <c r="I1134" s="5" t="n"/>
    </row>
    <row r="1135">
      <c r="A1135" s="5" t="n"/>
      <c r="B1135" s="5" t="n"/>
      <c r="C1135" s="5" t="n"/>
      <c r="D1135" s="5" t="n"/>
      <c r="E1135" s="8" t="n"/>
      <c r="F1135" s="5" t="n"/>
      <c r="G1135" s="5" t="n"/>
      <c r="H1135" s="5" t="n"/>
      <c r="I1135" s="5" t="n"/>
    </row>
    <row r="1136">
      <c r="A1136" s="5" t="n"/>
      <c r="B1136" s="5" t="n"/>
      <c r="C1136" s="5" t="n"/>
      <c r="D1136" s="5" t="n"/>
      <c r="E1136" s="8" t="n"/>
      <c r="F1136" s="5" t="n"/>
      <c r="G1136" s="5" t="n"/>
      <c r="H1136" s="5" t="n"/>
      <c r="I1136" s="5" t="n"/>
    </row>
    <row r="1137">
      <c r="A1137" s="5" t="n"/>
      <c r="B1137" s="5" t="n"/>
      <c r="C1137" s="5" t="n"/>
      <c r="D1137" s="5" t="n"/>
      <c r="E1137" s="8" t="n"/>
      <c r="F1137" s="5" t="n"/>
      <c r="G1137" s="5" t="n"/>
      <c r="H1137" s="5" t="n"/>
      <c r="I1137" s="5" t="n"/>
    </row>
    <row r="1138">
      <c r="A1138" s="5" t="n"/>
      <c r="B1138" s="5" t="n"/>
      <c r="C1138" s="5" t="n"/>
      <c r="D1138" s="5" t="n"/>
      <c r="E1138" s="8" t="n"/>
      <c r="F1138" s="5" t="n"/>
      <c r="G1138" s="5" t="n"/>
      <c r="H1138" s="5" t="n"/>
      <c r="I1138" s="5" t="n"/>
    </row>
    <row r="1139">
      <c r="A1139" s="5" t="n"/>
      <c r="B1139" s="5" t="n"/>
      <c r="C1139" s="5" t="n"/>
      <c r="D1139" s="5" t="n"/>
      <c r="E1139" s="8" t="n"/>
      <c r="F1139" s="5" t="n"/>
      <c r="G1139" s="5" t="n"/>
      <c r="H1139" s="5" t="n"/>
      <c r="I1139" s="5" t="n"/>
    </row>
    <row r="1140">
      <c r="A1140" s="5" t="n"/>
      <c r="B1140" s="5" t="n"/>
      <c r="C1140" s="5" t="n"/>
      <c r="D1140" s="5" t="n"/>
      <c r="E1140" s="8" t="n"/>
      <c r="F1140" s="5" t="n"/>
      <c r="G1140" s="5" t="n"/>
      <c r="H1140" s="5" t="n"/>
      <c r="I1140" s="5" t="n"/>
    </row>
    <row r="1141">
      <c r="A1141" s="5" t="n"/>
      <c r="B1141" s="5" t="n"/>
      <c r="C1141" s="5" t="n"/>
      <c r="D1141" s="5" t="n"/>
      <c r="E1141" s="8" t="n"/>
      <c r="F1141" s="5" t="n"/>
      <c r="G1141" s="5" t="n"/>
      <c r="H1141" s="5" t="n"/>
      <c r="I1141" s="5" t="n"/>
    </row>
    <row r="1142">
      <c r="A1142" s="5" t="n"/>
      <c r="B1142" s="5" t="n"/>
      <c r="C1142" s="5" t="n"/>
      <c r="D1142" s="5" t="n"/>
      <c r="E1142" s="8" t="n"/>
      <c r="F1142" s="5" t="n"/>
      <c r="G1142" s="5" t="n"/>
      <c r="H1142" s="5" t="n"/>
      <c r="I1142" s="5" t="n"/>
    </row>
    <row r="1143">
      <c r="A1143" s="5" t="n"/>
      <c r="B1143" s="5" t="n"/>
      <c r="C1143" s="5" t="n"/>
      <c r="D1143" s="5" t="n"/>
      <c r="E1143" s="8" t="n"/>
      <c r="F1143" s="5" t="n"/>
      <c r="G1143" s="5" t="n"/>
      <c r="H1143" s="5" t="n"/>
      <c r="I1143" s="5" t="n"/>
    </row>
    <row r="1144">
      <c r="A1144" s="5" t="n"/>
      <c r="B1144" s="5" t="n"/>
      <c r="C1144" s="5" t="n"/>
      <c r="D1144" s="5" t="n"/>
      <c r="E1144" s="8" t="n"/>
      <c r="F1144" s="5" t="n"/>
      <c r="G1144" s="5" t="n"/>
      <c r="H1144" s="5" t="n"/>
      <c r="I1144" s="5" t="n"/>
    </row>
    <row r="1145">
      <c r="A1145" s="5" t="n"/>
      <c r="B1145" s="5" t="n"/>
      <c r="C1145" s="5" t="n"/>
      <c r="D1145" s="5" t="n"/>
      <c r="E1145" s="8" t="n"/>
      <c r="F1145" s="5" t="n"/>
      <c r="G1145" s="5" t="n"/>
      <c r="H1145" s="5" t="n"/>
      <c r="I1145" s="5" t="n"/>
    </row>
    <row r="1146">
      <c r="A1146" s="5" t="n"/>
      <c r="B1146" s="5" t="n"/>
      <c r="C1146" s="5" t="n"/>
      <c r="D1146" s="5" t="n"/>
      <c r="E1146" s="8" t="n"/>
      <c r="F1146" s="5" t="n"/>
      <c r="G1146" s="5" t="n"/>
      <c r="H1146" s="5" t="n"/>
      <c r="I1146" s="5" t="n"/>
    </row>
    <row r="1147">
      <c r="A1147" s="5" t="n"/>
      <c r="B1147" s="5" t="n"/>
      <c r="C1147" s="5" t="n"/>
      <c r="D1147" s="5" t="n"/>
      <c r="E1147" s="8" t="n"/>
      <c r="F1147" s="5" t="n"/>
      <c r="G1147" s="5" t="n"/>
      <c r="H1147" s="5" t="n"/>
      <c r="I1147" s="5" t="n"/>
    </row>
    <row r="1148">
      <c r="A1148" s="5" t="n"/>
      <c r="B1148" s="5" t="n"/>
      <c r="C1148" s="5" t="n"/>
      <c r="D1148" s="5" t="n"/>
      <c r="E1148" s="8" t="n"/>
      <c r="F1148" s="5" t="n"/>
      <c r="G1148" s="5" t="n"/>
      <c r="H1148" s="5" t="n"/>
      <c r="I1148" s="5" t="n"/>
    </row>
    <row r="1149">
      <c r="A1149" s="5" t="n"/>
      <c r="B1149" s="5" t="n"/>
      <c r="C1149" s="5" t="n"/>
      <c r="D1149" s="5" t="n"/>
      <c r="E1149" s="8" t="n"/>
      <c r="F1149" s="5" t="n"/>
      <c r="G1149" s="5" t="n"/>
      <c r="H1149" s="5" t="n"/>
      <c r="I1149" s="5" t="n"/>
    </row>
    <row r="1150">
      <c r="A1150" s="5" t="n"/>
      <c r="B1150" s="5" t="n"/>
      <c r="C1150" s="5" t="n"/>
      <c r="D1150" s="5" t="n"/>
      <c r="E1150" s="8" t="n"/>
      <c r="F1150" s="5" t="n"/>
      <c r="G1150" s="5" t="n"/>
      <c r="H1150" s="5" t="n"/>
      <c r="I1150" s="5" t="n"/>
    </row>
    <row r="1151">
      <c r="A1151" s="5" t="n"/>
      <c r="B1151" s="5" t="n"/>
      <c r="C1151" s="5" t="n"/>
      <c r="D1151" s="5" t="n"/>
      <c r="E1151" s="8" t="n"/>
      <c r="F1151" s="5" t="n"/>
      <c r="G1151" s="5" t="n"/>
      <c r="H1151" s="5" t="n"/>
      <c r="I1151" s="5" t="n"/>
    </row>
    <row r="1152">
      <c r="A1152" s="5" t="n"/>
      <c r="B1152" s="5" t="n"/>
      <c r="C1152" s="5" t="n"/>
      <c r="D1152" s="5" t="n"/>
      <c r="E1152" s="8" t="n"/>
      <c r="F1152" s="5" t="n"/>
      <c r="G1152" s="5" t="n"/>
      <c r="H1152" s="5" t="n"/>
      <c r="I1152" s="5" t="n"/>
    </row>
    <row r="1153">
      <c r="A1153" s="5" t="n"/>
      <c r="B1153" s="5" t="n"/>
      <c r="C1153" s="5" t="n"/>
      <c r="D1153" s="5" t="n"/>
      <c r="E1153" s="8" t="n"/>
      <c r="F1153" s="5" t="n"/>
      <c r="G1153" s="5" t="n"/>
      <c r="H1153" s="5" t="n"/>
      <c r="I1153" s="5" t="n"/>
    </row>
    <row r="1154">
      <c r="A1154" s="5" t="n"/>
      <c r="B1154" s="5" t="n"/>
      <c r="C1154" s="5" t="n"/>
      <c r="D1154" s="5" t="n"/>
      <c r="E1154" s="8" t="n"/>
      <c r="F1154" s="5" t="n"/>
      <c r="G1154" s="5" t="n"/>
      <c r="H1154" s="5" t="n"/>
      <c r="I1154" s="5" t="n"/>
    </row>
    <row r="1155">
      <c r="A1155" s="5" t="n"/>
      <c r="B1155" s="5" t="n"/>
      <c r="C1155" s="5" t="n"/>
      <c r="D1155" s="5" t="n"/>
      <c r="E1155" s="8" t="n"/>
      <c r="F1155" s="5" t="n"/>
      <c r="G1155" s="5" t="n"/>
      <c r="H1155" s="5" t="n"/>
      <c r="I1155" s="5" t="n"/>
    </row>
    <row r="1156">
      <c r="A1156" s="5" t="n"/>
      <c r="B1156" s="5" t="n"/>
      <c r="C1156" s="5" t="n"/>
      <c r="D1156" s="5" t="n"/>
      <c r="E1156" s="8" t="n"/>
      <c r="F1156" s="5" t="n"/>
      <c r="G1156" s="5" t="n"/>
      <c r="H1156" s="5" t="n"/>
      <c r="I1156" s="5" t="n"/>
    </row>
    <row r="1157">
      <c r="A1157" s="5" t="n"/>
      <c r="B1157" s="5" t="n"/>
      <c r="C1157" s="5" t="n"/>
      <c r="D1157" s="5" t="n"/>
      <c r="E1157" s="8" t="n"/>
      <c r="F1157" s="5" t="n"/>
      <c r="G1157" s="5" t="n"/>
      <c r="H1157" s="5" t="n"/>
      <c r="I1157" s="5" t="n"/>
    </row>
    <row r="1158">
      <c r="A1158" s="5" t="n"/>
      <c r="B1158" s="5" t="n"/>
      <c r="C1158" s="5" t="n"/>
      <c r="D1158" s="5" t="n"/>
      <c r="E1158" s="8" t="n"/>
      <c r="F1158" s="5" t="n"/>
      <c r="G1158" s="5" t="n"/>
      <c r="H1158" s="5" t="n"/>
      <c r="I1158" s="5" t="n"/>
    </row>
    <row r="1159">
      <c r="A1159" s="5" t="n"/>
      <c r="B1159" s="5" t="n"/>
      <c r="C1159" s="5" t="n"/>
      <c r="D1159" s="5" t="n"/>
      <c r="E1159" s="8" t="n"/>
      <c r="F1159" s="5" t="n"/>
      <c r="G1159" s="5" t="n"/>
      <c r="H1159" s="5" t="n"/>
      <c r="I1159" s="5" t="n"/>
    </row>
    <row r="1160">
      <c r="A1160" s="5" t="n"/>
      <c r="B1160" s="5" t="n"/>
      <c r="C1160" s="5" t="n"/>
      <c r="D1160" s="5" t="n"/>
      <c r="E1160" s="8" t="n"/>
      <c r="F1160" s="5" t="n"/>
      <c r="G1160" s="5" t="n"/>
      <c r="H1160" s="5" t="n"/>
      <c r="I1160" s="5" t="n"/>
    </row>
    <row r="1161">
      <c r="A1161" s="5" t="n"/>
      <c r="B1161" s="5" t="n"/>
      <c r="C1161" s="5" t="n"/>
      <c r="D1161" s="5" t="n"/>
      <c r="E1161" s="8" t="n"/>
      <c r="F1161" s="5" t="n"/>
      <c r="G1161" s="5" t="n"/>
      <c r="H1161" s="5" t="n"/>
      <c r="I1161" s="5" t="n"/>
    </row>
    <row r="1162">
      <c r="A1162" s="5" t="n"/>
      <c r="B1162" s="5" t="n"/>
      <c r="C1162" s="5" t="n"/>
      <c r="D1162" s="5" t="n"/>
      <c r="E1162" s="8" t="n"/>
      <c r="F1162" s="5" t="n"/>
      <c r="G1162" s="5" t="n"/>
      <c r="H1162" s="5" t="n"/>
      <c r="I1162" s="5" t="n"/>
    </row>
    <row r="1163">
      <c r="A1163" s="5" t="n"/>
      <c r="B1163" s="5" t="n"/>
      <c r="C1163" s="5" t="n"/>
      <c r="D1163" s="5" t="n"/>
      <c r="E1163" s="8" t="n"/>
      <c r="F1163" s="5" t="n"/>
      <c r="G1163" s="5" t="n"/>
      <c r="H1163" s="5" t="n"/>
      <c r="I1163" s="5" t="n"/>
    </row>
    <row r="1164">
      <c r="A1164" s="5" t="n"/>
      <c r="B1164" s="5" t="n"/>
      <c r="C1164" s="5" t="n"/>
      <c r="D1164" s="5" t="n"/>
      <c r="E1164" s="8" t="n"/>
      <c r="F1164" s="5" t="n"/>
      <c r="G1164" s="5" t="n"/>
      <c r="H1164" s="5" t="n"/>
      <c r="I1164" s="5" t="n"/>
    </row>
    <row r="1165">
      <c r="A1165" s="5" t="n"/>
      <c r="B1165" s="5" t="n"/>
      <c r="C1165" s="5" t="n"/>
      <c r="D1165" s="5" t="n"/>
      <c r="E1165" s="8" t="n"/>
      <c r="F1165" s="5" t="n"/>
      <c r="G1165" s="5" t="n"/>
      <c r="H1165" s="5" t="n"/>
      <c r="I1165" s="5" t="n"/>
    </row>
    <row r="1166">
      <c r="A1166" s="5" t="n"/>
      <c r="B1166" s="5" t="n"/>
      <c r="C1166" s="5" t="n"/>
      <c r="D1166" s="5" t="n"/>
      <c r="E1166" s="8" t="n"/>
      <c r="F1166" s="5" t="n"/>
      <c r="G1166" s="5" t="n"/>
      <c r="H1166" s="5" t="n"/>
      <c r="I1166" s="5" t="n"/>
    </row>
    <row r="1167">
      <c r="A1167" s="5" t="n"/>
      <c r="B1167" s="5" t="n"/>
      <c r="C1167" s="5" t="n"/>
      <c r="D1167" s="5" t="n"/>
      <c r="E1167" s="8" t="n"/>
      <c r="F1167" s="5" t="n"/>
      <c r="G1167" s="5" t="n"/>
      <c r="H1167" s="5" t="n"/>
      <c r="I1167" s="5" t="n"/>
    </row>
    <row r="1168">
      <c r="A1168" s="5" t="n"/>
      <c r="B1168" s="5" t="n"/>
      <c r="C1168" s="5" t="n"/>
      <c r="D1168" s="5" t="n"/>
      <c r="E1168" s="8" t="n"/>
      <c r="F1168" s="5" t="n"/>
      <c r="G1168" s="5" t="n"/>
      <c r="H1168" s="5" t="n"/>
      <c r="I1168" s="5" t="n"/>
    </row>
    <row r="1169">
      <c r="A1169" s="5" t="n"/>
      <c r="B1169" s="5" t="n"/>
      <c r="C1169" s="5" t="n"/>
      <c r="D1169" s="5" t="n"/>
      <c r="E1169" s="8" t="n"/>
      <c r="F1169" s="5" t="n"/>
      <c r="G1169" s="5" t="n"/>
      <c r="H1169" s="5" t="n"/>
      <c r="I1169" s="5" t="n"/>
    </row>
    <row r="1170">
      <c r="A1170" s="5" t="n"/>
      <c r="B1170" s="5" t="n"/>
      <c r="C1170" s="5" t="n"/>
      <c r="D1170" s="5" t="n"/>
      <c r="E1170" s="8" t="n"/>
      <c r="F1170" s="5" t="n"/>
      <c r="G1170" s="5" t="n"/>
      <c r="H1170" s="5" t="n"/>
      <c r="I1170" s="5" t="n"/>
    </row>
    <row r="1171">
      <c r="A1171" s="5" t="n"/>
      <c r="B1171" s="5" t="n"/>
      <c r="C1171" s="5" t="n"/>
      <c r="D1171" s="5" t="n"/>
      <c r="E1171" s="8" t="n"/>
      <c r="F1171" s="5" t="n"/>
      <c r="G1171" s="5" t="n"/>
      <c r="H1171" s="5" t="n"/>
      <c r="I1171" s="5" t="n"/>
    </row>
    <row r="1172">
      <c r="A1172" s="5" t="n"/>
      <c r="B1172" s="5" t="n"/>
      <c r="C1172" s="5" t="n"/>
      <c r="D1172" s="5" t="n"/>
      <c r="E1172" s="8" t="n"/>
      <c r="F1172" s="5" t="n"/>
      <c r="G1172" s="5" t="n"/>
      <c r="H1172" s="5" t="n"/>
      <c r="I1172" s="5" t="n"/>
    </row>
    <row r="1173">
      <c r="A1173" s="5" t="n"/>
      <c r="B1173" s="5" t="n"/>
      <c r="C1173" s="5" t="n"/>
      <c r="D1173" s="5" t="n"/>
      <c r="E1173" s="8" t="n"/>
      <c r="F1173" s="5" t="n"/>
      <c r="G1173" s="5" t="n"/>
      <c r="H1173" s="5" t="n"/>
      <c r="I1173" s="5" t="n"/>
    </row>
    <row r="1174">
      <c r="A1174" s="5" t="n"/>
      <c r="B1174" s="5" t="n"/>
      <c r="C1174" s="5" t="n"/>
      <c r="D1174" s="5" t="n"/>
      <c r="E1174" s="8" t="n"/>
      <c r="F1174" s="5" t="n"/>
      <c r="G1174" s="5" t="n"/>
      <c r="H1174" s="5" t="n"/>
      <c r="I1174" s="5" t="n"/>
    </row>
    <row r="1175">
      <c r="A1175" s="5" t="n"/>
      <c r="B1175" s="5" t="n"/>
      <c r="C1175" s="5" t="n"/>
      <c r="D1175" s="5" t="n"/>
      <c r="E1175" s="8" t="n"/>
      <c r="F1175" s="5" t="n"/>
      <c r="G1175" s="5" t="n"/>
      <c r="H1175" s="5" t="n"/>
      <c r="I1175" s="5" t="n"/>
    </row>
    <row r="1176">
      <c r="A1176" s="5" t="n"/>
      <c r="B1176" s="5" t="n"/>
      <c r="C1176" s="5" t="n"/>
      <c r="D1176" s="5" t="n"/>
      <c r="E1176" s="8" t="n"/>
      <c r="F1176" s="5" t="n"/>
      <c r="G1176" s="5" t="n"/>
      <c r="H1176" s="5" t="n"/>
      <c r="I1176" s="5" t="n"/>
    </row>
    <row r="1177">
      <c r="A1177" s="5" t="n"/>
      <c r="B1177" s="5" t="n"/>
      <c r="C1177" s="5" t="n"/>
      <c r="D1177" s="5" t="n"/>
      <c r="E1177" s="8" t="n"/>
      <c r="F1177" s="5" t="n"/>
      <c r="G1177" s="5" t="n"/>
      <c r="H1177" s="5" t="n"/>
      <c r="I1177" s="5" t="n"/>
    </row>
    <row r="1178">
      <c r="A1178" s="5" t="n"/>
      <c r="B1178" s="5" t="n"/>
      <c r="C1178" s="5" t="n"/>
      <c r="D1178" s="5" t="n"/>
      <c r="E1178" s="8" t="n"/>
      <c r="F1178" s="5" t="n"/>
      <c r="G1178" s="5" t="n"/>
      <c r="H1178" s="5" t="n"/>
      <c r="I1178" s="5" t="n"/>
    </row>
    <row r="1179">
      <c r="A1179" s="5" t="n"/>
      <c r="B1179" s="5" t="n"/>
      <c r="C1179" s="5" t="n"/>
      <c r="D1179" s="5" t="n"/>
      <c r="E1179" s="8" t="n"/>
      <c r="F1179" s="5" t="n"/>
      <c r="G1179" s="5" t="n"/>
      <c r="H1179" s="5" t="n"/>
      <c r="I1179" s="5" t="n"/>
    </row>
    <row r="1180">
      <c r="A1180" s="5" t="n"/>
      <c r="B1180" s="5" t="n"/>
      <c r="C1180" s="5" t="n"/>
      <c r="D1180" s="5" t="n"/>
      <c r="E1180" s="8" t="n"/>
      <c r="F1180" s="5" t="n"/>
      <c r="G1180" s="5" t="n"/>
      <c r="H1180" s="5" t="n"/>
      <c r="I1180" s="5" t="n"/>
    </row>
    <row r="1181">
      <c r="A1181" s="5" t="n"/>
      <c r="B1181" s="5" t="n"/>
      <c r="C1181" s="5" t="n"/>
      <c r="D1181" s="5" t="n"/>
      <c r="E1181" s="8" t="n"/>
      <c r="F1181" s="5" t="n"/>
      <c r="G1181" s="5" t="n"/>
      <c r="H1181" s="5" t="n"/>
      <c r="I1181" s="5" t="n"/>
    </row>
    <row r="1182">
      <c r="A1182" s="5" t="n"/>
      <c r="B1182" s="5" t="n"/>
      <c r="C1182" s="5" t="n"/>
      <c r="D1182" s="5" t="n"/>
      <c r="E1182" s="8" t="n"/>
      <c r="F1182" s="5" t="n"/>
      <c r="G1182" s="5" t="n"/>
      <c r="H1182" s="5" t="n"/>
      <c r="I1182" s="5" t="n"/>
    </row>
    <row r="1183">
      <c r="A1183" s="5" t="n"/>
      <c r="B1183" s="5" t="n"/>
      <c r="C1183" s="5" t="n"/>
      <c r="D1183" s="5" t="n"/>
      <c r="E1183" s="8" t="n"/>
      <c r="F1183" s="5" t="n"/>
      <c r="G1183" s="5" t="n"/>
      <c r="H1183" s="5" t="n"/>
      <c r="I1183" s="5" t="n"/>
    </row>
    <row r="1184">
      <c r="A1184" s="5" t="n"/>
      <c r="B1184" s="5" t="n"/>
      <c r="C1184" s="5" t="n"/>
      <c r="D1184" s="5" t="n"/>
      <c r="E1184" s="8" t="n"/>
      <c r="F1184" s="5" t="n"/>
      <c r="G1184" s="5" t="n"/>
      <c r="H1184" s="5" t="n"/>
      <c r="I1184" s="5" t="n"/>
    </row>
    <row r="1185">
      <c r="A1185" s="5" t="n"/>
      <c r="B1185" s="5" t="n"/>
      <c r="C1185" s="5" t="n"/>
      <c r="D1185" s="5" t="n"/>
      <c r="E1185" s="8" t="n"/>
      <c r="F1185" s="5" t="n"/>
      <c r="G1185" s="5" t="n"/>
      <c r="H1185" s="5" t="n"/>
      <c r="I1185" s="5" t="n"/>
    </row>
    <row r="1186">
      <c r="A1186" s="5" t="n"/>
      <c r="B1186" s="5" t="n"/>
      <c r="C1186" s="5" t="n"/>
      <c r="D1186" s="5" t="n"/>
      <c r="E1186" s="8" t="n"/>
      <c r="F1186" s="5" t="n"/>
      <c r="G1186" s="5" t="n"/>
      <c r="H1186" s="5" t="n"/>
      <c r="I1186" s="5" t="n"/>
    </row>
    <row r="1187">
      <c r="A1187" s="5" t="n"/>
      <c r="B1187" s="5" t="n"/>
      <c r="C1187" s="5" t="n"/>
      <c r="D1187" s="5" t="n"/>
      <c r="E1187" s="8" t="n"/>
      <c r="F1187" s="5" t="n"/>
      <c r="G1187" s="5" t="n"/>
      <c r="H1187" s="5" t="n"/>
      <c r="I1187" s="5" t="n"/>
    </row>
    <row r="1188">
      <c r="A1188" s="5" t="n"/>
      <c r="B1188" s="5" t="n"/>
      <c r="C1188" s="5" t="n"/>
      <c r="D1188" s="5" t="n"/>
      <c r="E1188" s="8" t="n"/>
      <c r="F1188" s="5" t="n"/>
      <c r="G1188" s="5" t="n"/>
      <c r="H1188" s="5" t="n"/>
      <c r="I1188" s="5" t="n"/>
    </row>
    <row r="1189">
      <c r="A1189" s="5" t="n"/>
      <c r="B1189" s="5" t="n"/>
      <c r="C1189" s="5" t="n"/>
      <c r="D1189" s="5" t="n"/>
      <c r="E1189" s="8" t="n"/>
      <c r="F1189" s="5" t="n"/>
      <c r="G1189" s="5" t="n"/>
      <c r="H1189" s="5" t="n"/>
      <c r="I1189" s="5" t="n"/>
    </row>
    <row r="1190">
      <c r="A1190" s="5" t="n"/>
      <c r="B1190" s="5" t="n"/>
      <c r="C1190" s="5" t="n"/>
      <c r="D1190" s="5" t="n"/>
      <c r="E1190" s="8" t="n"/>
      <c r="F1190" s="5" t="n"/>
      <c r="G1190" s="5" t="n"/>
      <c r="H1190" s="5" t="n"/>
      <c r="I1190" s="5" t="n"/>
    </row>
    <row r="1191">
      <c r="A1191" s="5" t="n"/>
      <c r="B1191" s="5" t="n"/>
      <c r="C1191" s="5" t="n"/>
      <c r="D1191" s="5" t="n"/>
      <c r="E1191" s="8" t="n"/>
      <c r="F1191" s="5" t="n"/>
      <c r="G1191" s="5" t="n"/>
      <c r="H1191" s="5" t="n"/>
      <c r="I1191" s="5" t="n"/>
    </row>
    <row r="1192">
      <c r="A1192" s="5" t="n"/>
      <c r="B1192" s="5" t="n"/>
      <c r="C1192" s="5" t="n"/>
      <c r="D1192" s="5" t="n"/>
      <c r="E1192" s="8" t="n"/>
      <c r="F1192" s="5" t="n"/>
      <c r="G1192" s="5" t="n"/>
      <c r="H1192" s="5" t="n"/>
      <c r="I1192" s="5" t="n"/>
    </row>
    <row r="1193">
      <c r="A1193" s="5" t="n"/>
      <c r="B1193" s="5" t="n"/>
      <c r="C1193" s="5" t="n"/>
      <c r="D1193" s="5" t="n"/>
      <c r="E1193" s="8" t="n"/>
      <c r="F1193" s="5" t="n"/>
      <c r="G1193" s="5" t="n"/>
      <c r="H1193" s="5" t="n"/>
      <c r="I1193" s="5" t="n"/>
    </row>
    <row r="1194">
      <c r="A1194" s="5" t="n"/>
      <c r="B1194" s="5" t="n"/>
      <c r="C1194" s="5" t="n"/>
      <c r="D1194" s="5" t="n"/>
      <c r="E1194" s="8" t="n"/>
      <c r="F1194" s="5" t="n"/>
      <c r="G1194" s="5" t="n"/>
      <c r="H1194" s="5" t="n"/>
      <c r="I1194" s="5" t="n"/>
    </row>
    <row r="1195">
      <c r="A1195" s="5" t="n"/>
      <c r="B1195" s="5" t="n"/>
      <c r="C1195" s="5" t="n"/>
      <c r="D1195" s="5" t="n"/>
      <c r="E1195" s="8" t="n"/>
      <c r="F1195" s="5" t="n"/>
      <c r="G1195" s="5" t="n"/>
      <c r="H1195" s="5" t="n"/>
      <c r="I1195" s="5" t="n"/>
    </row>
    <row r="1196">
      <c r="A1196" s="5" t="n"/>
      <c r="B1196" s="5" t="n"/>
      <c r="C1196" s="5" t="n"/>
      <c r="D1196" s="5" t="n"/>
      <c r="E1196" s="8" t="n"/>
      <c r="F1196" s="5" t="n"/>
      <c r="G1196" s="5" t="n"/>
      <c r="H1196" s="5" t="n"/>
      <c r="I1196" s="5" t="n"/>
    </row>
    <row r="1197">
      <c r="A1197" s="5" t="n"/>
      <c r="B1197" s="5" t="n"/>
      <c r="C1197" s="5" t="n"/>
      <c r="D1197" s="5" t="n"/>
      <c r="E1197" s="8" t="n"/>
      <c r="F1197" s="5" t="n"/>
      <c r="G1197" s="5" t="n"/>
      <c r="H1197" s="5" t="n"/>
      <c r="I1197" s="5" t="n"/>
    </row>
    <row r="1198">
      <c r="A1198" s="5" t="n"/>
      <c r="B1198" s="5" t="n"/>
      <c r="C1198" s="5" t="n"/>
      <c r="D1198" s="5" t="n"/>
      <c r="E1198" s="8" t="n"/>
      <c r="F1198" s="5" t="n"/>
      <c r="G1198" s="5" t="n"/>
      <c r="H1198" s="5" t="n"/>
      <c r="I1198" s="5" t="n"/>
    </row>
    <row r="1199">
      <c r="A1199" s="5" t="n"/>
      <c r="B1199" s="5" t="n"/>
      <c r="C1199" s="5" t="n"/>
      <c r="D1199" s="5" t="n"/>
      <c r="E1199" s="8" t="n"/>
      <c r="F1199" s="5" t="n"/>
      <c r="G1199" s="5" t="n"/>
      <c r="H1199" s="5" t="n"/>
      <c r="I1199" s="5" t="n"/>
    </row>
    <row r="1200">
      <c r="A1200" s="5" t="n"/>
      <c r="B1200" s="5" t="n"/>
      <c r="C1200" s="5" t="n"/>
      <c r="D1200" s="5" t="n"/>
      <c r="E1200" s="8" t="n"/>
      <c r="F1200" s="5" t="n"/>
      <c r="G1200" s="5" t="n"/>
      <c r="H1200" s="5" t="n"/>
      <c r="I1200" s="5" t="n"/>
    </row>
    <row r="1201">
      <c r="A1201" s="5" t="n"/>
      <c r="B1201" s="5" t="n"/>
      <c r="C1201" s="5" t="n"/>
      <c r="D1201" s="5" t="n"/>
      <c r="E1201" s="8" t="n"/>
      <c r="F1201" s="5" t="n"/>
      <c r="G1201" s="5" t="n"/>
      <c r="H1201" s="5" t="n"/>
      <c r="I1201" s="5" t="n"/>
    </row>
    <row r="1202">
      <c r="A1202" s="5" t="n"/>
      <c r="B1202" s="5" t="n"/>
      <c r="C1202" s="5" t="n"/>
      <c r="D1202" s="5" t="n"/>
      <c r="E1202" s="8" t="n"/>
      <c r="F1202" s="5" t="n"/>
      <c r="G1202" s="5" t="n"/>
      <c r="H1202" s="5" t="n"/>
      <c r="I1202" s="5" t="n"/>
    </row>
    <row r="1203">
      <c r="A1203" s="5" t="n"/>
      <c r="B1203" s="5" t="n"/>
      <c r="C1203" s="5" t="n"/>
      <c r="D1203" s="5" t="n"/>
      <c r="E1203" s="8" t="n"/>
      <c r="F1203" s="5" t="n"/>
      <c r="G1203" s="5" t="n"/>
      <c r="H1203" s="5" t="n"/>
      <c r="I1203" s="5" t="n"/>
    </row>
    <row r="1204">
      <c r="A1204" s="5" t="n"/>
      <c r="B1204" s="5" t="n"/>
      <c r="C1204" s="5" t="n"/>
      <c r="D1204" s="5" t="n"/>
      <c r="E1204" s="8" t="n"/>
      <c r="F1204" s="5" t="n"/>
      <c r="G1204" s="5" t="n"/>
      <c r="H1204" s="5" t="n"/>
      <c r="I1204" s="5" t="n"/>
    </row>
    <row r="1205">
      <c r="A1205" s="5" t="n"/>
      <c r="B1205" s="5" t="n"/>
      <c r="C1205" s="5" t="n"/>
      <c r="D1205" s="5" t="n"/>
      <c r="E1205" s="8" t="n"/>
      <c r="F1205" s="5" t="n"/>
      <c r="G1205" s="5" t="n"/>
      <c r="H1205" s="5" t="n"/>
      <c r="I1205" s="5" t="n"/>
    </row>
    <row r="1206">
      <c r="A1206" s="5" t="n"/>
      <c r="B1206" s="5" t="n"/>
      <c r="C1206" s="5" t="n"/>
      <c r="D1206" s="5" t="n"/>
      <c r="E1206" s="8" t="n"/>
      <c r="F1206" s="5" t="n"/>
      <c r="G1206" s="5" t="n"/>
      <c r="H1206" s="5" t="n"/>
      <c r="I1206" s="5" t="n"/>
    </row>
    <row r="1207">
      <c r="A1207" s="5" t="n"/>
      <c r="B1207" s="5" t="n"/>
      <c r="C1207" s="5" t="n"/>
      <c r="D1207" s="5" t="n"/>
      <c r="E1207" s="8" t="n"/>
      <c r="F1207" s="5" t="n"/>
      <c r="G1207" s="5" t="n"/>
      <c r="H1207" s="5" t="n"/>
      <c r="I1207" s="5" t="n"/>
    </row>
    <row r="1208">
      <c r="A1208" s="5" t="n"/>
      <c r="B1208" s="5" t="n"/>
      <c r="C1208" s="5" t="n"/>
      <c r="D1208" s="5" t="n"/>
      <c r="E1208" s="8" t="n"/>
      <c r="F1208" s="5" t="n"/>
      <c r="G1208" s="5" t="n"/>
      <c r="H1208" s="5" t="n"/>
      <c r="I1208" s="5" t="n"/>
    </row>
    <row r="1209">
      <c r="A1209" s="5" t="n"/>
      <c r="B1209" s="5" t="n"/>
      <c r="C1209" s="5" t="n"/>
      <c r="D1209" s="5" t="n"/>
      <c r="E1209" s="8" t="n"/>
      <c r="F1209" s="5" t="n"/>
      <c r="G1209" s="5" t="n"/>
      <c r="H1209" s="5" t="n"/>
      <c r="I1209" s="5" t="n"/>
    </row>
    <row r="1210">
      <c r="A1210" s="5" t="n"/>
      <c r="B1210" s="5" t="n"/>
      <c r="C1210" s="5" t="n"/>
      <c r="D1210" s="5" t="n"/>
      <c r="E1210" s="8" t="n"/>
      <c r="F1210" s="5" t="n"/>
      <c r="G1210" s="5" t="n"/>
      <c r="H1210" s="5" t="n"/>
      <c r="I1210" s="5" t="n"/>
    </row>
    <row r="1211">
      <c r="A1211" s="5" t="n"/>
      <c r="B1211" s="5" t="n"/>
      <c r="C1211" s="5" t="n"/>
      <c r="D1211" s="5" t="n"/>
      <c r="E1211" s="8" t="n"/>
      <c r="F1211" s="5" t="n"/>
      <c r="G1211" s="5" t="n"/>
      <c r="H1211" s="5" t="n"/>
      <c r="I1211" s="5" t="n"/>
    </row>
    <row r="1212">
      <c r="A1212" s="5" t="n"/>
      <c r="B1212" s="5" t="n"/>
      <c r="C1212" s="5" t="n"/>
      <c r="D1212" s="5" t="n"/>
      <c r="E1212" s="8" t="n"/>
      <c r="F1212" s="5" t="n"/>
      <c r="G1212" s="5" t="n"/>
      <c r="H1212" s="5" t="n"/>
      <c r="I1212" s="5" t="n"/>
    </row>
    <row r="1213">
      <c r="A1213" s="5" t="n"/>
      <c r="B1213" s="5" t="n"/>
      <c r="C1213" s="5" t="n"/>
      <c r="D1213" s="5" t="n"/>
      <c r="E1213" s="8" t="n"/>
      <c r="F1213" s="5" t="n"/>
      <c r="G1213" s="5" t="n"/>
      <c r="H1213" s="5" t="n"/>
      <c r="I1213" s="5" t="n"/>
    </row>
    <row r="1214">
      <c r="A1214" s="5" t="n"/>
      <c r="B1214" s="5" t="n"/>
      <c r="C1214" s="5" t="n"/>
      <c r="D1214" s="5" t="n"/>
      <c r="E1214" s="8" t="n"/>
      <c r="F1214" s="5" t="n"/>
      <c r="G1214" s="5" t="n"/>
      <c r="H1214" s="5" t="n"/>
      <c r="I1214" s="5" t="n"/>
    </row>
    <row r="1215">
      <c r="A1215" s="5" t="n"/>
      <c r="B1215" s="5" t="n"/>
      <c r="C1215" s="5" t="n"/>
      <c r="D1215" s="5" t="n"/>
      <c r="E1215" s="8" t="n"/>
      <c r="F1215" s="5" t="n"/>
      <c r="G1215" s="5" t="n"/>
      <c r="H1215" s="5" t="n"/>
      <c r="I1215" s="5" t="n"/>
    </row>
    <row r="1216">
      <c r="A1216" s="5" t="n"/>
      <c r="B1216" s="5" t="n"/>
      <c r="C1216" s="5" t="n"/>
      <c r="D1216" s="5" t="n"/>
      <c r="E1216" s="8" t="n"/>
      <c r="F1216" s="5" t="n"/>
      <c r="G1216" s="5" t="n"/>
      <c r="H1216" s="5" t="n"/>
      <c r="I1216" s="5" t="n"/>
    </row>
    <row r="1217">
      <c r="A1217" s="5" t="n"/>
      <c r="B1217" s="5" t="n"/>
      <c r="C1217" s="5" t="n"/>
      <c r="D1217" s="5" t="n"/>
      <c r="E1217" s="8" t="n"/>
      <c r="F1217" s="5" t="n"/>
      <c r="G1217" s="5" t="n"/>
      <c r="H1217" s="5" t="n"/>
      <c r="I1217" s="5" t="n"/>
    </row>
    <row r="1218">
      <c r="A1218" s="5" t="n"/>
      <c r="B1218" s="5" t="n"/>
      <c r="C1218" s="5" t="n"/>
      <c r="D1218" s="5" t="n"/>
      <c r="E1218" s="8" t="n"/>
      <c r="F1218" s="5" t="n"/>
      <c r="G1218" s="5" t="n"/>
      <c r="H1218" s="5" t="n"/>
      <c r="I1218" s="5" t="n"/>
    </row>
    <row r="1219">
      <c r="A1219" s="5" t="n"/>
      <c r="B1219" s="5" t="n"/>
      <c r="C1219" s="5" t="n"/>
      <c r="D1219" s="5" t="n"/>
      <c r="E1219" s="8" t="n"/>
      <c r="F1219" s="5" t="n"/>
      <c r="G1219" s="5" t="n"/>
      <c r="H1219" s="5" t="n"/>
      <c r="I1219" s="5" t="n"/>
    </row>
    <row r="1220">
      <c r="A1220" s="5" t="n"/>
      <c r="B1220" s="5" t="n"/>
      <c r="C1220" s="5" t="n"/>
      <c r="D1220" s="5" t="n"/>
      <c r="E1220" s="8" t="n"/>
      <c r="F1220" s="5" t="n"/>
      <c r="G1220" s="5" t="n"/>
      <c r="H1220" s="5" t="n"/>
      <c r="I1220" s="5" t="n"/>
    </row>
    <row r="1221">
      <c r="A1221" s="5" t="n"/>
      <c r="B1221" s="5" t="n"/>
      <c r="C1221" s="5" t="n"/>
      <c r="D1221" s="5" t="n"/>
      <c r="E1221" s="8" t="n"/>
      <c r="F1221" s="5" t="n"/>
      <c r="G1221" s="5" t="n"/>
      <c r="H1221" s="5" t="n"/>
      <c r="I1221" s="5" t="n"/>
    </row>
    <row r="1222">
      <c r="A1222" s="5" t="n"/>
      <c r="B1222" s="5" t="n"/>
      <c r="C1222" s="5" t="n"/>
      <c r="D1222" s="5" t="n"/>
      <c r="E1222" s="8" t="n"/>
      <c r="F1222" s="5" t="n"/>
      <c r="G1222" s="5" t="n"/>
      <c r="H1222" s="5" t="n"/>
      <c r="I1222" s="5" t="n"/>
    </row>
    <row r="1223">
      <c r="A1223" s="5" t="n"/>
      <c r="B1223" s="5" t="n"/>
      <c r="C1223" s="5" t="n"/>
      <c r="D1223" s="5" t="n"/>
      <c r="E1223" s="8" t="n"/>
      <c r="F1223" s="5" t="n"/>
      <c r="G1223" s="5" t="n"/>
      <c r="H1223" s="5" t="n"/>
      <c r="I1223" s="5" t="n"/>
    </row>
    <row r="1224">
      <c r="A1224" s="5" t="n"/>
      <c r="B1224" s="5" t="n"/>
      <c r="C1224" s="5" t="n"/>
      <c r="D1224" s="5" t="n"/>
      <c r="E1224" s="8" t="n"/>
      <c r="F1224" s="5" t="n"/>
      <c r="G1224" s="5" t="n"/>
      <c r="H1224" s="5" t="n"/>
      <c r="I1224" s="5" t="n"/>
    </row>
    <row r="1225">
      <c r="A1225" s="5" t="n"/>
      <c r="B1225" s="5" t="n"/>
      <c r="C1225" s="5" t="n"/>
      <c r="D1225" s="5" t="n"/>
      <c r="E1225" s="8" t="n"/>
      <c r="F1225" s="5" t="n"/>
      <c r="G1225" s="5" t="n"/>
      <c r="H1225" s="5" t="n"/>
      <c r="I1225" s="5" t="n"/>
    </row>
    <row r="1226">
      <c r="A1226" s="5" t="n"/>
      <c r="B1226" s="5" t="n"/>
      <c r="C1226" s="5" t="n"/>
      <c r="D1226" s="5" t="n"/>
      <c r="E1226" s="8" t="n"/>
      <c r="F1226" s="5" t="n"/>
      <c r="G1226" s="5" t="n"/>
      <c r="H1226" s="5" t="n"/>
      <c r="I1226" s="5" t="n"/>
    </row>
    <row r="1227">
      <c r="A1227" s="5" t="n"/>
      <c r="B1227" s="5" t="n"/>
      <c r="C1227" s="5" t="n"/>
      <c r="D1227" s="5" t="n"/>
      <c r="E1227" s="8" t="n"/>
      <c r="F1227" s="5" t="n"/>
      <c r="G1227" s="5" t="n"/>
      <c r="H1227" s="5" t="n"/>
      <c r="I1227" s="5" t="n"/>
    </row>
    <row r="1228">
      <c r="A1228" s="5" t="n"/>
      <c r="B1228" s="5" t="n"/>
      <c r="C1228" s="5" t="n"/>
      <c r="D1228" s="5" t="n"/>
      <c r="E1228" s="8" t="n"/>
      <c r="F1228" s="5" t="n"/>
      <c r="G1228" s="5" t="n"/>
      <c r="H1228" s="5" t="n"/>
      <c r="I1228" s="5" t="n"/>
    </row>
    <row r="1229">
      <c r="A1229" s="5" t="n"/>
      <c r="B1229" s="5" t="n"/>
      <c r="C1229" s="5" t="n"/>
      <c r="D1229" s="5" t="n"/>
      <c r="E1229" s="8" t="n"/>
      <c r="F1229" s="5" t="n"/>
      <c r="G1229" s="5" t="n"/>
      <c r="H1229" s="5" t="n"/>
      <c r="I1229" s="5" t="n"/>
    </row>
    <row r="1230">
      <c r="A1230" s="5" t="n"/>
      <c r="B1230" s="5" t="n"/>
      <c r="C1230" s="5" t="n"/>
      <c r="D1230" s="5" t="n"/>
      <c r="E1230" s="8" t="n"/>
      <c r="F1230" s="5" t="n"/>
      <c r="G1230" s="5" t="n"/>
      <c r="H1230" s="5" t="n"/>
      <c r="I1230" s="5" t="n"/>
    </row>
    <row r="1231">
      <c r="A1231" s="5" t="n"/>
      <c r="B1231" s="5" t="n"/>
      <c r="C1231" s="5" t="n"/>
      <c r="D1231" s="5" t="n"/>
      <c r="E1231" s="8" t="n"/>
      <c r="F1231" s="5" t="n"/>
      <c r="G1231" s="5" t="n"/>
      <c r="H1231" s="5" t="n"/>
      <c r="I1231" s="5" t="n"/>
    </row>
    <row r="1232">
      <c r="A1232" s="5" t="n"/>
      <c r="B1232" s="5" t="n"/>
      <c r="C1232" s="5" t="n"/>
      <c r="D1232" s="5" t="n"/>
      <c r="E1232" s="8" t="n"/>
      <c r="F1232" s="5" t="n"/>
      <c r="G1232" s="5" t="n"/>
      <c r="H1232" s="5" t="n"/>
      <c r="I1232" s="5" t="n"/>
    </row>
    <row r="1233">
      <c r="A1233" s="5" t="n"/>
      <c r="B1233" s="5" t="n"/>
      <c r="C1233" s="5" t="n"/>
      <c r="D1233" s="5" t="n"/>
      <c r="E1233" s="8" t="n"/>
      <c r="F1233" s="5" t="n"/>
      <c r="G1233" s="5" t="n"/>
      <c r="H1233" s="5" t="n"/>
      <c r="I1233" s="5" t="n"/>
    </row>
    <row r="1234">
      <c r="A1234" s="5" t="n"/>
      <c r="B1234" s="5" t="n"/>
      <c r="C1234" s="5" t="n"/>
      <c r="D1234" s="5" t="n"/>
      <c r="E1234" s="8" t="n"/>
      <c r="F1234" s="5" t="n"/>
      <c r="G1234" s="5" t="n"/>
      <c r="H1234" s="5" t="n"/>
      <c r="I1234" s="5" t="n"/>
    </row>
    <row r="1235">
      <c r="A1235" s="5" t="n"/>
      <c r="B1235" s="5" t="n"/>
      <c r="C1235" s="5" t="n"/>
      <c r="D1235" s="5" t="n"/>
      <c r="E1235" s="8" t="n"/>
      <c r="F1235" s="5" t="n"/>
      <c r="G1235" s="5" t="n"/>
      <c r="H1235" s="5" t="n"/>
      <c r="I1235" s="5" t="n"/>
    </row>
    <row r="1236">
      <c r="A1236" s="5" t="n"/>
      <c r="B1236" s="5" t="n"/>
      <c r="C1236" s="5" t="n"/>
      <c r="D1236" s="5" t="n"/>
      <c r="E1236" s="8" t="n"/>
      <c r="F1236" s="5" t="n"/>
      <c r="G1236" s="5" t="n"/>
      <c r="H1236" s="5" t="n"/>
      <c r="I1236" s="5" t="n"/>
    </row>
    <row r="1237">
      <c r="A1237" s="5" t="n"/>
      <c r="B1237" s="5" t="n"/>
      <c r="C1237" s="5" t="n"/>
      <c r="D1237" s="5" t="n"/>
      <c r="E1237" s="8" t="n"/>
      <c r="F1237" s="5" t="n"/>
      <c r="G1237" s="5" t="n"/>
      <c r="H1237" s="5" t="n"/>
      <c r="I1237" s="5" t="n"/>
    </row>
    <row r="1238">
      <c r="A1238" s="5" t="n"/>
      <c r="B1238" s="5" t="n"/>
      <c r="C1238" s="5" t="n"/>
      <c r="D1238" s="5" t="n"/>
      <c r="E1238" s="8" t="n"/>
      <c r="F1238" s="5" t="n"/>
      <c r="G1238" s="5" t="n"/>
      <c r="H1238" s="5" t="n"/>
      <c r="I1238" s="5" t="n"/>
    </row>
    <row r="1239">
      <c r="A1239" s="5" t="n"/>
      <c r="B1239" s="5" t="n"/>
      <c r="C1239" s="5" t="n"/>
      <c r="D1239" s="5" t="n"/>
      <c r="E1239" s="8" t="n"/>
      <c r="F1239" s="5" t="n"/>
      <c r="G1239" s="5" t="n"/>
      <c r="H1239" s="5" t="n"/>
      <c r="I1239" s="5" t="n"/>
    </row>
    <row r="1240">
      <c r="A1240" s="5" t="n"/>
      <c r="B1240" s="5" t="n"/>
      <c r="C1240" s="5" t="n"/>
      <c r="D1240" s="5" t="n"/>
      <c r="E1240" s="8" t="n"/>
      <c r="F1240" s="5" t="n"/>
      <c r="G1240" s="5" t="n"/>
      <c r="H1240" s="5" t="n"/>
      <c r="I1240" s="5" t="n"/>
    </row>
    <row r="1241">
      <c r="A1241" s="5" t="n"/>
      <c r="B1241" s="5" t="n"/>
      <c r="C1241" s="5" t="n"/>
      <c r="D1241" s="5" t="n"/>
      <c r="E1241" s="8" t="n"/>
      <c r="F1241" s="5" t="n"/>
      <c r="G1241" s="5" t="n"/>
      <c r="H1241" s="5" t="n"/>
      <c r="I1241" s="5" t="n"/>
    </row>
    <row r="1242">
      <c r="A1242" s="5" t="n"/>
      <c r="B1242" s="5" t="n"/>
      <c r="C1242" s="5" t="n"/>
      <c r="D1242" s="5" t="n"/>
      <c r="E1242" s="8" t="n"/>
      <c r="F1242" s="5" t="n"/>
      <c r="G1242" s="5" t="n"/>
      <c r="H1242" s="5" t="n"/>
      <c r="I1242" s="5" t="n"/>
    </row>
    <row r="1243">
      <c r="A1243" s="5" t="n"/>
      <c r="B1243" s="5" t="n"/>
      <c r="C1243" s="5" t="n"/>
      <c r="D1243" s="5" t="n"/>
      <c r="E1243" s="8" t="n"/>
      <c r="F1243" s="5" t="n"/>
      <c r="G1243" s="5" t="n"/>
      <c r="H1243" s="5" t="n"/>
      <c r="I1243" s="5" t="n"/>
    </row>
    <row r="1244">
      <c r="A1244" s="5" t="n"/>
      <c r="B1244" s="5" t="n"/>
      <c r="C1244" s="5" t="n"/>
      <c r="D1244" s="5" t="n"/>
      <c r="E1244" s="8" t="n"/>
      <c r="F1244" s="5" t="n"/>
      <c r="G1244" s="5" t="n"/>
      <c r="H1244" s="5" t="n"/>
      <c r="I1244" s="5" t="n"/>
    </row>
    <row r="1245">
      <c r="A1245" s="5" t="n"/>
      <c r="B1245" s="5" t="n"/>
      <c r="C1245" s="5" t="n"/>
      <c r="D1245" s="5" t="n"/>
      <c r="E1245" s="8" t="n"/>
      <c r="F1245" s="5" t="n"/>
      <c r="G1245" s="5" t="n"/>
      <c r="H1245" s="5" t="n"/>
      <c r="I1245" s="5" t="n"/>
    </row>
    <row r="1246">
      <c r="A1246" s="5" t="n"/>
      <c r="B1246" s="5" t="n"/>
      <c r="C1246" s="5" t="n"/>
      <c r="D1246" s="5" t="n"/>
      <c r="E1246" s="8" t="n"/>
      <c r="F1246" s="5" t="n"/>
      <c r="G1246" s="5" t="n"/>
      <c r="H1246" s="5" t="n"/>
      <c r="I1246" s="5" t="n"/>
    </row>
    <row r="1247">
      <c r="A1247" s="5" t="n"/>
      <c r="B1247" s="5" t="n"/>
      <c r="C1247" s="5" t="n"/>
      <c r="D1247" s="5" t="n"/>
      <c r="E1247" s="8" t="n"/>
      <c r="F1247" s="5" t="n"/>
      <c r="G1247" s="5" t="n"/>
      <c r="H1247" s="5" t="n"/>
      <c r="I1247" s="5" t="n"/>
    </row>
    <row r="1248">
      <c r="A1248" s="5" t="n"/>
      <c r="B1248" s="5" t="n"/>
      <c r="C1248" s="5" t="n"/>
      <c r="D1248" s="5" t="n"/>
      <c r="E1248" s="8" t="n"/>
      <c r="F1248" s="5" t="n"/>
      <c r="G1248" s="5" t="n"/>
      <c r="H1248" s="5" t="n"/>
      <c r="I1248" s="5" t="n"/>
    </row>
    <row r="1249">
      <c r="A1249" s="5" t="n"/>
      <c r="B1249" s="5" t="n"/>
      <c r="C1249" s="5" t="n"/>
      <c r="D1249" s="5" t="n"/>
      <c r="E1249" s="8" t="n"/>
      <c r="F1249" s="5" t="n"/>
      <c r="G1249" s="5" t="n"/>
      <c r="H1249" s="5" t="n"/>
      <c r="I1249" s="5" t="n"/>
    </row>
    <row r="1250">
      <c r="A1250" s="5" t="n"/>
      <c r="B1250" s="5" t="n"/>
      <c r="C1250" s="5" t="n"/>
      <c r="D1250" s="5" t="n"/>
      <c r="E1250" s="8" t="n"/>
      <c r="F1250" s="5" t="n"/>
      <c r="G1250" s="5" t="n"/>
      <c r="H1250" s="5" t="n"/>
      <c r="I1250" s="5" t="n"/>
    </row>
    <row r="1251">
      <c r="A1251" s="5" t="n"/>
      <c r="B1251" s="5" t="n"/>
      <c r="C1251" s="5" t="n"/>
      <c r="D1251" s="5" t="n"/>
      <c r="E1251" s="8" t="n"/>
      <c r="F1251" s="5" t="n"/>
      <c r="G1251" s="5" t="n"/>
      <c r="H1251" s="5" t="n"/>
      <c r="I1251" s="5" t="n"/>
    </row>
    <row r="1252">
      <c r="A1252" s="5" t="n"/>
      <c r="B1252" s="5" t="n"/>
      <c r="C1252" s="5" t="n"/>
      <c r="D1252" s="5" t="n"/>
      <c r="E1252" s="8" t="n"/>
      <c r="F1252" s="5" t="n"/>
      <c r="G1252" s="5" t="n"/>
      <c r="H1252" s="5" t="n"/>
      <c r="I1252" s="5" t="n"/>
    </row>
    <row r="1253">
      <c r="A1253" s="5" t="n"/>
      <c r="B1253" s="5" t="n"/>
      <c r="C1253" s="5" t="n"/>
      <c r="D1253" s="5" t="n"/>
      <c r="E1253" s="8" t="n"/>
      <c r="F1253" s="5" t="n"/>
      <c r="G1253" s="5" t="n"/>
      <c r="H1253" s="5" t="n"/>
      <c r="I1253" s="5" t="n"/>
    </row>
    <row r="1254">
      <c r="A1254" s="5" t="n"/>
      <c r="B1254" s="5" t="n"/>
      <c r="C1254" s="5" t="n"/>
      <c r="D1254" s="5" t="n"/>
      <c r="E1254" s="8" t="n"/>
      <c r="F1254" s="5" t="n"/>
      <c r="G1254" s="5" t="n"/>
      <c r="H1254" s="5" t="n"/>
      <c r="I1254" s="5" t="n"/>
    </row>
    <row r="1255">
      <c r="A1255" s="5" t="n"/>
      <c r="B1255" s="5" t="n"/>
      <c r="C1255" s="5" t="n"/>
      <c r="D1255" s="5" t="n"/>
      <c r="E1255" s="8" t="n"/>
      <c r="F1255" s="5" t="n"/>
      <c r="G1255" s="5" t="n"/>
      <c r="H1255" s="5" t="n"/>
      <c r="I1255" s="5" t="n"/>
    </row>
    <row r="1256">
      <c r="A1256" s="5" t="n"/>
      <c r="B1256" s="5" t="n"/>
      <c r="C1256" s="5" t="n"/>
      <c r="D1256" s="5" t="n"/>
      <c r="E1256" s="8" t="n"/>
      <c r="F1256" s="5" t="n"/>
      <c r="G1256" s="5" t="n"/>
      <c r="H1256" s="5" t="n"/>
      <c r="I1256" s="5" t="n"/>
    </row>
    <row r="1257">
      <c r="A1257" s="5" t="n"/>
      <c r="B1257" s="5" t="n"/>
      <c r="C1257" s="5" t="n"/>
      <c r="D1257" s="5" t="n"/>
      <c r="E1257" s="8" t="n"/>
      <c r="F1257" s="5" t="n"/>
      <c r="G1257" s="5" t="n"/>
      <c r="H1257" s="5" t="n"/>
      <c r="I1257" s="5" t="n"/>
    </row>
    <row r="1258">
      <c r="A1258" s="5" t="n"/>
      <c r="B1258" s="5" t="n"/>
      <c r="C1258" s="5" t="n"/>
      <c r="D1258" s="5" t="n"/>
      <c r="E1258" s="8" t="n"/>
      <c r="F1258" s="5" t="n"/>
      <c r="G1258" s="5" t="n"/>
      <c r="H1258" s="5" t="n"/>
      <c r="I1258" s="5" t="n"/>
    </row>
    <row r="1259">
      <c r="A1259" s="5" t="n"/>
      <c r="B1259" s="5" t="n"/>
      <c r="C1259" s="5" t="n"/>
      <c r="D1259" s="5" t="n"/>
      <c r="E1259" s="8" t="n"/>
      <c r="F1259" s="5" t="n"/>
      <c r="G1259" s="5" t="n"/>
      <c r="H1259" s="5" t="n"/>
      <c r="I1259" s="5" t="n"/>
    </row>
    <row r="1260">
      <c r="A1260" s="5" t="n"/>
      <c r="B1260" s="5" t="n"/>
      <c r="C1260" s="5" t="n"/>
      <c r="D1260" s="5" t="n"/>
      <c r="E1260" s="8" t="n"/>
      <c r="F1260" s="5" t="n"/>
      <c r="G1260" s="5" t="n"/>
      <c r="H1260" s="5" t="n"/>
      <c r="I1260" s="5" t="n"/>
    </row>
    <row r="1261">
      <c r="A1261" s="5" t="n"/>
      <c r="B1261" s="5" t="n"/>
      <c r="C1261" s="5" t="n"/>
      <c r="D1261" s="5" t="n"/>
      <c r="E1261" s="8" t="n"/>
      <c r="F1261" s="5" t="n"/>
      <c r="G1261" s="5" t="n"/>
      <c r="H1261" s="5" t="n"/>
      <c r="I1261" s="5" t="n"/>
    </row>
    <row r="1262">
      <c r="A1262" s="5" t="n"/>
      <c r="B1262" s="5" t="n"/>
      <c r="C1262" s="5" t="n"/>
      <c r="D1262" s="5" t="n"/>
      <c r="E1262" s="8" t="n"/>
      <c r="F1262" s="5" t="n"/>
      <c r="G1262" s="5" t="n"/>
      <c r="H1262" s="5" t="n"/>
      <c r="I1262" s="5" t="n"/>
    </row>
    <row r="1263">
      <c r="A1263" s="5" t="n"/>
      <c r="B1263" s="5" t="n"/>
      <c r="C1263" s="5" t="n"/>
      <c r="D1263" s="5" t="n"/>
      <c r="E1263" s="8" t="n"/>
      <c r="F1263" s="5" t="n"/>
      <c r="G1263" s="5" t="n"/>
      <c r="H1263" s="5" t="n"/>
      <c r="I1263" s="5" t="n"/>
    </row>
    <row r="1264">
      <c r="A1264" s="5" t="n"/>
      <c r="B1264" s="5" t="n"/>
      <c r="C1264" s="5" t="n"/>
      <c r="D1264" s="5" t="n"/>
      <c r="E1264" s="8" t="n"/>
      <c r="F1264" s="5" t="n"/>
      <c r="G1264" s="5" t="n"/>
      <c r="H1264" s="5" t="n"/>
      <c r="I1264" s="5" t="n"/>
    </row>
    <row r="1265">
      <c r="A1265" s="5" t="n"/>
      <c r="B1265" s="5" t="n"/>
      <c r="C1265" s="5" t="n"/>
      <c r="D1265" s="5" t="n"/>
      <c r="E1265" s="8" t="n"/>
      <c r="F1265" s="5" t="n"/>
      <c r="G1265" s="5" t="n"/>
      <c r="H1265" s="5" t="n"/>
      <c r="I1265" s="5" t="n"/>
    </row>
    <row r="1266">
      <c r="A1266" s="5" t="n"/>
      <c r="B1266" s="5" t="n"/>
      <c r="C1266" s="5" t="n"/>
      <c r="D1266" s="5" t="n"/>
      <c r="E1266" s="8" t="n"/>
      <c r="F1266" s="5" t="n"/>
      <c r="G1266" s="5" t="n"/>
      <c r="H1266" s="5" t="n"/>
      <c r="I1266" s="5" t="n"/>
    </row>
    <row r="1267">
      <c r="A1267" s="5" t="n"/>
      <c r="B1267" s="5" t="n"/>
      <c r="C1267" s="5" t="n"/>
      <c r="D1267" s="5" t="n"/>
      <c r="E1267" s="8" t="n"/>
      <c r="F1267" s="5" t="n"/>
      <c r="G1267" s="5" t="n"/>
      <c r="H1267" s="5" t="n"/>
      <c r="I1267" s="5" t="n"/>
    </row>
    <row r="1268">
      <c r="A1268" s="5" t="n"/>
      <c r="B1268" s="5" t="n"/>
      <c r="C1268" s="5" t="n"/>
      <c r="D1268" s="5" t="n"/>
      <c r="E1268" s="8" t="n"/>
      <c r="F1268" s="5" t="n"/>
      <c r="G1268" s="5" t="n"/>
      <c r="H1268" s="5" t="n"/>
      <c r="I1268" s="5" t="n"/>
    </row>
    <row r="1269">
      <c r="A1269" s="5" t="n"/>
      <c r="B1269" s="5" t="n"/>
      <c r="C1269" s="5" t="n"/>
      <c r="D1269" s="5" t="n"/>
      <c r="E1269" s="8" t="n"/>
      <c r="F1269" s="5" t="n"/>
      <c r="G1269" s="5" t="n"/>
      <c r="H1269" s="5" t="n"/>
      <c r="I1269" s="5" t="n"/>
    </row>
    <row r="1270">
      <c r="A1270" s="5" t="n"/>
      <c r="B1270" s="5" t="n"/>
      <c r="C1270" s="5" t="n"/>
      <c r="D1270" s="5" t="n"/>
      <c r="E1270" s="8" t="n"/>
      <c r="F1270" s="5" t="n"/>
      <c r="G1270" s="5" t="n"/>
      <c r="H1270" s="5" t="n"/>
      <c r="I1270" s="5" t="n"/>
    </row>
    <row r="1271">
      <c r="A1271" s="5" t="n"/>
      <c r="B1271" s="5" t="n"/>
      <c r="C1271" s="5" t="n"/>
      <c r="D1271" s="5" t="n"/>
      <c r="E1271" s="8" t="n"/>
      <c r="F1271" s="5" t="n"/>
      <c r="G1271" s="5" t="n"/>
      <c r="H1271" s="5" t="n"/>
      <c r="I1271" s="5" t="n"/>
    </row>
    <row r="1272">
      <c r="A1272" s="5" t="n"/>
      <c r="B1272" s="5" t="n"/>
      <c r="C1272" s="5" t="n"/>
      <c r="D1272" s="5" t="n"/>
      <c r="E1272" s="8" t="n"/>
      <c r="F1272" s="5" t="n"/>
      <c r="G1272" s="5" t="n"/>
      <c r="H1272" s="5" t="n"/>
      <c r="I1272" s="5" t="n"/>
    </row>
    <row r="1273">
      <c r="A1273" s="5" t="n"/>
      <c r="B1273" s="5" t="n"/>
      <c r="C1273" s="5" t="n"/>
      <c r="D1273" s="5" t="n"/>
      <c r="E1273" s="8" t="n"/>
      <c r="F1273" s="5" t="n"/>
      <c r="G1273" s="5" t="n"/>
      <c r="H1273" s="5" t="n"/>
      <c r="I1273" s="5" t="n"/>
    </row>
    <row r="1274">
      <c r="A1274" s="5" t="n"/>
      <c r="B1274" s="5" t="n"/>
      <c r="C1274" s="5" t="n"/>
      <c r="D1274" s="5" t="n"/>
      <c r="E1274" s="8" t="n"/>
      <c r="F1274" s="5" t="n"/>
      <c r="G1274" s="5" t="n"/>
      <c r="H1274" s="5" t="n"/>
      <c r="I1274" s="5" t="n"/>
    </row>
    <row r="1275">
      <c r="A1275" s="5" t="n"/>
      <c r="B1275" s="5" t="n"/>
      <c r="C1275" s="5" t="n"/>
      <c r="D1275" s="5" t="n"/>
      <c r="E1275" s="8" t="n"/>
      <c r="F1275" s="5" t="n"/>
      <c r="G1275" s="5" t="n"/>
      <c r="H1275" s="5" t="n"/>
      <c r="I1275" s="5" t="n"/>
    </row>
    <row r="1276">
      <c r="A1276" s="5" t="n"/>
      <c r="B1276" s="5" t="n"/>
      <c r="C1276" s="5" t="n"/>
      <c r="D1276" s="5" t="n"/>
      <c r="E1276" s="8" t="n"/>
      <c r="F1276" s="5" t="n"/>
      <c r="G1276" s="5" t="n"/>
      <c r="H1276" s="5" t="n"/>
      <c r="I1276" s="5" t="n"/>
    </row>
    <row r="1277">
      <c r="A1277" s="5" t="n"/>
      <c r="B1277" s="5" t="n"/>
      <c r="C1277" s="5" t="n"/>
      <c r="D1277" s="5" t="n"/>
      <c r="E1277" s="8" t="n"/>
      <c r="F1277" s="5" t="n"/>
      <c r="G1277" s="5" t="n"/>
      <c r="H1277" s="5" t="n"/>
      <c r="I1277" s="5" t="n"/>
    </row>
    <row r="1278">
      <c r="A1278" s="5" t="n"/>
      <c r="B1278" s="5" t="n"/>
      <c r="C1278" s="5" t="n"/>
      <c r="D1278" s="5" t="n"/>
      <c r="E1278" s="8" t="n"/>
      <c r="F1278" s="5" t="n"/>
      <c r="G1278" s="5" t="n"/>
      <c r="H1278" s="5" t="n"/>
      <c r="I1278" s="5" t="n"/>
    </row>
    <row r="1279">
      <c r="A1279" s="5" t="n"/>
      <c r="B1279" s="5" t="n"/>
      <c r="C1279" s="5" t="n"/>
      <c r="D1279" s="5" t="n"/>
      <c r="E1279" s="8" t="n"/>
      <c r="F1279" s="5" t="n"/>
      <c r="G1279" s="5" t="n"/>
      <c r="H1279" s="5" t="n"/>
      <c r="I1279" s="5" t="n"/>
    </row>
    <row r="1280">
      <c r="A1280" s="5" t="n"/>
      <c r="B1280" s="5" t="n"/>
      <c r="C1280" s="5" t="n"/>
      <c r="D1280" s="5" t="n"/>
      <c r="E1280" s="8" t="n"/>
      <c r="F1280" s="5" t="n"/>
      <c r="G1280" s="5" t="n"/>
      <c r="H1280" s="5" t="n"/>
      <c r="I1280" s="5" t="n"/>
    </row>
    <row r="1281">
      <c r="A1281" s="5" t="n"/>
      <c r="B1281" s="5" t="n"/>
      <c r="C1281" s="5" t="n"/>
      <c r="D1281" s="5" t="n"/>
      <c r="E1281" s="8" t="n"/>
      <c r="F1281" s="5" t="n"/>
      <c r="G1281" s="5" t="n"/>
      <c r="H1281" s="5" t="n"/>
      <c r="I1281" s="5" t="n"/>
    </row>
    <row r="1282">
      <c r="A1282" s="5" t="n"/>
      <c r="B1282" s="5" t="n"/>
      <c r="C1282" s="5" t="n"/>
      <c r="D1282" s="5" t="n"/>
      <c r="E1282" s="8" t="n"/>
      <c r="F1282" s="5" t="n"/>
      <c r="G1282" s="5" t="n"/>
      <c r="H1282" s="5" t="n"/>
      <c r="I1282" s="5" t="n"/>
    </row>
    <row r="1283">
      <c r="A1283" s="5" t="n"/>
      <c r="B1283" s="5" t="n"/>
      <c r="C1283" s="5" t="n"/>
      <c r="D1283" s="5" t="n"/>
      <c r="E1283" s="8" t="n"/>
      <c r="F1283" s="5" t="n"/>
      <c r="G1283" s="5" t="n"/>
      <c r="H1283" s="5" t="n"/>
      <c r="I1283" s="5" t="n"/>
    </row>
    <row r="1284">
      <c r="A1284" s="5" t="n"/>
      <c r="B1284" s="5" t="n"/>
      <c r="C1284" s="5" t="n"/>
      <c r="D1284" s="5" t="n"/>
      <c r="E1284" s="8" t="n"/>
      <c r="F1284" s="5" t="n"/>
      <c r="G1284" s="5" t="n"/>
      <c r="H1284" s="5" t="n"/>
      <c r="I1284" s="5" t="n"/>
    </row>
    <row r="1285">
      <c r="A1285" s="5" t="n"/>
      <c r="B1285" s="5" t="n"/>
      <c r="C1285" s="5" t="n"/>
      <c r="D1285" s="5" t="n"/>
      <c r="E1285" s="8" t="n"/>
      <c r="F1285" s="5" t="n"/>
      <c r="G1285" s="5" t="n"/>
      <c r="H1285" s="5" t="n"/>
      <c r="I1285" s="5" t="n"/>
    </row>
    <row r="1286">
      <c r="A1286" s="5" t="n"/>
      <c r="B1286" s="5" t="n"/>
      <c r="C1286" s="5" t="n"/>
      <c r="D1286" s="5" t="n"/>
      <c r="E1286" s="8" t="n"/>
      <c r="F1286" s="5" t="n"/>
      <c r="G1286" s="5" t="n"/>
      <c r="H1286" s="5" t="n"/>
      <c r="I1286" s="5" t="n"/>
    </row>
    <row r="1287">
      <c r="A1287" s="5" t="n"/>
      <c r="B1287" s="5" t="n"/>
      <c r="C1287" s="5" t="n"/>
      <c r="D1287" s="5" t="n"/>
      <c r="E1287" s="8" t="n"/>
      <c r="F1287" s="5" t="n"/>
      <c r="G1287" s="5" t="n"/>
      <c r="H1287" s="5" t="n"/>
      <c r="I1287" s="5" t="n"/>
    </row>
    <row r="1288">
      <c r="A1288" s="5" t="n"/>
      <c r="B1288" s="5" t="n"/>
      <c r="C1288" s="5" t="n"/>
      <c r="D1288" s="5" t="n"/>
      <c r="E1288" s="8" t="n"/>
      <c r="F1288" s="5" t="n"/>
      <c r="G1288" s="5" t="n"/>
      <c r="H1288" s="5" t="n"/>
      <c r="I1288" s="5" t="n"/>
    </row>
    <row r="1289">
      <c r="A1289" s="5" t="n"/>
      <c r="B1289" s="5" t="n"/>
      <c r="C1289" s="5" t="n"/>
      <c r="D1289" s="5" t="n"/>
      <c r="E1289" s="8" t="n"/>
      <c r="F1289" s="5" t="n"/>
      <c r="G1289" s="5" t="n"/>
      <c r="H1289" s="5" t="n"/>
      <c r="I1289" s="5" t="n"/>
    </row>
    <row r="1290">
      <c r="A1290" s="5" t="n"/>
      <c r="B1290" s="5" t="n"/>
      <c r="C1290" s="5" t="n"/>
      <c r="D1290" s="5" t="n"/>
      <c r="E1290" s="8" t="n"/>
      <c r="F1290" s="5" t="n"/>
      <c r="G1290" s="5" t="n"/>
      <c r="H1290" s="5" t="n"/>
      <c r="I1290" s="5" t="n"/>
    </row>
    <row r="1291">
      <c r="A1291" s="5" t="n"/>
      <c r="B1291" s="5" t="n"/>
      <c r="C1291" s="5" t="n"/>
      <c r="D1291" s="5" t="n"/>
      <c r="E1291" s="8" t="n"/>
      <c r="F1291" s="5" t="n"/>
      <c r="G1291" s="5" t="n"/>
      <c r="H1291" s="5" t="n"/>
      <c r="I1291" s="5" t="n"/>
    </row>
    <row r="1292">
      <c r="A1292" s="5" t="n"/>
      <c r="B1292" s="5" t="n"/>
      <c r="C1292" s="5" t="n"/>
      <c r="D1292" s="5" t="n"/>
      <c r="E1292" s="8" t="n"/>
      <c r="F1292" s="5" t="n"/>
      <c r="G1292" s="5" t="n"/>
      <c r="H1292" s="5" t="n"/>
      <c r="I1292" s="5" t="n"/>
    </row>
    <row r="1293">
      <c r="A1293" s="5" t="n"/>
      <c r="B1293" s="5" t="n"/>
      <c r="C1293" s="5" t="n"/>
      <c r="D1293" s="5" t="n"/>
      <c r="E1293" s="8" t="n"/>
      <c r="F1293" s="5" t="n"/>
      <c r="G1293" s="5" t="n"/>
      <c r="H1293" s="5" t="n"/>
      <c r="I1293" s="5" t="n"/>
    </row>
    <row r="1294">
      <c r="A1294" s="5" t="n"/>
      <c r="B1294" s="5" t="n"/>
      <c r="C1294" s="5" t="n"/>
      <c r="D1294" s="5" t="n"/>
      <c r="E1294" s="8" t="n"/>
      <c r="F1294" s="5" t="n"/>
      <c r="G1294" s="5" t="n"/>
      <c r="H1294" s="5" t="n"/>
      <c r="I1294" s="5" t="n"/>
    </row>
    <row r="1295">
      <c r="A1295" s="5" t="n"/>
      <c r="B1295" s="5" t="n"/>
      <c r="C1295" s="5" t="n"/>
      <c r="D1295" s="5" t="n"/>
      <c r="E1295" s="8" t="n"/>
      <c r="F1295" s="5" t="n"/>
      <c r="G1295" s="5" t="n"/>
      <c r="H1295" s="5" t="n"/>
      <c r="I1295" s="5" t="n"/>
    </row>
    <row r="1296">
      <c r="A1296" s="5" t="n"/>
      <c r="B1296" s="5" t="n"/>
      <c r="C1296" s="5" t="n"/>
      <c r="D1296" s="5" t="n"/>
      <c r="E1296" s="8" t="n"/>
      <c r="F1296" s="5" t="n"/>
      <c r="G1296" s="5" t="n"/>
      <c r="H1296" s="5" t="n"/>
      <c r="I1296" s="5" t="n"/>
    </row>
    <row r="1297">
      <c r="A1297" s="5" t="n"/>
      <c r="B1297" s="5" t="n"/>
      <c r="C1297" s="5" t="n"/>
      <c r="D1297" s="5" t="n"/>
      <c r="E1297" s="8" t="n"/>
      <c r="F1297" s="5" t="n"/>
      <c r="G1297" s="5" t="n"/>
      <c r="H1297" s="5" t="n"/>
      <c r="I1297" s="5" t="n"/>
    </row>
    <row r="1298">
      <c r="A1298" s="5" t="n"/>
      <c r="B1298" s="5" t="n"/>
      <c r="C1298" s="5" t="n"/>
      <c r="D1298" s="5" t="n"/>
      <c r="E1298" s="8" t="n"/>
      <c r="F1298" s="5" t="n"/>
      <c r="G1298" s="5" t="n"/>
      <c r="H1298" s="5" t="n"/>
      <c r="I1298" s="5" t="n"/>
    </row>
    <row r="1299">
      <c r="A1299" s="5" t="n"/>
      <c r="B1299" s="5" t="n"/>
      <c r="C1299" s="5" t="n"/>
      <c r="D1299" s="5" t="n"/>
      <c r="E1299" s="8" t="n"/>
      <c r="F1299" s="5" t="n"/>
      <c r="G1299" s="5" t="n"/>
      <c r="H1299" s="5" t="n"/>
      <c r="I1299" s="5" t="n"/>
    </row>
    <row r="1300">
      <c r="A1300" s="5" t="n"/>
      <c r="B1300" s="5" t="n"/>
      <c r="C1300" s="5" t="n"/>
      <c r="D1300" s="5" t="n"/>
      <c r="E1300" s="8" t="n"/>
      <c r="F1300" s="5" t="n"/>
      <c r="G1300" s="5" t="n"/>
      <c r="H1300" s="5" t="n"/>
      <c r="I1300" s="5" t="n"/>
    </row>
    <row r="1301">
      <c r="A1301" s="5" t="n"/>
      <c r="B1301" s="5" t="n"/>
      <c r="C1301" s="5" t="n"/>
      <c r="D1301" s="5" t="n"/>
      <c r="E1301" s="8" t="n"/>
      <c r="F1301" s="5" t="n"/>
      <c r="G1301" s="5" t="n"/>
      <c r="H1301" s="5" t="n"/>
      <c r="I1301" s="5" t="n"/>
    </row>
    <row r="1302">
      <c r="A1302" s="5" t="n"/>
      <c r="B1302" s="5" t="n"/>
      <c r="C1302" s="5" t="n"/>
      <c r="D1302" s="5" t="n"/>
      <c r="E1302" s="8" t="n"/>
      <c r="F1302" s="5" t="n"/>
      <c r="G1302" s="5" t="n"/>
      <c r="H1302" s="5" t="n"/>
      <c r="I1302" s="5" t="n"/>
    </row>
    <row r="1303">
      <c r="A1303" s="5" t="n"/>
      <c r="B1303" s="5" t="n"/>
      <c r="C1303" s="5" t="n"/>
      <c r="D1303" s="5" t="n"/>
      <c r="E1303" s="8" t="n"/>
      <c r="F1303" s="5" t="n"/>
      <c r="G1303" s="5" t="n"/>
      <c r="H1303" s="5" t="n"/>
      <c r="I1303" s="5" t="n"/>
    </row>
    <row r="1304">
      <c r="A1304" s="5" t="n"/>
      <c r="B1304" s="5" t="n"/>
      <c r="C1304" s="5" t="n"/>
      <c r="D1304" s="5" t="n"/>
      <c r="E1304" s="8" t="n"/>
      <c r="F1304" s="5" t="n"/>
      <c r="G1304" s="5" t="n"/>
      <c r="H1304" s="5" t="n"/>
      <c r="I1304" s="5" t="n"/>
    </row>
    <row r="1305">
      <c r="A1305" s="5" t="n"/>
      <c r="B1305" s="5" t="n"/>
      <c r="C1305" s="5" t="n"/>
      <c r="D1305" s="5" t="n"/>
      <c r="E1305" s="8" t="n"/>
      <c r="F1305" s="5" t="n"/>
      <c r="G1305" s="5" t="n"/>
      <c r="H1305" s="5" t="n"/>
      <c r="I1305" s="5" t="n"/>
    </row>
    <row r="1306">
      <c r="A1306" s="5" t="n"/>
      <c r="B1306" s="5" t="n"/>
      <c r="C1306" s="5" t="n"/>
      <c r="D1306" s="5" t="n"/>
      <c r="E1306" s="8" t="n"/>
      <c r="F1306" s="5" t="n"/>
      <c r="G1306" s="5" t="n"/>
      <c r="H1306" s="5" t="n"/>
      <c r="I1306" s="5" t="n"/>
    </row>
    <row r="1307">
      <c r="A1307" s="5" t="n"/>
      <c r="B1307" s="5" t="n"/>
      <c r="C1307" s="5" t="n"/>
      <c r="D1307" s="5" t="n"/>
      <c r="E1307" s="8" t="n"/>
      <c r="F1307" s="5" t="n"/>
      <c r="G1307" s="5" t="n"/>
      <c r="H1307" s="5" t="n"/>
      <c r="I1307" s="5" t="n"/>
    </row>
    <row r="1308">
      <c r="A1308" s="5" t="n"/>
      <c r="B1308" s="5" t="n"/>
      <c r="C1308" s="5" t="n"/>
      <c r="D1308" s="5" t="n"/>
      <c r="E1308" s="8" t="n"/>
      <c r="F1308" s="5" t="n"/>
      <c r="G1308" s="5" t="n"/>
      <c r="H1308" s="5" t="n"/>
      <c r="I1308" s="5" t="n"/>
    </row>
    <row r="1309">
      <c r="A1309" s="5" t="n"/>
      <c r="B1309" s="5" t="n"/>
      <c r="C1309" s="5" t="n"/>
      <c r="D1309" s="5" t="n"/>
      <c r="E1309" s="8" t="n"/>
      <c r="F1309" s="5" t="n"/>
      <c r="G1309" s="5" t="n"/>
      <c r="H1309" s="5" t="n"/>
      <c r="I1309" s="5" t="n"/>
    </row>
    <row r="1310">
      <c r="A1310" s="5" t="n"/>
      <c r="B1310" s="5" t="n"/>
      <c r="C1310" s="5" t="n"/>
      <c r="D1310" s="5" t="n"/>
      <c r="E1310" s="8" t="n"/>
      <c r="F1310" s="5" t="n"/>
      <c r="G1310" s="5" t="n"/>
      <c r="H1310" s="5" t="n"/>
      <c r="I1310" s="5" t="n"/>
    </row>
    <row r="1311">
      <c r="A1311" s="5" t="n"/>
      <c r="B1311" s="5" t="n"/>
      <c r="C1311" s="5" t="n"/>
      <c r="D1311" s="5" t="n"/>
      <c r="E1311" s="8" t="n"/>
      <c r="F1311" s="5" t="n"/>
      <c r="G1311" s="5" t="n"/>
      <c r="H1311" s="5" t="n"/>
      <c r="I1311" s="5" t="n"/>
    </row>
    <row r="1312">
      <c r="A1312" s="5" t="n"/>
      <c r="B1312" s="5" t="n"/>
      <c r="C1312" s="5" t="n"/>
      <c r="D1312" s="5" t="n"/>
      <c r="E1312" s="8" t="n"/>
      <c r="F1312" s="5" t="n"/>
      <c r="G1312" s="5" t="n"/>
      <c r="H1312" s="5" t="n"/>
      <c r="I1312" s="5" t="n"/>
    </row>
    <row r="1313">
      <c r="A1313" s="5" t="n"/>
      <c r="B1313" s="5" t="n"/>
      <c r="C1313" s="5" t="n"/>
      <c r="D1313" s="5" t="n"/>
      <c r="E1313" s="8" t="n"/>
      <c r="F1313" s="5" t="n"/>
      <c r="G1313" s="5" t="n"/>
      <c r="H1313" s="5" t="n"/>
      <c r="I1313" s="5" t="n"/>
    </row>
    <row r="1314">
      <c r="A1314" s="5" t="n"/>
      <c r="B1314" s="5" t="n"/>
      <c r="C1314" s="5" t="n"/>
      <c r="D1314" s="5" t="n"/>
      <c r="E1314" s="8" t="n"/>
      <c r="F1314" s="5" t="n"/>
      <c r="G1314" s="5" t="n"/>
      <c r="H1314" s="5" t="n"/>
      <c r="I1314" s="5" t="n"/>
    </row>
    <row r="1315">
      <c r="A1315" s="5" t="n"/>
      <c r="B1315" s="5" t="n"/>
      <c r="C1315" s="5" t="n"/>
      <c r="D1315" s="5" t="n"/>
      <c r="E1315" s="8" t="n"/>
      <c r="F1315" s="5" t="n"/>
      <c r="G1315" s="5" t="n"/>
      <c r="H1315" s="5" t="n"/>
      <c r="I1315" s="5" t="n"/>
    </row>
    <row r="1316">
      <c r="A1316" s="5" t="n"/>
      <c r="B1316" s="5" t="n"/>
      <c r="C1316" s="5" t="n"/>
      <c r="D1316" s="5" t="n"/>
      <c r="E1316" s="8" t="n"/>
      <c r="F1316" s="5" t="n"/>
      <c r="G1316" s="5" t="n"/>
      <c r="H1316" s="5" t="n"/>
      <c r="I1316" s="5" t="n"/>
    </row>
    <row r="1317">
      <c r="A1317" s="5" t="n"/>
      <c r="B1317" s="5" t="n"/>
      <c r="C1317" s="5" t="n"/>
      <c r="D1317" s="5" t="n"/>
      <c r="E1317" s="8" t="n"/>
      <c r="F1317" s="5" t="n"/>
      <c r="G1317" s="5" t="n"/>
      <c r="H1317" s="5" t="n"/>
      <c r="I1317" s="5" t="n"/>
    </row>
    <row r="1318">
      <c r="A1318" s="5" t="n"/>
      <c r="B1318" s="5" t="n"/>
      <c r="C1318" s="5" t="n"/>
      <c r="D1318" s="5" t="n"/>
      <c r="E1318" s="8" t="n"/>
      <c r="F1318" s="5" t="n"/>
      <c r="G1318" s="5" t="n"/>
      <c r="H1318" s="5" t="n"/>
      <c r="I1318" s="5" t="n"/>
    </row>
    <row r="1319">
      <c r="A1319" s="5" t="n"/>
      <c r="B1319" s="5" t="n"/>
      <c r="C1319" s="5" t="n"/>
      <c r="D1319" s="5" t="n"/>
      <c r="E1319" s="8" t="n"/>
      <c r="F1319" s="5" t="n"/>
      <c r="G1319" s="5" t="n"/>
      <c r="H1319" s="5" t="n"/>
      <c r="I1319" s="5" t="n"/>
    </row>
    <row r="1320">
      <c r="A1320" s="5" t="n"/>
      <c r="B1320" s="5" t="n"/>
      <c r="C1320" s="5" t="n"/>
      <c r="D1320" s="5" t="n"/>
      <c r="E1320" s="8" t="n"/>
      <c r="F1320" s="5" t="n"/>
      <c r="G1320" s="5" t="n"/>
      <c r="H1320" s="5" t="n"/>
      <c r="I1320" s="5" t="n"/>
    </row>
    <row r="1321">
      <c r="A1321" s="5" t="n"/>
      <c r="B1321" s="5" t="n"/>
      <c r="C1321" s="5" t="n"/>
      <c r="D1321" s="5" t="n"/>
      <c r="E1321" s="8" t="n"/>
      <c r="F1321" s="5" t="n"/>
      <c r="G1321" s="5" t="n"/>
      <c r="H1321" s="5" t="n"/>
      <c r="I1321" s="5" t="n"/>
    </row>
    <row r="1322">
      <c r="A1322" s="5" t="n"/>
      <c r="B1322" s="5" t="n"/>
      <c r="C1322" s="5" t="n"/>
      <c r="D1322" s="5" t="n"/>
      <c r="E1322" s="8" t="n"/>
      <c r="F1322" s="5" t="n"/>
      <c r="G1322" s="5" t="n"/>
      <c r="H1322" s="5" t="n"/>
      <c r="I1322" s="5" t="n"/>
    </row>
    <row r="1323">
      <c r="A1323" s="5" t="n"/>
      <c r="B1323" s="5" t="n"/>
      <c r="C1323" s="5" t="n"/>
      <c r="D1323" s="5" t="n"/>
      <c r="E1323" s="8" t="n"/>
      <c r="F1323" s="5" t="n"/>
      <c r="G1323" s="5" t="n"/>
      <c r="H1323" s="5" t="n"/>
      <c r="I1323" s="5" t="n"/>
    </row>
    <row r="1324">
      <c r="A1324" s="5" t="n"/>
      <c r="B1324" s="5" t="n"/>
      <c r="C1324" s="5" t="n"/>
      <c r="D1324" s="5" t="n"/>
      <c r="E1324" s="8" t="n"/>
      <c r="F1324" s="5" t="n"/>
      <c r="G1324" s="5" t="n"/>
      <c r="H1324" s="5" t="n"/>
      <c r="I1324" s="5" t="n"/>
    </row>
    <row r="1325">
      <c r="A1325" s="5" t="n"/>
      <c r="B1325" s="5" t="n"/>
      <c r="C1325" s="5" t="n"/>
      <c r="D1325" s="5" t="n"/>
      <c r="E1325" s="8" t="n"/>
      <c r="F1325" s="5" t="n"/>
      <c r="G1325" s="5" t="n"/>
      <c r="H1325" s="5" t="n"/>
      <c r="I1325" s="5" t="n"/>
    </row>
    <row r="1326">
      <c r="A1326" s="5" t="n"/>
      <c r="B1326" s="5" t="n"/>
      <c r="C1326" s="5" t="n"/>
      <c r="D1326" s="5" t="n"/>
      <c r="E1326" s="8" t="n"/>
      <c r="F1326" s="5" t="n"/>
      <c r="G1326" s="5" t="n"/>
      <c r="H1326" s="5" t="n"/>
      <c r="I1326" s="5" t="n"/>
    </row>
    <row r="1327">
      <c r="A1327" s="5" t="n"/>
      <c r="B1327" s="5" t="n"/>
      <c r="C1327" s="5" t="n"/>
      <c r="D1327" s="5" t="n"/>
      <c r="E1327" s="8" t="n"/>
      <c r="F1327" s="5" t="n"/>
      <c r="G1327" s="5" t="n"/>
      <c r="H1327" s="5" t="n"/>
      <c r="I1327" s="5" t="n"/>
    </row>
    <row r="1328">
      <c r="A1328" s="5" t="n"/>
      <c r="B1328" s="5" t="n"/>
      <c r="C1328" s="5" t="n"/>
      <c r="D1328" s="5" t="n"/>
      <c r="E1328" s="8" t="n"/>
      <c r="F1328" s="5" t="n"/>
      <c r="G1328" s="5" t="n"/>
      <c r="H1328" s="5" t="n"/>
      <c r="I1328" s="5" t="n"/>
    </row>
    <row r="1329">
      <c r="A1329" s="5" t="n"/>
      <c r="B1329" s="5" t="n"/>
      <c r="C1329" s="5" t="n"/>
      <c r="D1329" s="5" t="n"/>
      <c r="E1329" s="8" t="n"/>
      <c r="F1329" s="5" t="n"/>
      <c r="G1329" s="5" t="n"/>
      <c r="H1329" s="5" t="n"/>
      <c r="I1329" s="5" t="n"/>
    </row>
    <row r="1330">
      <c r="A1330" s="5" t="n"/>
      <c r="B1330" s="5" t="n"/>
      <c r="C1330" s="5" t="n"/>
      <c r="D1330" s="5" t="n"/>
      <c r="E1330" s="8" t="n"/>
      <c r="F1330" s="5" t="n"/>
      <c r="G1330" s="5" t="n"/>
      <c r="H1330" s="5" t="n"/>
      <c r="I1330" s="5" t="n"/>
    </row>
    <row r="1331">
      <c r="A1331" s="5" t="n"/>
      <c r="B1331" s="5" t="n"/>
      <c r="C1331" s="5" t="n"/>
      <c r="D1331" s="5" t="n"/>
      <c r="E1331" s="8" t="n"/>
      <c r="F1331" s="5" t="n"/>
      <c r="G1331" s="5" t="n"/>
      <c r="H1331" s="5" t="n"/>
      <c r="I1331" s="5" t="n"/>
    </row>
    <row r="1332">
      <c r="A1332" s="5" t="n"/>
      <c r="B1332" s="5" t="n"/>
      <c r="C1332" s="5" t="n"/>
      <c r="D1332" s="5" t="n"/>
      <c r="E1332" s="8" t="n"/>
      <c r="F1332" s="5" t="n"/>
      <c r="G1332" s="5" t="n"/>
      <c r="H1332" s="5" t="n"/>
      <c r="I1332" s="5" t="n"/>
    </row>
    <row r="1333">
      <c r="A1333" s="5" t="n"/>
      <c r="B1333" s="5" t="n"/>
      <c r="C1333" s="5" t="n"/>
      <c r="D1333" s="5" t="n"/>
      <c r="E1333" s="8" t="n"/>
      <c r="F1333" s="5" t="n"/>
      <c r="G1333" s="5" t="n"/>
      <c r="H1333" s="5" t="n"/>
      <c r="I1333" s="5" t="n"/>
    </row>
    <row r="1334">
      <c r="A1334" s="5" t="n"/>
      <c r="B1334" s="5" t="n"/>
      <c r="C1334" s="5" t="n"/>
      <c r="D1334" s="5" t="n"/>
      <c r="E1334" s="8" t="n"/>
      <c r="F1334" s="5" t="n"/>
      <c r="G1334" s="5" t="n"/>
      <c r="H1334" s="5" t="n"/>
      <c r="I1334" s="5" t="n"/>
    </row>
    <row r="1335">
      <c r="A1335" s="5" t="n"/>
      <c r="B1335" s="5" t="n"/>
      <c r="C1335" s="5" t="n"/>
      <c r="D1335" s="5" t="n"/>
      <c r="E1335" s="8" t="n"/>
      <c r="F1335" s="5" t="n"/>
      <c r="G1335" s="5" t="n"/>
      <c r="H1335" s="5" t="n"/>
      <c r="I1335" s="5" t="n"/>
    </row>
    <row r="1336">
      <c r="A1336" s="5" t="n"/>
      <c r="B1336" s="5" t="n"/>
      <c r="C1336" s="5" t="n"/>
      <c r="D1336" s="5" t="n"/>
      <c r="E1336" s="8" t="n"/>
      <c r="F1336" s="5" t="n"/>
      <c r="G1336" s="5" t="n"/>
      <c r="H1336" s="5" t="n"/>
      <c r="I1336" s="5" t="n"/>
    </row>
    <row r="1337">
      <c r="A1337" s="5" t="n"/>
      <c r="B1337" s="5" t="n"/>
      <c r="C1337" s="5" t="n"/>
      <c r="D1337" s="5" t="n"/>
      <c r="E1337" s="8" t="n"/>
      <c r="F1337" s="5" t="n"/>
      <c r="G1337" s="5" t="n"/>
      <c r="H1337" s="5" t="n"/>
      <c r="I1337" s="5" t="n"/>
    </row>
    <row r="1338">
      <c r="A1338" s="5" t="n"/>
      <c r="B1338" s="5" t="n"/>
      <c r="C1338" s="5" t="n"/>
      <c r="D1338" s="5" t="n"/>
      <c r="E1338" s="8" t="n"/>
      <c r="F1338" s="5" t="n"/>
      <c r="G1338" s="5" t="n"/>
      <c r="H1338" s="5" t="n"/>
      <c r="I1338" s="5" t="n"/>
    </row>
    <row r="1339">
      <c r="A1339" s="5" t="n"/>
      <c r="B1339" s="5" t="n"/>
      <c r="C1339" s="5" t="n"/>
      <c r="D1339" s="5" t="n"/>
      <c r="E1339" s="8" t="n"/>
      <c r="F1339" s="5" t="n"/>
      <c r="G1339" s="5" t="n"/>
      <c r="H1339" s="5" t="n"/>
      <c r="I1339" s="5" t="n"/>
    </row>
    <row r="1340">
      <c r="A1340" s="5" t="n"/>
      <c r="B1340" s="5" t="n"/>
      <c r="C1340" s="5" t="n"/>
      <c r="D1340" s="5" t="n"/>
      <c r="E1340" s="8" t="n"/>
      <c r="F1340" s="5" t="n"/>
      <c r="G1340" s="5" t="n"/>
      <c r="H1340" s="5" t="n"/>
      <c r="I1340" s="5" t="n"/>
    </row>
    <row r="1341">
      <c r="A1341" s="5" t="n"/>
      <c r="B1341" s="5" t="n"/>
      <c r="C1341" s="5" t="n"/>
      <c r="D1341" s="5" t="n"/>
      <c r="E1341" s="8" t="n"/>
      <c r="F1341" s="5" t="n"/>
      <c r="G1341" s="5" t="n"/>
      <c r="H1341" s="5" t="n"/>
      <c r="I1341" s="5" t="n"/>
    </row>
    <row r="1342">
      <c r="A1342" s="5" t="n"/>
      <c r="B1342" s="5" t="n"/>
      <c r="C1342" s="5" t="n"/>
      <c r="D1342" s="5" t="n"/>
      <c r="E1342" s="8" t="n"/>
      <c r="F1342" s="5" t="n"/>
      <c r="G1342" s="5" t="n"/>
      <c r="H1342" s="5" t="n"/>
      <c r="I1342" s="5" t="n"/>
    </row>
    <row r="1343">
      <c r="A1343" s="5" t="n"/>
      <c r="B1343" s="5" t="n"/>
      <c r="C1343" s="5" t="n"/>
      <c r="D1343" s="5" t="n"/>
      <c r="E1343" s="8" t="n"/>
      <c r="F1343" s="5" t="n"/>
      <c r="G1343" s="5" t="n"/>
      <c r="H1343" s="5" t="n"/>
      <c r="I1343" s="5" t="n"/>
    </row>
    <row r="1344">
      <c r="A1344" s="5" t="n"/>
      <c r="B1344" s="5" t="n"/>
      <c r="C1344" s="5" t="n"/>
      <c r="D1344" s="5" t="n"/>
      <c r="E1344" s="8" t="n"/>
      <c r="F1344" s="5" t="n"/>
      <c r="G1344" s="5" t="n"/>
      <c r="H1344" s="5" t="n"/>
      <c r="I1344" s="5" t="n"/>
    </row>
    <row r="1345">
      <c r="A1345" s="5" t="n"/>
      <c r="B1345" s="5" t="n"/>
      <c r="C1345" s="5" t="n"/>
      <c r="D1345" s="5" t="n"/>
      <c r="E1345" s="8" t="n"/>
      <c r="F1345" s="5" t="n"/>
      <c r="G1345" s="5" t="n"/>
      <c r="H1345" s="5" t="n"/>
      <c r="I1345" s="5" t="n"/>
    </row>
    <row r="1346">
      <c r="A1346" s="5" t="n"/>
      <c r="B1346" s="5" t="n"/>
      <c r="C1346" s="5" t="n"/>
      <c r="D1346" s="5" t="n"/>
      <c r="E1346" s="8" t="n"/>
      <c r="F1346" s="5" t="n"/>
      <c r="G1346" s="5" t="n"/>
      <c r="H1346" s="5" t="n"/>
      <c r="I1346" s="5" t="n"/>
    </row>
    <row r="1347">
      <c r="A1347" s="5" t="n"/>
      <c r="B1347" s="5" t="n"/>
      <c r="C1347" s="5" t="n"/>
      <c r="D1347" s="5" t="n"/>
      <c r="E1347" s="8" t="n"/>
      <c r="F1347" s="5" t="n"/>
      <c r="G1347" s="5" t="n"/>
      <c r="H1347" s="5" t="n"/>
      <c r="I1347" s="5" t="n"/>
    </row>
    <row r="1348">
      <c r="A1348" s="5" t="n"/>
      <c r="B1348" s="5" t="n"/>
      <c r="C1348" s="5" t="n"/>
      <c r="D1348" s="5" t="n"/>
      <c r="E1348" s="8" t="n"/>
      <c r="F1348" s="5" t="n"/>
      <c r="G1348" s="5" t="n"/>
      <c r="H1348" s="5" t="n"/>
      <c r="I1348" s="5" t="n"/>
    </row>
    <row r="1349">
      <c r="A1349" s="5" t="n"/>
      <c r="B1349" s="5" t="n"/>
      <c r="C1349" s="5" t="n"/>
      <c r="D1349" s="5" t="n"/>
      <c r="E1349" s="8" t="n"/>
      <c r="F1349" s="5" t="n"/>
      <c r="G1349" s="5" t="n"/>
      <c r="H1349" s="5" t="n"/>
      <c r="I1349" s="5" t="n"/>
    </row>
    <row r="1350">
      <c r="A1350" s="5" t="n"/>
      <c r="B1350" s="5" t="n"/>
      <c r="C1350" s="5" t="n"/>
      <c r="D1350" s="5" t="n"/>
      <c r="E1350" s="8" t="n"/>
      <c r="F1350" s="5" t="n"/>
      <c r="G1350" s="5" t="n"/>
      <c r="H1350" s="5" t="n"/>
      <c r="I1350" s="5" t="n"/>
    </row>
    <row r="1351">
      <c r="A1351" s="5" t="n"/>
      <c r="B1351" s="5" t="n"/>
      <c r="C1351" s="5" t="n"/>
      <c r="D1351" s="5" t="n"/>
      <c r="E1351" s="8" t="n"/>
      <c r="F1351" s="5" t="n"/>
      <c r="G1351" s="5" t="n"/>
      <c r="H1351" s="5" t="n"/>
      <c r="I1351" s="5" t="n"/>
    </row>
    <row r="1352">
      <c r="A1352" s="5" t="n"/>
      <c r="B1352" s="5" t="n"/>
      <c r="C1352" s="5" t="n"/>
      <c r="D1352" s="5" t="n"/>
      <c r="E1352" s="8" t="n"/>
      <c r="F1352" s="5" t="n"/>
      <c r="G1352" s="5" t="n"/>
      <c r="H1352" s="5" t="n"/>
      <c r="I1352" s="5" t="n"/>
    </row>
    <row r="1353">
      <c r="A1353" s="5" t="n"/>
      <c r="B1353" s="5" t="n"/>
      <c r="C1353" s="5" t="n"/>
      <c r="D1353" s="5" t="n"/>
      <c r="E1353" s="8" t="n"/>
      <c r="F1353" s="5" t="n"/>
      <c r="G1353" s="5" t="n"/>
      <c r="H1353" s="5" t="n"/>
      <c r="I1353" s="5" t="n"/>
    </row>
    <row r="1354">
      <c r="A1354" s="5" t="n"/>
      <c r="B1354" s="5" t="n"/>
      <c r="C1354" s="5" t="n"/>
      <c r="D1354" s="5" t="n"/>
      <c r="E1354" s="8" t="n"/>
      <c r="F1354" s="5" t="n"/>
      <c r="G1354" s="5" t="n"/>
      <c r="H1354" s="5" t="n"/>
      <c r="I1354" s="5" t="n"/>
    </row>
    <row r="1355">
      <c r="A1355" s="5" t="n"/>
      <c r="B1355" s="5" t="n"/>
      <c r="C1355" s="5" t="n"/>
      <c r="D1355" s="5" t="n"/>
      <c r="E1355" s="8" t="n"/>
      <c r="F1355" s="5" t="n"/>
      <c r="G1355" s="5" t="n"/>
      <c r="H1355" s="5" t="n"/>
      <c r="I1355" s="5" t="n"/>
    </row>
    <row r="1356">
      <c r="A1356" s="5" t="n"/>
      <c r="B1356" s="5" t="n"/>
      <c r="C1356" s="5" t="n"/>
      <c r="D1356" s="5" t="n"/>
      <c r="E1356" s="8" t="n"/>
      <c r="F1356" s="5" t="n"/>
      <c r="G1356" s="5" t="n"/>
      <c r="H1356" s="5" t="n"/>
      <c r="I1356" s="5" t="n"/>
    </row>
    <row r="1357">
      <c r="A1357" s="5" t="n"/>
      <c r="B1357" s="5" t="n"/>
      <c r="C1357" s="5" t="n"/>
      <c r="D1357" s="5" t="n"/>
      <c r="E1357" s="8" t="n"/>
      <c r="F1357" s="5" t="n"/>
      <c r="G1357" s="5" t="n"/>
      <c r="H1357" s="5" t="n"/>
      <c r="I1357" s="5" t="n"/>
    </row>
    <row r="1358">
      <c r="A1358" s="5" t="n"/>
      <c r="B1358" s="5" t="n"/>
      <c r="C1358" s="5" t="n"/>
      <c r="D1358" s="5" t="n"/>
      <c r="E1358" s="8" t="n"/>
      <c r="F1358" s="5" t="n"/>
      <c r="G1358" s="5" t="n"/>
      <c r="H1358" s="5" t="n"/>
      <c r="I1358" s="5" t="n"/>
    </row>
    <row r="1359">
      <c r="A1359" s="5" t="n"/>
      <c r="B1359" s="5" t="n"/>
      <c r="C1359" s="5" t="n"/>
      <c r="D1359" s="5" t="n"/>
      <c r="E1359" s="8" t="n"/>
      <c r="F1359" s="5" t="n"/>
      <c r="G1359" s="5" t="n"/>
      <c r="H1359" s="5" t="n"/>
      <c r="I1359" s="5" t="n"/>
    </row>
    <row r="1360">
      <c r="A1360" s="5" t="n"/>
      <c r="B1360" s="5" t="n"/>
      <c r="C1360" s="5" t="n"/>
      <c r="D1360" s="5" t="n"/>
      <c r="E1360" s="8" t="n"/>
      <c r="F1360" s="5" t="n"/>
      <c r="G1360" s="5" t="n"/>
      <c r="H1360" s="5" t="n"/>
      <c r="I1360" s="5" t="n"/>
    </row>
    <row r="1361">
      <c r="A1361" s="5" t="n"/>
      <c r="B1361" s="5" t="n"/>
      <c r="C1361" s="5" t="n"/>
      <c r="D1361" s="5" t="n"/>
      <c r="E1361" s="8" t="n"/>
      <c r="F1361" s="5" t="n"/>
      <c r="G1361" s="5" t="n"/>
      <c r="H1361" s="5" t="n"/>
      <c r="I1361" s="5" t="n"/>
    </row>
    <row r="1362">
      <c r="A1362" s="5" t="n"/>
      <c r="B1362" s="5" t="n"/>
      <c r="C1362" s="5" t="n"/>
      <c r="D1362" s="5" t="n"/>
      <c r="E1362" s="8" t="n"/>
      <c r="F1362" s="5" t="n"/>
      <c r="G1362" s="5" t="n"/>
      <c r="H1362" s="5" t="n"/>
      <c r="I1362" s="5" t="n"/>
    </row>
    <row r="1363">
      <c r="A1363" s="5" t="n"/>
      <c r="B1363" s="5" t="n"/>
      <c r="C1363" s="5" t="n"/>
      <c r="D1363" s="5" t="n"/>
      <c r="E1363" s="8" t="n"/>
      <c r="F1363" s="5" t="n"/>
      <c r="G1363" s="5" t="n"/>
      <c r="H1363" s="5" t="n"/>
      <c r="I1363" s="5" t="n"/>
    </row>
    <row r="1364">
      <c r="A1364" s="5" t="n"/>
      <c r="B1364" s="5" t="n"/>
      <c r="C1364" s="5" t="n"/>
      <c r="D1364" s="5" t="n"/>
      <c r="E1364" s="8" t="n"/>
      <c r="F1364" s="5" t="n"/>
      <c r="G1364" s="5" t="n"/>
      <c r="H1364" s="5" t="n"/>
      <c r="I1364" s="5" t="n"/>
    </row>
    <row r="1365">
      <c r="A1365" s="5" t="n"/>
      <c r="B1365" s="5" t="n"/>
      <c r="C1365" s="5" t="n"/>
      <c r="D1365" s="5" t="n"/>
      <c r="E1365" s="8" t="n"/>
      <c r="F1365" s="5" t="n"/>
      <c r="G1365" s="5" t="n"/>
      <c r="H1365" s="5" t="n"/>
      <c r="I1365" s="5" t="n"/>
    </row>
    <row r="1366">
      <c r="A1366" s="5" t="n"/>
      <c r="B1366" s="5" t="n"/>
      <c r="C1366" s="5" t="n"/>
      <c r="D1366" s="5" t="n"/>
      <c r="E1366" s="8" t="n"/>
      <c r="F1366" s="5" t="n"/>
      <c r="G1366" s="5" t="n"/>
      <c r="H1366" s="5" t="n"/>
      <c r="I1366" s="5" t="n"/>
    </row>
    <row r="1367">
      <c r="A1367" s="5" t="n"/>
      <c r="B1367" s="5" t="n"/>
      <c r="C1367" s="5" t="n"/>
      <c r="D1367" s="5" t="n"/>
      <c r="E1367" s="8" t="n"/>
      <c r="F1367" s="5" t="n"/>
      <c r="G1367" s="5" t="n"/>
      <c r="H1367" s="5" t="n"/>
      <c r="I1367" s="5" t="n"/>
    </row>
    <row r="1368">
      <c r="A1368" s="5" t="n"/>
      <c r="B1368" s="5" t="n"/>
      <c r="C1368" s="5" t="n"/>
      <c r="D1368" s="5" t="n"/>
      <c r="E1368" s="8" t="n"/>
      <c r="F1368" s="5" t="n"/>
      <c r="G1368" s="5" t="n"/>
      <c r="H1368" s="5" t="n"/>
      <c r="I1368" s="5" t="n"/>
    </row>
    <row r="1369">
      <c r="A1369" s="5" t="n"/>
      <c r="B1369" s="5" t="n"/>
      <c r="C1369" s="5" t="n"/>
      <c r="D1369" s="5" t="n"/>
      <c r="E1369" s="8" t="n"/>
      <c r="F1369" s="5" t="n"/>
      <c r="G1369" s="5" t="n"/>
      <c r="H1369" s="5" t="n"/>
      <c r="I1369" s="5" t="n"/>
    </row>
    <row r="1370">
      <c r="A1370" s="5" t="n"/>
      <c r="B1370" s="5" t="n"/>
      <c r="C1370" s="5" t="n"/>
      <c r="D1370" s="5" t="n"/>
      <c r="E1370" s="8" t="n"/>
      <c r="F1370" s="5" t="n"/>
      <c r="G1370" s="5" t="n"/>
      <c r="H1370" s="5" t="n"/>
      <c r="I1370" s="5" t="n"/>
    </row>
    <row r="1371">
      <c r="A1371" s="5" t="n"/>
      <c r="B1371" s="5" t="n"/>
      <c r="C1371" s="5" t="n"/>
      <c r="D1371" s="5" t="n"/>
      <c r="E1371" s="8" t="n"/>
      <c r="F1371" s="5" t="n"/>
      <c r="G1371" s="5" t="n"/>
      <c r="H1371" s="5" t="n"/>
      <c r="I1371" s="5" t="n"/>
    </row>
    <row r="1372">
      <c r="A1372" s="5" t="n"/>
      <c r="B1372" s="5" t="n"/>
      <c r="C1372" s="5" t="n"/>
      <c r="D1372" s="5" t="n"/>
      <c r="E1372" s="8" t="n"/>
      <c r="F1372" s="5" t="n"/>
      <c r="G1372" s="5" t="n"/>
      <c r="H1372" s="5" t="n"/>
      <c r="I1372" s="5" t="n"/>
    </row>
    <row r="1373">
      <c r="A1373" s="5" t="n"/>
      <c r="B1373" s="5" t="n"/>
      <c r="C1373" s="5" t="n"/>
      <c r="D1373" s="5" t="n"/>
      <c r="E1373" s="8" t="n"/>
      <c r="F1373" s="5" t="n"/>
      <c r="G1373" s="5" t="n"/>
      <c r="H1373" s="5" t="n"/>
      <c r="I1373" s="5" t="n"/>
    </row>
    <row r="1374">
      <c r="A1374" s="5" t="n"/>
      <c r="B1374" s="5" t="n"/>
      <c r="C1374" s="5" t="n"/>
      <c r="D1374" s="5" t="n"/>
      <c r="E1374" s="8" t="n"/>
      <c r="F1374" s="5" t="n"/>
      <c r="G1374" s="5" t="n"/>
      <c r="H1374" s="5" t="n"/>
      <c r="I1374" s="5" t="n"/>
    </row>
    <row r="1375">
      <c r="A1375" s="5" t="n"/>
      <c r="B1375" s="5" t="n"/>
      <c r="C1375" s="5" t="n"/>
      <c r="D1375" s="5" t="n"/>
      <c r="E1375" s="8" t="n"/>
      <c r="F1375" s="5" t="n"/>
      <c r="G1375" s="5" t="n"/>
      <c r="H1375" s="5" t="n"/>
      <c r="I1375" s="5" t="n"/>
    </row>
    <row r="1376">
      <c r="A1376" s="5" t="n"/>
      <c r="B1376" s="5" t="n"/>
      <c r="C1376" s="5" t="n"/>
      <c r="D1376" s="5" t="n"/>
      <c r="E1376" s="8" t="n"/>
      <c r="F1376" s="5" t="n"/>
      <c r="G1376" s="5" t="n"/>
      <c r="H1376" s="5" t="n"/>
      <c r="I1376" s="5" t="n"/>
    </row>
    <row r="1377">
      <c r="A1377" s="5" t="n"/>
      <c r="B1377" s="5" t="n"/>
      <c r="C1377" s="5" t="n"/>
      <c r="D1377" s="5" t="n"/>
      <c r="E1377" s="8" t="n"/>
      <c r="F1377" s="5" t="n"/>
      <c r="G1377" s="5" t="n"/>
      <c r="H1377" s="5" t="n"/>
      <c r="I1377" s="5" t="n"/>
    </row>
    <row r="1378">
      <c r="A1378" s="5" t="n"/>
      <c r="B1378" s="5" t="n"/>
      <c r="C1378" s="5" t="n"/>
      <c r="D1378" s="5" t="n"/>
      <c r="E1378" s="8" t="n"/>
      <c r="F1378" s="5" t="n"/>
      <c r="G1378" s="5" t="n"/>
      <c r="H1378" s="5" t="n"/>
      <c r="I1378" s="5" t="n"/>
    </row>
    <row r="1379">
      <c r="A1379" s="5" t="n"/>
      <c r="B1379" s="5" t="n"/>
      <c r="C1379" s="5" t="n"/>
      <c r="D1379" s="5" t="n"/>
      <c r="E1379" s="8" t="n"/>
      <c r="F1379" s="5" t="n"/>
      <c r="G1379" s="5" t="n"/>
      <c r="H1379" s="5" t="n"/>
      <c r="I1379" s="5" t="n"/>
    </row>
    <row r="1380">
      <c r="A1380" s="5" t="n"/>
      <c r="B1380" s="5" t="n"/>
      <c r="C1380" s="5" t="n"/>
      <c r="D1380" s="5" t="n"/>
      <c r="E1380" s="8" t="n"/>
      <c r="F1380" s="5" t="n"/>
      <c r="G1380" s="5" t="n"/>
      <c r="H1380" s="5" t="n"/>
      <c r="I1380" s="5" t="n"/>
    </row>
    <row r="1381">
      <c r="A1381" s="5" t="n"/>
      <c r="B1381" s="5" t="n"/>
      <c r="C1381" s="5" t="n"/>
      <c r="D1381" s="5" t="n"/>
      <c r="E1381" s="8" t="n"/>
      <c r="F1381" s="5" t="n"/>
      <c r="G1381" s="5" t="n"/>
      <c r="H1381" s="5" t="n"/>
      <c r="I1381" s="5" t="n"/>
    </row>
    <row r="1382">
      <c r="A1382" s="5" t="n"/>
      <c r="B1382" s="5" t="n"/>
      <c r="C1382" s="5" t="n"/>
      <c r="D1382" s="5" t="n"/>
      <c r="E1382" s="8" t="n"/>
      <c r="F1382" s="5" t="n"/>
      <c r="G1382" s="5" t="n"/>
      <c r="H1382" s="5" t="n"/>
      <c r="I1382" s="5" t="n"/>
    </row>
    <row r="1383">
      <c r="A1383" s="5" t="n"/>
      <c r="B1383" s="5" t="n"/>
      <c r="C1383" s="5" t="n"/>
      <c r="D1383" s="5" t="n"/>
      <c r="E1383" s="8" t="n"/>
      <c r="F1383" s="5" t="n"/>
      <c r="G1383" s="5" t="n"/>
      <c r="H1383" s="5" t="n"/>
      <c r="I1383" s="5" t="n"/>
    </row>
    <row r="1384">
      <c r="A1384" s="5" t="n"/>
      <c r="B1384" s="5" t="n"/>
      <c r="C1384" s="5" t="n"/>
      <c r="D1384" s="5" t="n"/>
      <c r="E1384" s="8" t="n"/>
      <c r="F1384" s="5" t="n"/>
      <c r="G1384" s="5" t="n"/>
      <c r="H1384" s="5" t="n"/>
      <c r="I1384" s="5" t="n"/>
    </row>
    <row r="1385">
      <c r="A1385" s="5" t="n"/>
      <c r="B1385" s="5" t="n"/>
      <c r="C1385" s="5" t="n"/>
      <c r="D1385" s="5" t="n"/>
      <c r="E1385" s="8" t="n"/>
      <c r="F1385" s="5" t="n"/>
      <c r="G1385" s="5" t="n"/>
      <c r="H1385" s="5" t="n"/>
      <c r="I1385" s="5" t="n"/>
    </row>
    <row r="1386">
      <c r="A1386" s="5" t="n"/>
      <c r="B1386" s="5" t="n"/>
      <c r="C1386" s="5" t="n"/>
      <c r="D1386" s="5" t="n"/>
      <c r="E1386" s="8" t="n"/>
      <c r="F1386" s="5" t="n"/>
      <c r="G1386" s="5" t="n"/>
      <c r="H1386" s="5" t="n"/>
      <c r="I1386" s="5" t="n"/>
    </row>
    <row r="1387">
      <c r="A1387" s="5" t="n"/>
      <c r="B1387" s="5" t="n"/>
      <c r="C1387" s="5" t="n"/>
      <c r="D1387" s="5" t="n"/>
      <c r="E1387" s="8" t="n"/>
      <c r="F1387" s="5" t="n"/>
      <c r="G1387" s="5" t="n"/>
      <c r="H1387" s="5" t="n"/>
      <c r="I1387" s="5" t="n"/>
    </row>
    <row r="1388">
      <c r="A1388" s="5" t="n"/>
      <c r="B1388" s="5" t="n"/>
      <c r="C1388" s="5" t="n"/>
      <c r="D1388" s="5" t="n"/>
      <c r="E1388" s="8" t="n"/>
      <c r="F1388" s="5" t="n"/>
      <c r="G1388" s="5" t="n"/>
      <c r="H1388" s="5" t="n"/>
      <c r="I1388" s="5" t="n"/>
    </row>
    <row r="1389">
      <c r="A1389" s="5" t="n"/>
      <c r="B1389" s="5" t="n"/>
      <c r="C1389" s="5" t="n"/>
      <c r="D1389" s="5" t="n"/>
      <c r="E1389" s="8" t="n"/>
      <c r="F1389" s="5" t="n"/>
      <c r="G1389" s="5" t="n"/>
      <c r="H1389" s="5" t="n"/>
      <c r="I1389" s="5" t="n"/>
    </row>
    <row r="1390">
      <c r="A1390" s="5" t="n"/>
      <c r="B1390" s="5" t="n"/>
      <c r="C1390" s="5" t="n"/>
      <c r="D1390" s="5" t="n"/>
      <c r="E1390" s="8" t="n"/>
      <c r="F1390" s="5" t="n"/>
      <c r="G1390" s="5" t="n"/>
      <c r="H1390" s="5" t="n"/>
      <c r="I1390" s="5" t="n"/>
    </row>
    <row r="1391">
      <c r="A1391" s="5" t="n"/>
      <c r="B1391" s="5" t="n"/>
      <c r="C1391" s="5" t="n"/>
      <c r="D1391" s="5" t="n"/>
      <c r="E1391" s="8" t="n"/>
      <c r="F1391" s="5" t="n"/>
      <c r="G1391" s="5" t="n"/>
      <c r="H1391" s="5" t="n"/>
      <c r="I1391" s="5" t="n"/>
    </row>
    <row r="1392">
      <c r="A1392" s="5" t="n"/>
      <c r="B1392" s="5" t="n"/>
      <c r="C1392" s="5" t="n"/>
      <c r="D1392" s="5" t="n"/>
      <c r="E1392" s="8" t="n"/>
      <c r="F1392" s="5" t="n"/>
      <c r="G1392" s="5" t="n"/>
      <c r="H1392" s="5" t="n"/>
      <c r="I1392" s="5" t="n"/>
    </row>
    <row r="1393">
      <c r="A1393" s="5" t="n"/>
      <c r="B1393" s="5" t="n"/>
      <c r="C1393" s="5" t="n"/>
      <c r="D1393" s="5" t="n"/>
      <c r="E1393" s="8" t="n"/>
      <c r="F1393" s="5" t="n"/>
      <c r="G1393" s="5" t="n"/>
      <c r="H1393" s="5" t="n"/>
      <c r="I1393" s="5" t="n"/>
    </row>
    <row r="1394">
      <c r="A1394" s="5" t="n"/>
      <c r="B1394" s="5" t="n"/>
      <c r="C1394" s="5" t="n"/>
      <c r="D1394" s="5" t="n"/>
      <c r="E1394" s="8" t="n"/>
      <c r="F1394" s="5" t="n"/>
      <c r="G1394" s="5" t="n"/>
      <c r="H1394" s="5" t="n"/>
      <c r="I1394" s="5" t="n"/>
    </row>
    <row r="1395">
      <c r="A1395" s="5" t="n"/>
      <c r="B1395" s="5" t="n"/>
      <c r="C1395" s="5" t="n"/>
      <c r="D1395" s="5" t="n"/>
      <c r="E1395" s="8" t="n"/>
      <c r="F1395" s="5" t="n"/>
      <c r="G1395" s="5" t="n"/>
      <c r="H1395" s="5" t="n"/>
      <c r="I1395" s="5" t="n"/>
    </row>
    <row r="1396">
      <c r="A1396" s="5" t="n"/>
      <c r="B1396" s="5" t="n"/>
      <c r="C1396" s="5" t="n"/>
      <c r="D1396" s="5" t="n"/>
      <c r="E1396" s="8" t="n"/>
      <c r="F1396" s="5" t="n"/>
      <c r="G1396" s="5" t="n"/>
      <c r="H1396" s="5" t="n"/>
      <c r="I1396" s="5" t="n"/>
    </row>
    <row r="1397">
      <c r="A1397" s="5" t="n"/>
      <c r="B1397" s="5" t="n"/>
      <c r="C1397" s="5" t="n"/>
      <c r="D1397" s="5" t="n"/>
      <c r="E1397" s="8" t="n"/>
      <c r="F1397" s="5" t="n"/>
      <c r="G1397" s="5" t="n"/>
      <c r="H1397" s="5" t="n"/>
      <c r="I1397" s="5" t="n"/>
    </row>
    <row r="1398">
      <c r="A1398" s="5" t="n"/>
      <c r="B1398" s="5" t="n"/>
      <c r="C1398" s="5" t="n"/>
      <c r="D1398" s="5" t="n"/>
      <c r="E1398" s="8" t="n"/>
      <c r="F1398" s="5" t="n"/>
      <c r="G1398" s="5" t="n"/>
      <c r="H1398" s="5" t="n"/>
      <c r="I1398" s="5" t="n"/>
    </row>
    <row r="1399">
      <c r="A1399" s="5" t="n"/>
      <c r="B1399" s="5" t="n"/>
      <c r="C1399" s="5" t="n"/>
      <c r="D1399" s="5" t="n"/>
      <c r="E1399" s="8" t="n"/>
      <c r="F1399" s="5" t="n"/>
      <c r="G1399" s="5" t="n"/>
      <c r="H1399" s="5" t="n"/>
      <c r="I1399" s="5" t="n"/>
    </row>
    <row r="1400">
      <c r="A1400" s="5" t="n"/>
      <c r="B1400" s="5" t="n"/>
      <c r="C1400" s="5" t="n"/>
      <c r="D1400" s="5" t="n"/>
      <c r="E1400" s="8" t="n"/>
      <c r="F1400" s="5" t="n"/>
      <c r="G1400" s="5" t="n"/>
      <c r="H1400" s="5" t="n"/>
      <c r="I1400" s="5" t="n"/>
    </row>
    <row r="1401">
      <c r="A1401" s="5" t="n"/>
      <c r="B1401" s="5" t="n"/>
      <c r="C1401" s="5" t="n"/>
      <c r="D1401" s="5" t="n"/>
      <c r="E1401" s="8" t="n"/>
      <c r="F1401" s="5" t="n"/>
      <c r="G1401" s="5" t="n"/>
      <c r="H1401" s="5" t="n"/>
      <c r="I1401" s="5" t="n"/>
    </row>
    <row r="1402">
      <c r="A1402" s="5" t="n"/>
      <c r="B1402" s="5" t="n"/>
      <c r="C1402" s="5" t="n"/>
      <c r="D1402" s="5" t="n"/>
      <c r="E1402" s="8" t="n"/>
      <c r="F1402" s="5" t="n"/>
      <c r="G1402" s="5" t="n"/>
      <c r="H1402" s="5" t="n"/>
      <c r="I1402" s="5" t="n"/>
    </row>
    <row r="1403">
      <c r="A1403" s="5" t="n"/>
      <c r="B1403" s="5" t="n"/>
      <c r="C1403" s="5" t="n"/>
      <c r="D1403" s="5" t="n"/>
      <c r="E1403" s="8" t="n"/>
      <c r="F1403" s="5" t="n"/>
      <c r="G1403" s="5" t="n"/>
      <c r="H1403" s="5" t="n"/>
      <c r="I1403" s="5" t="n"/>
    </row>
    <row r="1404">
      <c r="A1404" s="5" t="n"/>
      <c r="B1404" s="5" t="n"/>
      <c r="C1404" s="5" t="n"/>
      <c r="D1404" s="5" t="n"/>
      <c r="E1404" s="8" t="n"/>
      <c r="F1404" s="5" t="n"/>
      <c r="G1404" s="5" t="n"/>
      <c r="H1404" s="5" t="n"/>
      <c r="I1404" s="5" t="n"/>
    </row>
    <row r="1405">
      <c r="A1405" s="5" t="n"/>
      <c r="B1405" s="5" t="n"/>
      <c r="C1405" s="5" t="n"/>
      <c r="D1405" s="5" t="n"/>
      <c r="E1405" s="8" t="n"/>
      <c r="F1405" s="5" t="n"/>
      <c r="G1405" s="5" t="n"/>
      <c r="H1405" s="5" t="n"/>
      <c r="I1405" s="5" t="n"/>
    </row>
    <row r="1406">
      <c r="A1406" s="5" t="n"/>
      <c r="B1406" s="5" t="n"/>
      <c r="C1406" s="5" t="n"/>
      <c r="D1406" s="5" t="n"/>
      <c r="E1406" s="8" t="n"/>
      <c r="F1406" s="5" t="n"/>
      <c r="G1406" s="5" t="n"/>
      <c r="H1406" s="5" t="n"/>
      <c r="I1406" s="5" t="n"/>
    </row>
    <row r="1407">
      <c r="A1407" s="5" t="n"/>
      <c r="B1407" s="5" t="n"/>
      <c r="C1407" s="5" t="n"/>
      <c r="D1407" s="5" t="n"/>
      <c r="E1407" s="8" t="n"/>
      <c r="F1407" s="5" t="n"/>
      <c r="G1407" s="5" t="n"/>
      <c r="H1407" s="5" t="n"/>
      <c r="I1407" s="5" t="n"/>
    </row>
    <row r="1408">
      <c r="A1408" s="5" t="n"/>
      <c r="B1408" s="5" t="n"/>
      <c r="C1408" s="5" t="n"/>
      <c r="D1408" s="5" t="n"/>
      <c r="E1408" s="8" t="n"/>
      <c r="F1408" s="5" t="n"/>
      <c r="G1408" s="5" t="n"/>
      <c r="H1408" s="5" t="n"/>
      <c r="I1408" s="5" t="n"/>
    </row>
    <row r="1409">
      <c r="A1409" s="5" t="n"/>
      <c r="B1409" s="5" t="n"/>
      <c r="C1409" s="5" t="n"/>
      <c r="D1409" s="5" t="n"/>
      <c r="E1409" s="8" t="n"/>
      <c r="F1409" s="5" t="n"/>
      <c r="G1409" s="5" t="n"/>
      <c r="H1409" s="5" t="n"/>
      <c r="I1409" s="5" t="n"/>
    </row>
    <row r="1410">
      <c r="A1410" s="5" t="n"/>
      <c r="B1410" s="5" t="n"/>
      <c r="C1410" s="5" t="n"/>
      <c r="D1410" s="5" t="n"/>
      <c r="E1410" s="8" t="n"/>
      <c r="F1410" s="5" t="n"/>
      <c r="G1410" s="5" t="n"/>
      <c r="H1410" s="5" t="n"/>
      <c r="I1410" s="5" t="n"/>
    </row>
    <row r="1411">
      <c r="A1411" s="5" t="n"/>
      <c r="B1411" s="5" t="n"/>
      <c r="C1411" s="5" t="n"/>
      <c r="D1411" s="5" t="n"/>
      <c r="E1411" s="8" t="n"/>
      <c r="F1411" s="5" t="n"/>
      <c r="G1411" s="5" t="n"/>
      <c r="H1411" s="5" t="n"/>
      <c r="I1411" s="5" t="n"/>
    </row>
    <row r="1412">
      <c r="A1412" s="5" t="n"/>
      <c r="B1412" s="5" t="n"/>
      <c r="C1412" s="5" t="n"/>
      <c r="D1412" s="5" t="n"/>
      <c r="E1412" s="8" t="n"/>
      <c r="F1412" s="5" t="n"/>
      <c r="G1412" s="5" t="n"/>
      <c r="H1412" s="5" t="n"/>
      <c r="I1412" s="5" t="n"/>
    </row>
    <row r="1413">
      <c r="A1413" s="5" t="n"/>
      <c r="B1413" s="5" t="n"/>
      <c r="C1413" s="5" t="n"/>
      <c r="D1413" s="5" t="n"/>
      <c r="E1413" s="8" t="n"/>
      <c r="F1413" s="5" t="n"/>
      <c r="G1413" s="5" t="n"/>
      <c r="H1413" s="5" t="n"/>
      <c r="I1413" s="5" t="n"/>
    </row>
    <row r="1414">
      <c r="A1414" s="5" t="n"/>
      <c r="B1414" s="5" t="n"/>
      <c r="C1414" s="5" t="n"/>
      <c r="D1414" s="5" t="n"/>
      <c r="E1414" s="8" t="n"/>
      <c r="F1414" s="5" t="n"/>
      <c r="G1414" s="5" t="n"/>
      <c r="H1414" s="5" t="n"/>
      <c r="I1414" s="5" t="n"/>
    </row>
    <row r="1415">
      <c r="A1415" s="5" t="n"/>
      <c r="B1415" s="5" t="n"/>
      <c r="C1415" s="5" t="n"/>
      <c r="D1415" s="5" t="n"/>
      <c r="E1415" s="8" t="n"/>
      <c r="F1415" s="5" t="n"/>
      <c r="G1415" s="5" t="n"/>
      <c r="H1415" s="5" t="n"/>
      <c r="I1415" s="5" t="n"/>
    </row>
    <row r="1416">
      <c r="A1416" s="5" t="n"/>
      <c r="B1416" s="5" t="n"/>
      <c r="C1416" s="5" t="n"/>
      <c r="D1416" s="5" t="n"/>
      <c r="E1416" s="8" t="n"/>
      <c r="F1416" s="5" t="n"/>
      <c r="G1416" s="5" t="n"/>
      <c r="H1416" s="5" t="n"/>
      <c r="I1416" s="5" t="n"/>
    </row>
    <row r="1417">
      <c r="A1417" s="5" t="n"/>
      <c r="B1417" s="5" t="n"/>
      <c r="C1417" s="5" t="n"/>
      <c r="D1417" s="5" t="n"/>
      <c r="E1417" s="8" t="n"/>
      <c r="F1417" s="5" t="n"/>
      <c r="G1417" s="5" t="n"/>
      <c r="H1417" s="5" t="n"/>
      <c r="I1417" s="5" t="n"/>
    </row>
    <row r="1418">
      <c r="A1418" s="5" t="n"/>
      <c r="B1418" s="5" t="n"/>
      <c r="C1418" s="5" t="n"/>
      <c r="D1418" s="5" t="n"/>
      <c r="E1418" s="8" t="n"/>
      <c r="F1418" s="5" t="n"/>
      <c r="G1418" s="5" t="n"/>
      <c r="H1418" s="5" t="n"/>
      <c r="I1418" s="5" t="n"/>
    </row>
    <row r="1419">
      <c r="A1419" s="5" t="n"/>
      <c r="B1419" s="5" t="n"/>
      <c r="C1419" s="5" t="n"/>
      <c r="D1419" s="5" t="n"/>
      <c r="E1419" s="8" t="n"/>
      <c r="F1419" s="5" t="n"/>
      <c r="G1419" s="5" t="n"/>
      <c r="H1419" s="5" t="n"/>
      <c r="I1419" s="5" t="n"/>
    </row>
    <row r="1420">
      <c r="A1420" s="5" t="n"/>
      <c r="B1420" s="5" t="n"/>
      <c r="C1420" s="5" t="n"/>
      <c r="D1420" s="5" t="n"/>
      <c r="E1420" s="8" t="n"/>
      <c r="F1420" s="5" t="n"/>
      <c r="G1420" s="5" t="n"/>
      <c r="H1420" s="5" t="n"/>
      <c r="I1420" s="5" t="n"/>
    </row>
    <row r="1421">
      <c r="A1421" s="5" t="n"/>
      <c r="B1421" s="5" t="n"/>
      <c r="C1421" s="5" t="n"/>
      <c r="D1421" s="5" t="n"/>
      <c r="E1421" s="8" t="n"/>
      <c r="F1421" s="5" t="n"/>
      <c r="G1421" s="5" t="n"/>
      <c r="H1421" s="5" t="n"/>
      <c r="I1421" s="5" t="n"/>
    </row>
    <row r="1422">
      <c r="A1422" s="5" t="n"/>
      <c r="B1422" s="5" t="n"/>
      <c r="C1422" s="5" t="n"/>
      <c r="D1422" s="5" t="n"/>
      <c r="E1422" s="8" t="n"/>
      <c r="F1422" s="5" t="n"/>
      <c r="G1422" s="5" t="n"/>
      <c r="H1422" s="5" t="n"/>
      <c r="I1422" s="5" t="n"/>
    </row>
    <row r="1423">
      <c r="A1423" s="5" t="n"/>
      <c r="B1423" s="5" t="n"/>
      <c r="C1423" s="5" t="n"/>
      <c r="D1423" s="5" t="n"/>
      <c r="E1423" s="8" t="n"/>
      <c r="F1423" s="5" t="n"/>
      <c r="G1423" s="5" t="n"/>
      <c r="H1423" s="5" t="n"/>
      <c r="I1423" s="5" t="n"/>
    </row>
    <row r="1424">
      <c r="A1424" s="5" t="n"/>
      <c r="B1424" s="5" t="n"/>
      <c r="C1424" s="5" t="n"/>
      <c r="D1424" s="5" t="n"/>
      <c r="E1424" s="8" t="n"/>
      <c r="F1424" s="5" t="n"/>
      <c r="G1424" s="5" t="n"/>
      <c r="H1424" s="5" t="n"/>
      <c r="I1424" s="5" t="n"/>
    </row>
    <row r="1425">
      <c r="A1425" s="5" t="n"/>
      <c r="B1425" s="5" t="n"/>
      <c r="C1425" s="5" t="n"/>
      <c r="D1425" s="5" t="n"/>
      <c r="E1425" s="8" t="n"/>
      <c r="F1425" s="5" t="n"/>
      <c r="G1425" s="5" t="n"/>
      <c r="H1425" s="5" t="n"/>
      <c r="I1425" s="5" t="n"/>
    </row>
    <row r="1426">
      <c r="A1426" s="5" t="n"/>
      <c r="B1426" s="5" t="n"/>
      <c r="C1426" s="5" t="n"/>
      <c r="D1426" s="5" t="n"/>
      <c r="E1426" s="8" t="n"/>
      <c r="F1426" s="5" t="n"/>
      <c r="G1426" s="5" t="n"/>
      <c r="H1426" s="5" t="n"/>
      <c r="I1426" s="5" t="n"/>
    </row>
    <row r="1427">
      <c r="A1427" s="5" t="n"/>
      <c r="B1427" s="5" t="n"/>
      <c r="C1427" s="5" t="n"/>
      <c r="D1427" s="5" t="n"/>
      <c r="E1427" s="8" t="n"/>
      <c r="F1427" s="5" t="n"/>
      <c r="G1427" s="5" t="n"/>
      <c r="H1427" s="5" t="n"/>
      <c r="I1427" s="5" t="n"/>
    </row>
    <row r="1428">
      <c r="A1428" s="5" t="n"/>
      <c r="B1428" s="5" t="n"/>
      <c r="C1428" s="5" t="n"/>
      <c r="D1428" s="5" t="n"/>
      <c r="E1428" s="8" t="n"/>
      <c r="F1428" s="5" t="n"/>
      <c r="G1428" s="5" t="n"/>
      <c r="H1428" s="5" t="n"/>
      <c r="I1428" s="5" t="n"/>
    </row>
    <row r="1429">
      <c r="A1429" s="5" t="n"/>
      <c r="B1429" s="5" t="n"/>
      <c r="C1429" s="5" t="n"/>
      <c r="D1429" s="5" t="n"/>
      <c r="E1429" s="8" t="n"/>
      <c r="F1429" s="5" t="n"/>
      <c r="G1429" s="5" t="n"/>
      <c r="H1429" s="5" t="n"/>
      <c r="I1429" s="5" t="n"/>
    </row>
    <row r="1430">
      <c r="A1430" s="5" t="n"/>
      <c r="B1430" s="5" t="n"/>
      <c r="C1430" s="5" t="n"/>
      <c r="D1430" s="5" t="n"/>
      <c r="E1430" s="8" t="n"/>
      <c r="F1430" s="5" t="n"/>
      <c r="G1430" s="5" t="n"/>
      <c r="H1430" s="5" t="n"/>
      <c r="I1430" s="5" t="n"/>
    </row>
    <row r="1431">
      <c r="A1431" s="5" t="n"/>
      <c r="B1431" s="5" t="n"/>
      <c r="C1431" s="5" t="n"/>
      <c r="D1431" s="5" t="n"/>
      <c r="E1431" s="8" t="n"/>
      <c r="F1431" s="5" t="n"/>
      <c r="G1431" s="5" t="n"/>
      <c r="H1431" s="5" t="n"/>
      <c r="I1431" s="5" t="n"/>
    </row>
    <row r="1432">
      <c r="A1432" s="5" t="n"/>
      <c r="B1432" s="5" t="n"/>
      <c r="C1432" s="5" t="n"/>
      <c r="D1432" s="5" t="n"/>
      <c r="E1432" s="8" t="n"/>
      <c r="F1432" s="5" t="n"/>
      <c r="G1432" s="5" t="n"/>
      <c r="H1432" s="5" t="n"/>
      <c r="I1432" s="5" t="n"/>
    </row>
    <row r="1433">
      <c r="A1433" s="5" t="n"/>
      <c r="B1433" s="5" t="n"/>
      <c r="C1433" s="5" t="n"/>
      <c r="D1433" s="5" t="n"/>
      <c r="E1433" s="8" t="n"/>
      <c r="F1433" s="5" t="n"/>
      <c r="G1433" s="5" t="n"/>
      <c r="H1433" s="5" t="n"/>
      <c r="I1433" s="5" t="n"/>
    </row>
    <row r="1434">
      <c r="A1434" s="5" t="n"/>
      <c r="B1434" s="5" t="n"/>
      <c r="C1434" s="5" t="n"/>
      <c r="D1434" s="5" t="n"/>
      <c r="E1434" s="8" t="n"/>
      <c r="F1434" s="5" t="n"/>
      <c r="G1434" s="5" t="n"/>
      <c r="H1434" s="5" t="n"/>
      <c r="I1434" s="5" t="n"/>
    </row>
    <row r="1435">
      <c r="A1435" s="5" t="n"/>
      <c r="B1435" s="5" t="n"/>
      <c r="C1435" s="5" t="n"/>
      <c r="D1435" s="5" t="n"/>
      <c r="E1435" s="8" t="n"/>
      <c r="F1435" s="5" t="n"/>
      <c r="G1435" s="5" t="n"/>
      <c r="H1435" s="5" t="n"/>
      <c r="I1435" s="5" t="n"/>
    </row>
    <row r="1436">
      <c r="A1436" s="5" t="n"/>
      <c r="B1436" s="5" t="n"/>
      <c r="C1436" s="5" t="n"/>
      <c r="D1436" s="5" t="n"/>
      <c r="E1436" s="8" t="n"/>
      <c r="F1436" s="5" t="n"/>
      <c r="G1436" s="5" t="n"/>
      <c r="H1436" s="5" t="n"/>
      <c r="I1436" s="5" t="n"/>
    </row>
    <row r="1437">
      <c r="A1437" s="5" t="n"/>
      <c r="B1437" s="5" t="n"/>
      <c r="C1437" s="5" t="n"/>
      <c r="D1437" s="5" t="n"/>
      <c r="E1437" s="8" t="n"/>
      <c r="F1437" s="5" t="n"/>
      <c r="G1437" s="5" t="n"/>
      <c r="H1437" s="5" t="n"/>
      <c r="I1437" s="5" t="n"/>
    </row>
    <row r="1438">
      <c r="A1438" s="5" t="n"/>
      <c r="B1438" s="5" t="n"/>
      <c r="C1438" s="5" t="n"/>
      <c r="D1438" s="5" t="n"/>
      <c r="E1438" s="8" t="n"/>
      <c r="F1438" s="5" t="n"/>
      <c r="G1438" s="5" t="n"/>
      <c r="H1438" s="5" t="n"/>
      <c r="I1438" s="5" t="n"/>
    </row>
    <row r="1439">
      <c r="A1439" s="5" t="n"/>
      <c r="B1439" s="5" t="n"/>
      <c r="C1439" s="5" t="n"/>
      <c r="D1439" s="5" t="n"/>
      <c r="E1439" s="8" t="n"/>
      <c r="F1439" s="5" t="n"/>
      <c r="G1439" s="5" t="n"/>
      <c r="H1439" s="5" t="n"/>
      <c r="I1439" s="5" t="n"/>
    </row>
    <row r="1440">
      <c r="A1440" s="5" t="n"/>
      <c r="B1440" s="5" t="n"/>
      <c r="C1440" s="5" t="n"/>
      <c r="D1440" s="5" t="n"/>
      <c r="E1440" s="8" t="n"/>
      <c r="F1440" s="5" t="n"/>
      <c r="G1440" s="5" t="n"/>
      <c r="H1440" s="5" t="n"/>
      <c r="I1440" s="5" t="n"/>
    </row>
    <row r="1441">
      <c r="A1441" s="5" t="n"/>
      <c r="B1441" s="5" t="n"/>
      <c r="C1441" s="5" t="n"/>
      <c r="D1441" s="5" t="n"/>
      <c r="E1441" s="8" t="n"/>
      <c r="F1441" s="5" t="n"/>
      <c r="G1441" s="5" t="n"/>
      <c r="H1441" s="5" t="n"/>
      <c r="I1441" s="5" t="n"/>
    </row>
    <row r="1442">
      <c r="A1442" s="5" t="n"/>
      <c r="B1442" s="5" t="n"/>
      <c r="C1442" s="5" t="n"/>
      <c r="D1442" s="5" t="n"/>
      <c r="E1442" s="8" t="n"/>
      <c r="F1442" s="5" t="n"/>
      <c r="G1442" s="5" t="n"/>
      <c r="H1442" s="5" t="n"/>
      <c r="I1442" s="5" t="n"/>
    </row>
    <row r="1443">
      <c r="A1443" s="5" t="n"/>
      <c r="B1443" s="5" t="n"/>
      <c r="C1443" s="5" t="n"/>
      <c r="D1443" s="5" t="n"/>
      <c r="E1443" s="8" t="n"/>
      <c r="F1443" s="5" t="n"/>
      <c r="G1443" s="5" t="n"/>
      <c r="H1443" s="5" t="n"/>
      <c r="I1443" s="5" t="n"/>
    </row>
    <row r="1444">
      <c r="A1444" s="5" t="n"/>
      <c r="B1444" s="5" t="n"/>
      <c r="C1444" s="5" t="n"/>
      <c r="D1444" s="5" t="n"/>
      <c r="E1444" s="8" t="n"/>
      <c r="F1444" s="5" t="n"/>
      <c r="G1444" s="5" t="n"/>
      <c r="H1444" s="5" t="n"/>
      <c r="I1444" s="5" t="n"/>
    </row>
    <row r="1445">
      <c r="A1445" s="5" t="n"/>
      <c r="B1445" s="5" t="n"/>
      <c r="C1445" s="5" t="n"/>
      <c r="D1445" s="5" t="n"/>
      <c r="E1445" s="8" t="n"/>
      <c r="F1445" s="5" t="n"/>
      <c r="G1445" s="5" t="n"/>
      <c r="H1445" s="5" t="n"/>
      <c r="I1445" s="5" t="n"/>
    </row>
    <row r="1446">
      <c r="A1446" s="5" t="n"/>
      <c r="B1446" s="5" t="n"/>
      <c r="C1446" s="5" t="n"/>
      <c r="D1446" s="5" t="n"/>
      <c r="E1446" s="8" t="n"/>
      <c r="F1446" s="5" t="n"/>
      <c r="G1446" s="5" t="n"/>
      <c r="H1446" s="5" t="n"/>
      <c r="I1446" s="5" t="n"/>
    </row>
    <row r="1447">
      <c r="A1447" s="5" t="n"/>
      <c r="B1447" s="5" t="n"/>
      <c r="C1447" s="5" t="n"/>
      <c r="D1447" s="5" t="n"/>
      <c r="E1447" s="8" t="n"/>
      <c r="F1447" s="5" t="n"/>
      <c r="G1447" s="5" t="n"/>
      <c r="H1447" s="5" t="n"/>
      <c r="I1447" s="5" t="n"/>
    </row>
    <row r="1448">
      <c r="A1448" s="5" t="n"/>
      <c r="B1448" s="5" t="n"/>
      <c r="C1448" s="5" t="n"/>
      <c r="D1448" s="5" t="n"/>
      <c r="E1448" s="8" t="n"/>
      <c r="F1448" s="5" t="n"/>
      <c r="G1448" s="5" t="n"/>
      <c r="H1448" s="5" t="n"/>
      <c r="I1448" s="5" t="n"/>
    </row>
    <row r="1449">
      <c r="A1449" s="5" t="n"/>
      <c r="B1449" s="5" t="n"/>
      <c r="C1449" s="5" t="n"/>
      <c r="D1449" s="5" t="n"/>
      <c r="E1449" s="8" t="n"/>
      <c r="F1449" s="5" t="n"/>
      <c r="G1449" s="5" t="n"/>
      <c r="H1449" s="5" t="n"/>
      <c r="I1449" s="5" t="n"/>
    </row>
    <row r="1450">
      <c r="A1450" s="5" t="n"/>
      <c r="B1450" s="5" t="n"/>
      <c r="C1450" s="5" t="n"/>
      <c r="D1450" s="5" t="n"/>
      <c r="E1450" s="8" t="n"/>
      <c r="F1450" s="5" t="n"/>
      <c r="G1450" s="5" t="n"/>
      <c r="H1450" s="5" t="n"/>
      <c r="I1450" s="5" t="n"/>
    </row>
    <row r="1451">
      <c r="A1451" s="5" t="n"/>
      <c r="B1451" s="5" t="n"/>
      <c r="C1451" s="5" t="n"/>
      <c r="D1451" s="5" t="n"/>
      <c r="E1451" s="8" t="n"/>
      <c r="F1451" s="5" t="n"/>
      <c r="G1451" s="5" t="n"/>
      <c r="H1451" s="5" t="n"/>
      <c r="I1451" s="5" t="n"/>
    </row>
    <row r="1452">
      <c r="A1452" s="5" t="n"/>
      <c r="B1452" s="5" t="n"/>
      <c r="C1452" s="5" t="n"/>
      <c r="D1452" s="5" t="n"/>
      <c r="E1452" s="8" t="n"/>
      <c r="F1452" s="5" t="n"/>
      <c r="G1452" s="5" t="n"/>
      <c r="H1452" s="5" t="n"/>
      <c r="I1452" s="5" t="n"/>
    </row>
    <row r="1453">
      <c r="A1453" s="5" t="n"/>
      <c r="B1453" s="5" t="n"/>
      <c r="C1453" s="5" t="n"/>
      <c r="D1453" s="5" t="n"/>
      <c r="E1453" s="8" t="n"/>
      <c r="F1453" s="5" t="n"/>
      <c r="G1453" s="5" t="n"/>
      <c r="H1453" s="5" t="n"/>
      <c r="I1453" s="5" t="n"/>
    </row>
    <row r="1454">
      <c r="A1454" s="5" t="n"/>
      <c r="B1454" s="5" t="n"/>
      <c r="C1454" s="5" t="n"/>
      <c r="D1454" s="5" t="n"/>
      <c r="E1454" s="8" t="n"/>
      <c r="F1454" s="5" t="n"/>
      <c r="G1454" s="5" t="n"/>
      <c r="H1454" s="5" t="n"/>
      <c r="I1454" s="5" t="n"/>
    </row>
    <row r="1455">
      <c r="A1455" s="5" t="n"/>
      <c r="B1455" s="5" t="n"/>
      <c r="C1455" s="5" t="n"/>
      <c r="D1455" s="5" t="n"/>
      <c r="E1455" s="8" t="n"/>
      <c r="F1455" s="5" t="n"/>
      <c r="G1455" s="5" t="n"/>
      <c r="H1455" s="5" t="n"/>
      <c r="I1455" s="5" t="n"/>
    </row>
    <row r="1456">
      <c r="A1456" s="5" t="n"/>
      <c r="B1456" s="5" t="n"/>
      <c r="C1456" s="5" t="n"/>
      <c r="D1456" s="5" t="n"/>
      <c r="E1456" s="8" t="n"/>
      <c r="F1456" s="5" t="n"/>
      <c r="G1456" s="5" t="n"/>
      <c r="H1456" s="5" t="n"/>
      <c r="I1456" s="5" t="n"/>
    </row>
    <row r="1457">
      <c r="A1457" s="5" t="n"/>
      <c r="B1457" s="5" t="n"/>
      <c r="C1457" s="5" t="n"/>
      <c r="D1457" s="5" t="n"/>
      <c r="E1457" s="8" t="n"/>
      <c r="F1457" s="5" t="n"/>
      <c r="G1457" s="5" t="n"/>
      <c r="H1457" s="5" t="n"/>
      <c r="I1457" s="5" t="n"/>
    </row>
    <row r="1458">
      <c r="A1458" s="5" t="n"/>
      <c r="B1458" s="5" t="n"/>
      <c r="C1458" s="5" t="n"/>
      <c r="D1458" s="5" t="n"/>
      <c r="E1458" s="8" t="n"/>
      <c r="F1458" s="5" t="n"/>
      <c r="G1458" s="5" t="n"/>
      <c r="H1458" s="5" t="n"/>
      <c r="I1458" s="5" t="n"/>
    </row>
    <row r="1459">
      <c r="A1459" s="5" t="n"/>
      <c r="B1459" s="5" t="n"/>
      <c r="C1459" s="5" t="n"/>
      <c r="D1459" s="5" t="n"/>
      <c r="E1459" s="8" t="n"/>
      <c r="F1459" s="5" t="n"/>
      <c r="G1459" s="5" t="n"/>
      <c r="H1459" s="5" t="n"/>
      <c r="I1459" s="5" t="n"/>
    </row>
    <row r="1460">
      <c r="A1460" s="5" t="n"/>
      <c r="B1460" s="5" t="n"/>
      <c r="C1460" s="5" t="n"/>
      <c r="D1460" s="5" t="n"/>
      <c r="E1460" s="8" t="n"/>
      <c r="F1460" s="5" t="n"/>
      <c r="G1460" s="5" t="n"/>
      <c r="H1460" s="5" t="n"/>
      <c r="I1460" s="5" t="n"/>
    </row>
    <row r="1461">
      <c r="A1461" s="5" t="n"/>
      <c r="B1461" s="5" t="n"/>
      <c r="C1461" s="5" t="n"/>
      <c r="D1461" s="5" t="n"/>
      <c r="E1461" s="8" t="n"/>
      <c r="F1461" s="5" t="n"/>
      <c r="G1461" s="5" t="n"/>
      <c r="H1461" s="5" t="n"/>
      <c r="I1461" s="5" t="n"/>
    </row>
    <row r="1462">
      <c r="A1462" s="5" t="n"/>
      <c r="B1462" s="5" t="n"/>
      <c r="C1462" s="5" t="n"/>
      <c r="D1462" s="5" t="n"/>
      <c r="E1462" s="8" t="n"/>
      <c r="F1462" s="5" t="n"/>
      <c r="G1462" s="5" t="n"/>
      <c r="H1462" s="5" t="n"/>
      <c r="I1462" s="5" t="n"/>
    </row>
    <row r="1463">
      <c r="A1463" s="5" t="n"/>
      <c r="B1463" s="5" t="n"/>
      <c r="C1463" s="5" t="n"/>
      <c r="D1463" s="5" t="n"/>
      <c r="E1463" s="8" t="n"/>
      <c r="F1463" s="5" t="n"/>
      <c r="G1463" s="5" t="n"/>
      <c r="H1463" s="5" t="n"/>
      <c r="I1463" s="5" t="n"/>
    </row>
    <row r="1464">
      <c r="A1464" s="5" t="n"/>
      <c r="B1464" s="5" t="n"/>
      <c r="C1464" s="5" t="n"/>
      <c r="D1464" s="5" t="n"/>
      <c r="E1464" s="8" t="n"/>
      <c r="F1464" s="5" t="n"/>
      <c r="G1464" s="5" t="n"/>
      <c r="H1464" s="5" t="n"/>
      <c r="I1464" s="5" t="n"/>
    </row>
    <row r="1465">
      <c r="A1465" s="5" t="n"/>
      <c r="B1465" s="5" t="n"/>
      <c r="C1465" s="5" t="n"/>
      <c r="D1465" s="5" t="n"/>
      <c r="E1465" s="8" t="n"/>
      <c r="F1465" s="5" t="n"/>
      <c r="G1465" s="5" t="n"/>
      <c r="H1465" s="5" t="n"/>
      <c r="I1465" s="5" t="n"/>
    </row>
    <row r="1466">
      <c r="A1466" s="5" t="n"/>
      <c r="B1466" s="5" t="n"/>
      <c r="C1466" s="5" t="n"/>
      <c r="D1466" s="5" t="n"/>
      <c r="E1466" s="8" t="n"/>
      <c r="F1466" s="5" t="n"/>
      <c r="G1466" s="5" t="n"/>
      <c r="H1466" s="5" t="n"/>
      <c r="I1466" s="5" t="n"/>
    </row>
    <row r="1467">
      <c r="A1467" s="5" t="n"/>
      <c r="B1467" s="5" t="n"/>
      <c r="C1467" s="5" t="n"/>
      <c r="D1467" s="5" t="n"/>
      <c r="E1467" s="8" t="n"/>
      <c r="F1467" s="5" t="n"/>
      <c r="G1467" s="5" t="n"/>
      <c r="H1467" s="5" t="n"/>
      <c r="I1467" s="5" t="n"/>
    </row>
    <row r="1468">
      <c r="A1468" s="5" t="n"/>
      <c r="B1468" s="5" t="n"/>
      <c r="C1468" s="5" t="n"/>
      <c r="D1468" s="5" t="n"/>
      <c r="E1468" s="8" t="n"/>
      <c r="F1468" s="5" t="n"/>
      <c r="G1468" s="5" t="n"/>
      <c r="H1468" s="5" t="n"/>
      <c r="I1468" s="5" t="n"/>
    </row>
    <row r="1469">
      <c r="A1469" s="5" t="n"/>
      <c r="B1469" s="5" t="n"/>
      <c r="C1469" s="5" t="n"/>
      <c r="D1469" s="5" t="n"/>
      <c r="E1469" s="8" t="n"/>
      <c r="F1469" s="5" t="n"/>
      <c r="G1469" s="5" t="n"/>
      <c r="H1469" s="5" t="n"/>
      <c r="I1469" s="5" t="n"/>
    </row>
    <row r="1470">
      <c r="A1470" s="5" t="n"/>
      <c r="B1470" s="5" t="n"/>
      <c r="C1470" s="5" t="n"/>
      <c r="D1470" s="5" t="n"/>
      <c r="E1470" s="8" t="n"/>
      <c r="F1470" s="5" t="n"/>
      <c r="G1470" s="5" t="n"/>
      <c r="H1470" s="5" t="n"/>
      <c r="I1470" s="5" t="n"/>
    </row>
    <row r="1471">
      <c r="A1471" s="5" t="n"/>
      <c r="B1471" s="5" t="n"/>
      <c r="C1471" s="5" t="n"/>
      <c r="D1471" s="5" t="n"/>
      <c r="E1471" s="8" t="n"/>
      <c r="F1471" s="5" t="n"/>
      <c r="G1471" s="5" t="n"/>
      <c r="H1471" s="5" t="n"/>
      <c r="I1471" s="5" t="n"/>
    </row>
    <row r="1472">
      <c r="A1472" s="5" t="n"/>
      <c r="B1472" s="5" t="n"/>
      <c r="C1472" s="5" t="n"/>
      <c r="D1472" s="5" t="n"/>
      <c r="E1472" s="8" t="n"/>
      <c r="F1472" s="5" t="n"/>
      <c r="G1472" s="5" t="n"/>
      <c r="H1472" s="5" t="n"/>
      <c r="I1472" s="5" t="n"/>
    </row>
    <row r="1473">
      <c r="A1473" s="5" t="n"/>
      <c r="B1473" s="5" t="n"/>
      <c r="C1473" s="5" t="n"/>
      <c r="D1473" s="5" t="n"/>
      <c r="E1473" s="8" t="n"/>
      <c r="F1473" s="5" t="n"/>
      <c r="G1473" s="5" t="n"/>
      <c r="H1473" s="5" t="n"/>
      <c r="I1473" s="5" t="n"/>
    </row>
    <row r="1474">
      <c r="A1474" s="5" t="n"/>
      <c r="B1474" s="5" t="n"/>
      <c r="C1474" s="5" t="n"/>
      <c r="D1474" s="5" t="n"/>
      <c r="E1474" s="8" t="n"/>
      <c r="F1474" s="5" t="n"/>
      <c r="G1474" s="5" t="n"/>
      <c r="H1474" s="5" t="n"/>
      <c r="I1474" s="5" t="n"/>
    </row>
    <row r="1475">
      <c r="A1475" s="5" t="n"/>
      <c r="B1475" s="5" t="n"/>
      <c r="C1475" s="5" t="n"/>
      <c r="D1475" s="5" t="n"/>
      <c r="E1475" s="8" t="n"/>
      <c r="F1475" s="5" t="n"/>
      <c r="G1475" s="5" t="n"/>
      <c r="H1475" s="5" t="n"/>
      <c r="I1475" s="5" t="n"/>
    </row>
    <row r="1476">
      <c r="A1476" s="5" t="n"/>
      <c r="B1476" s="5" t="n"/>
      <c r="C1476" s="5" t="n"/>
      <c r="D1476" s="5" t="n"/>
      <c r="E1476" s="8" t="n"/>
      <c r="F1476" s="5" t="n"/>
      <c r="G1476" s="5" t="n"/>
      <c r="H1476" s="5" t="n"/>
      <c r="I1476" s="5" t="n"/>
    </row>
    <row r="1477">
      <c r="A1477" s="5" t="n"/>
      <c r="B1477" s="5" t="n"/>
      <c r="C1477" s="5" t="n"/>
      <c r="D1477" s="5" t="n"/>
      <c r="E1477" s="8" t="n"/>
      <c r="F1477" s="5" t="n"/>
      <c r="G1477" s="5" t="n"/>
      <c r="H1477" s="5" t="n"/>
      <c r="I1477" s="5" t="n"/>
    </row>
    <row r="1478">
      <c r="A1478" s="5" t="n"/>
      <c r="B1478" s="5" t="n"/>
      <c r="C1478" s="5" t="n"/>
      <c r="D1478" s="5" t="n"/>
      <c r="E1478" s="8" t="n"/>
      <c r="F1478" s="5" t="n"/>
      <c r="G1478" s="5" t="n"/>
      <c r="H1478" s="5" t="n"/>
      <c r="I1478" s="5" t="n"/>
    </row>
    <row r="1479">
      <c r="A1479" s="5" t="n"/>
      <c r="B1479" s="5" t="n"/>
      <c r="C1479" s="5" t="n"/>
      <c r="D1479" s="5" t="n"/>
      <c r="E1479" s="8" t="n"/>
      <c r="F1479" s="5" t="n"/>
      <c r="G1479" s="5" t="n"/>
      <c r="H1479" s="5" t="n"/>
      <c r="I1479" s="5" t="n"/>
    </row>
    <row r="1480">
      <c r="A1480" s="5" t="n"/>
      <c r="B1480" s="5" t="n"/>
      <c r="C1480" s="5" t="n"/>
      <c r="D1480" s="5" t="n"/>
      <c r="E1480" s="8" t="n"/>
      <c r="F1480" s="5" t="n"/>
      <c r="G1480" s="5" t="n"/>
      <c r="H1480" s="5" t="n"/>
      <c r="I1480" s="5" t="n"/>
    </row>
    <row r="1481">
      <c r="A1481" s="5" t="n"/>
      <c r="B1481" s="5" t="n"/>
      <c r="C1481" s="5" t="n"/>
      <c r="D1481" s="5" t="n"/>
      <c r="E1481" s="8" t="n"/>
      <c r="F1481" s="5" t="n"/>
      <c r="G1481" s="5" t="n"/>
      <c r="H1481" s="5" t="n"/>
      <c r="I1481" s="5" t="n"/>
    </row>
    <row r="1482">
      <c r="A1482" s="5" t="n"/>
      <c r="B1482" s="5" t="n"/>
      <c r="C1482" s="5" t="n"/>
      <c r="D1482" s="5" t="n"/>
      <c r="E1482" s="8" t="n"/>
      <c r="F1482" s="5" t="n"/>
      <c r="G1482" s="5" t="n"/>
      <c r="H1482" s="5" t="n"/>
      <c r="I1482" s="5" t="n"/>
    </row>
    <row r="1483">
      <c r="A1483" s="5" t="n"/>
      <c r="B1483" s="5" t="n"/>
      <c r="C1483" s="5" t="n"/>
      <c r="D1483" s="5" t="n"/>
      <c r="E1483" s="8" t="n"/>
      <c r="F1483" s="5" t="n"/>
      <c r="G1483" s="5" t="n"/>
      <c r="H1483" s="5" t="n"/>
      <c r="I1483" s="5" t="n"/>
    </row>
    <row r="1484">
      <c r="A1484" s="5" t="n"/>
      <c r="B1484" s="5" t="n"/>
      <c r="C1484" s="5" t="n"/>
      <c r="D1484" s="5" t="n"/>
      <c r="E1484" s="8" t="n"/>
      <c r="F1484" s="5" t="n"/>
      <c r="G1484" s="5" t="n"/>
      <c r="H1484" s="5" t="n"/>
      <c r="I1484" s="5" t="n"/>
    </row>
    <row r="1485">
      <c r="A1485" s="5" t="n"/>
      <c r="B1485" s="5" t="n"/>
      <c r="C1485" s="5" t="n"/>
      <c r="D1485" s="5" t="n"/>
      <c r="E1485" s="8" t="n"/>
      <c r="F1485" s="5" t="n"/>
      <c r="G1485" s="5" t="n"/>
      <c r="H1485" s="5" t="n"/>
      <c r="I1485" s="5" t="n"/>
    </row>
    <row r="1486">
      <c r="A1486" s="5" t="n"/>
      <c r="B1486" s="5" t="n"/>
      <c r="C1486" s="5" t="n"/>
      <c r="D1486" s="5" t="n"/>
      <c r="E1486" s="8" t="n"/>
      <c r="F1486" s="5" t="n"/>
      <c r="G1486" s="5" t="n"/>
      <c r="H1486" s="5" t="n"/>
      <c r="I1486" s="5" t="n"/>
    </row>
    <row r="1487">
      <c r="A1487" s="5" t="n"/>
      <c r="B1487" s="5" t="n"/>
      <c r="C1487" s="5" t="n"/>
      <c r="D1487" s="5" t="n"/>
      <c r="E1487" s="8" t="n"/>
      <c r="F1487" s="5" t="n"/>
      <c r="G1487" s="5" t="n"/>
      <c r="H1487" s="5" t="n"/>
      <c r="I1487" s="5" t="n"/>
    </row>
    <row r="1488">
      <c r="A1488" s="5" t="n"/>
      <c r="B1488" s="5" t="n"/>
      <c r="C1488" s="5" t="n"/>
      <c r="D1488" s="5" t="n"/>
      <c r="E1488" s="8" t="n"/>
      <c r="F1488" s="5" t="n"/>
      <c r="G1488" s="5" t="n"/>
      <c r="H1488" s="5" t="n"/>
      <c r="I1488" s="5" t="n"/>
    </row>
    <row r="1489">
      <c r="A1489" s="5" t="n"/>
      <c r="B1489" s="5" t="n"/>
      <c r="C1489" s="5" t="n"/>
      <c r="D1489" s="5" t="n"/>
      <c r="E1489" s="8" t="n"/>
      <c r="F1489" s="5" t="n"/>
      <c r="G1489" s="5" t="n"/>
      <c r="H1489" s="5" t="n"/>
      <c r="I1489" s="5" t="n"/>
    </row>
    <row r="1490">
      <c r="A1490" s="5" t="n"/>
      <c r="B1490" s="5" t="n"/>
      <c r="C1490" s="5" t="n"/>
      <c r="D1490" s="5" t="n"/>
      <c r="E1490" s="8" t="n"/>
      <c r="F1490" s="5" t="n"/>
      <c r="G1490" s="5" t="n"/>
      <c r="H1490" s="5" t="n"/>
      <c r="I1490" s="5" t="n"/>
    </row>
    <row r="1491">
      <c r="A1491" s="5" t="n"/>
      <c r="B1491" s="5" t="n"/>
      <c r="C1491" s="5" t="n"/>
      <c r="D1491" s="5" t="n"/>
      <c r="E1491" s="8" t="n"/>
      <c r="F1491" s="5" t="n"/>
      <c r="G1491" s="5" t="n"/>
      <c r="H1491" s="5" t="n"/>
      <c r="I1491" s="5" t="n"/>
    </row>
    <row r="1492">
      <c r="A1492" s="5" t="n"/>
      <c r="B1492" s="5" t="n"/>
      <c r="C1492" s="5" t="n"/>
      <c r="D1492" s="5" t="n"/>
      <c r="E1492" s="8" t="n"/>
      <c r="F1492" s="5" t="n"/>
      <c r="G1492" s="5" t="n"/>
      <c r="H1492" s="5" t="n"/>
      <c r="I1492" s="5" t="n"/>
    </row>
    <row r="1493">
      <c r="A1493" s="5" t="n"/>
      <c r="B1493" s="5" t="n"/>
      <c r="C1493" s="5" t="n"/>
      <c r="D1493" s="5" t="n"/>
      <c r="E1493" s="8" t="n"/>
      <c r="F1493" s="5" t="n"/>
      <c r="G1493" s="5" t="n"/>
      <c r="H1493" s="5" t="n"/>
      <c r="I1493" s="5" t="n"/>
    </row>
    <row r="1494">
      <c r="A1494" s="5" t="n"/>
      <c r="B1494" s="5" t="n"/>
      <c r="C1494" s="5" t="n"/>
      <c r="D1494" s="5" t="n"/>
      <c r="E1494" s="8" t="n"/>
      <c r="F1494" s="5" t="n"/>
      <c r="G1494" s="5" t="n"/>
      <c r="H1494" s="5" t="n"/>
      <c r="I1494" s="5" t="n"/>
    </row>
    <row r="1495">
      <c r="A1495" s="5" t="n"/>
      <c r="B1495" s="5" t="n"/>
      <c r="C1495" s="5" t="n"/>
      <c r="D1495" s="5" t="n"/>
      <c r="E1495" s="8" t="n"/>
      <c r="F1495" s="5" t="n"/>
      <c r="G1495" s="5" t="n"/>
      <c r="H1495" s="5" t="n"/>
      <c r="I1495" s="5" t="n"/>
    </row>
    <row r="1496">
      <c r="A1496" s="5" t="n"/>
      <c r="B1496" s="5" t="n"/>
      <c r="C1496" s="5" t="n"/>
      <c r="D1496" s="5" t="n"/>
      <c r="E1496" s="8" t="n"/>
      <c r="F1496" s="5" t="n"/>
      <c r="G1496" s="5" t="n"/>
      <c r="H1496" s="5" t="n"/>
      <c r="I1496" s="5" t="n"/>
    </row>
    <row r="1497">
      <c r="A1497" s="5" t="n"/>
      <c r="B1497" s="5" t="n"/>
      <c r="C1497" s="5" t="n"/>
      <c r="D1497" s="5" t="n"/>
      <c r="E1497" s="8" t="n"/>
      <c r="F1497" s="5" t="n"/>
      <c r="G1497" s="5" t="n"/>
      <c r="H1497" s="5" t="n"/>
      <c r="I1497" s="5" t="n"/>
    </row>
    <row r="1498">
      <c r="A1498" s="5" t="n"/>
      <c r="B1498" s="5" t="n"/>
      <c r="C1498" s="5" t="n"/>
      <c r="D1498" s="5" t="n"/>
      <c r="E1498" s="8" t="n"/>
      <c r="F1498" s="5" t="n"/>
      <c r="G1498" s="5" t="n"/>
      <c r="H1498" s="5" t="n"/>
      <c r="I1498" s="5" t="n"/>
    </row>
    <row r="1499">
      <c r="A1499" s="5" t="n"/>
      <c r="B1499" s="5" t="n"/>
      <c r="C1499" s="5" t="n"/>
      <c r="D1499" s="5" t="n"/>
      <c r="E1499" s="8" t="n"/>
      <c r="F1499" s="5" t="n"/>
      <c r="G1499" s="5" t="n"/>
      <c r="H1499" s="5" t="n"/>
      <c r="I1499" s="5" t="n"/>
    </row>
    <row r="1500">
      <c r="A1500" s="5" t="n"/>
      <c r="B1500" s="5" t="n"/>
      <c r="C1500" s="5" t="n"/>
      <c r="D1500" s="5" t="n"/>
      <c r="E1500" s="8" t="n"/>
      <c r="F1500" s="5" t="n"/>
      <c r="G1500" s="5" t="n"/>
      <c r="H1500" s="5" t="n"/>
      <c r="I1500" s="5" t="n"/>
    </row>
    <row r="1501">
      <c r="A1501" s="5" t="n"/>
      <c r="B1501" s="5" t="n"/>
      <c r="C1501" s="5" t="n"/>
      <c r="D1501" s="5" t="n"/>
      <c r="E1501" s="8" t="n"/>
      <c r="F1501" s="5" t="n"/>
      <c r="G1501" s="5" t="n"/>
      <c r="H1501" s="5" t="n"/>
      <c r="I1501" s="5" t="n"/>
    </row>
    <row r="1502">
      <c r="A1502" s="5" t="n"/>
      <c r="B1502" s="5" t="n"/>
      <c r="C1502" s="5" t="n"/>
      <c r="D1502" s="5" t="n"/>
      <c r="E1502" s="8" t="n"/>
      <c r="F1502" s="5" t="n"/>
      <c r="G1502" s="5" t="n"/>
      <c r="H1502" s="5" t="n"/>
      <c r="I1502" s="5" t="n"/>
    </row>
    <row r="1503">
      <c r="A1503" s="5" t="n"/>
      <c r="B1503" s="5" t="n"/>
      <c r="C1503" s="5" t="n"/>
      <c r="D1503" s="5" t="n"/>
      <c r="E1503" s="8" t="n"/>
      <c r="F1503" s="5" t="n"/>
      <c r="G1503" s="5" t="n"/>
      <c r="H1503" s="5" t="n"/>
      <c r="I1503" s="5" t="n"/>
    </row>
    <row r="1504">
      <c r="A1504" s="5" t="n"/>
      <c r="B1504" s="5" t="n"/>
      <c r="C1504" s="5" t="n"/>
      <c r="D1504" s="5" t="n"/>
      <c r="E1504" s="8" t="n"/>
      <c r="F1504" s="5" t="n"/>
      <c r="G1504" s="5" t="n"/>
      <c r="H1504" s="5" t="n"/>
      <c r="I1504" s="5" t="n"/>
    </row>
    <row r="1505">
      <c r="A1505" s="5" t="n"/>
      <c r="B1505" s="5" t="n"/>
      <c r="C1505" s="5" t="n"/>
      <c r="D1505" s="5" t="n"/>
      <c r="E1505" s="8" t="n"/>
      <c r="F1505" s="5" t="n"/>
      <c r="G1505" s="5" t="n"/>
      <c r="H1505" s="5" t="n"/>
      <c r="I1505" s="5" t="n"/>
    </row>
    <row r="1506">
      <c r="A1506" s="5" t="n"/>
      <c r="B1506" s="5" t="n"/>
      <c r="C1506" s="5" t="n"/>
      <c r="D1506" s="5" t="n"/>
      <c r="E1506" s="8" t="n"/>
      <c r="F1506" s="5" t="n"/>
      <c r="G1506" s="5" t="n"/>
      <c r="H1506" s="5" t="n"/>
      <c r="I1506" s="5" t="n"/>
    </row>
    <row r="1507">
      <c r="A1507" s="5" t="n"/>
      <c r="B1507" s="5" t="n"/>
      <c r="C1507" s="5" t="n"/>
      <c r="D1507" s="5" t="n"/>
      <c r="E1507" s="8" t="n"/>
      <c r="F1507" s="5" t="n"/>
      <c r="G1507" s="5" t="n"/>
      <c r="H1507" s="5" t="n"/>
      <c r="I1507" s="5" t="n"/>
    </row>
    <row r="1508">
      <c r="A1508" s="5" t="n"/>
      <c r="B1508" s="5" t="n"/>
      <c r="C1508" s="5" t="n"/>
      <c r="D1508" s="5" t="n"/>
      <c r="E1508" s="8" t="n"/>
      <c r="F1508" s="5" t="n"/>
      <c r="G1508" s="5" t="n"/>
      <c r="H1508" s="5" t="n"/>
      <c r="I1508" s="5" t="n"/>
    </row>
    <row r="1509">
      <c r="A1509" s="5" t="n"/>
      <c r="B1509" s="5" t="n"/>
      <c r="C1509" s="5" t="n"/>
      <c r="D1509" s="5" t="n"/>
      <c r="E1509" s="8" t="n"/>
      <c r="F1509" s="5" t="n"/>
      <c r="G1509" s="5" t="n"/>
      <c r="H1509" s="5" t="n"/>
      <c r="I1509" s="5" t="n"/>
    </row>
    <row r="1510">
      <c r="A1510" s="5" t="n"/>
      <c r="B1510" s="5" t="n"/>
      <c r="C1510" s="5" t="n"/>
      <c r="D1510" s="5" t="n"/>
      <c r="E1510" s="8" t="n"/>
      <c r="F1510" s="5" t="n"/>
      <c r="G1510" s="5" t="n"/>
      <c r="H1510" s="5" t="n"/>
      <c r="I1510" s="5" t="n"/>
    </row>
    <row r="1511">
      <c r="A1511" s="5" t="n"/>
      <c r="B1511" s="5" t="n"/>
      <c r="C1511" s="5" t="n"/>
      <c r="D1511" s="5" t="n"/>
      <c r="E1511" s="8" t="n"/>
      <c r="F1511" s="5" t="n"/>
      <c r="G1511" s="5" t="n"/>
      <c r="H1511" s="5" t="n"/>
      <c r="I1511" s="5" t="n"/>
    </row>
    <row r="1512">
      <c r="A1512" s="5" t="n"/>
      <c r="B1512" s="5" t="n"/>
      <c r="C1512" s="5" t="n"/>
      <c r="D1512" s="5" t="n"/>
      <c r="E1512" s="8" t="n"/>
      <c r="F1512" s="5" t="n"/>
      <c r="G1512" s="5" t="n"/>
      <c r="H1512" s="5" t="n"/>
      <c r="I1512" s="5" t="n"/>
    </row>
    <row r="1513">
      <c r="A1513" s="5" t="n"/>
      <c r="B1513" s="5" t="n"/>
      <c r="C1513" s="5" t="n"/>
      <c r="D1513" s="5" t="n"/>
      <c r="E1513" s="8" t="n"/>
      <c r="F1513" s="5" t="n"/>
      <c r="G1513" s="5" t="n"/>
      <c r="H1513" s="5" t="n"/>
      <c r="I1513" s="5" t="n"/>
    </row>
    <row r="1514">
      <c r="A1514" s="5" t="n"/>
      <c r="B1514" s="5" t="n"/>
      <c r="C1514" s="5" t="n"/>
      <c r="D1514" s="5" t="n"/>
      <c r="E1514" s="8" t="n"/>
      <c r="F1514" s="5" t="n"/>
      <c r="G1514" s="5" t="n"/>
      <c r="H1514" s="5" t="n"/>
      <c r="I1514" s="5" t="n"/>
    </row>
    <row r="1515">
      <c r="A1515" s="5" t="n"/>
      <c r="B1515" s="5" t="n"/>
      <c r="C1515" s="5" t="n"/>
      <c r="D1515" s="5" t="n"/>
      <c r="E1515" s="8" t="n"/>
      <c r="F1515" s="5" t="n"/>
      <c r="G1515" s="5" t="n"/>
      <c r="H1515" s="5" t="n"/>
      <c r="I1515" s="5" t="n"/>
    </row>
    <row r="1516">
      <c r="A1516" s="5" t="n"/>
      <c r="B1516" s="5" t="n"/>
      <c r="C1516" s="5" t="n"/>
      <c r="D1516" s="5" t="n"/>
      <c r="E1516" s="8" t="n"/>
      <c r="F1516" s="5" t="n"/>
      <c r="G1516" s="5" t="n"/>
      <c r="H1516" s="5" t="n"/>
      <c r="I1516" s="5" t="n"/>
    </row>
    <row r="1517">
      <c r="A1517" s="5" t="n"/>
      <c r="B1517" s="5" t="n"/>
      <c r="C1517" s="5" t="n"/>
      <c r="D1517" s="5" t="n"/>
      <c r="E1517" s="8" t="n"/>
      <c r="F1517" s="5" t="n"/>
      <c r="G1517" s="5" t="n"/>
      <c r="H1517" s="5" t="n"/>
      <c r="I1517" s="5" t="n"/>
    </row>
    <row r="1518">
      <c r="A1518" s="5" t="n"/>
      <c r="B1518" s="5" t="n"/>
      <c r="C1518" s="5" t="n"/>
      <c r="D1518" s="5" t="n"/>
      <c r="E1518" s="8" t="n"/>
      <c r="F1518" s="5" t="n"/>
      <c r="G1518" s="5" t="n"/>
      <c r="H1518" s="5" t="n"/>
      <c r="I1518" s="5" t="n"/>
    </row>
    <row r="1519">
      <c r="A1519" s="5" t="n"/>
      <c r="B1519" s="5" t="n"/>
      <c r="C1519" s="5" t="n"/>
      <c r="D1519" s="5" t="n"/>
      <c r="E1519" s="8" t="n"/>
      <c r="F1519" s="5" t="n"/>
      <c r="G1519" s="5" t="n"/>
      <c r="H1519" s="5" t="n"/>
      <c r="I1519" s="5" t="n"/>
    </row>
    <row r="1520">
      <c r="A1520" s="5" t="n"/>
      <c r="B1520" s="5" t="n"/>
      <c r="C1520" s="5" t="n"/>
      <c r="D1520" s="5" t="n"/>
      <c r="E1520" s="8" t="n"/>
      <c r="F1520" s="5" t="n"/>
      <c r="G1520" s="5" t="n"/>
      <c r="H1520" s="5" t="n"/>
      <c r="I1520" s="5" t="n"/>
    </row>
    <row r="1521">
      <c r="A1521" s="5" t="n"/>
      <c r="B1521" s="5" t="n"/>
      <c r="C1521" s="5" t="n"/>
      <c r="D1521" s="5" t="n"/>
      <c r="E1521" s="8" t="n"/>
      <c r="F1521" s="5" t="n"/>
      <c r="G1521" s="5" t="n"/>
      <c r="H1521" s="5" t="n"/>
      <c r="I1521" s="5" t="n"/>
    </row>
    <row r="1522">
      <c r="A1522" s="5" t="n"/>
      <c r="B1522" s="5" t="n"/>
      <c r="C1522" s="5" t="n"/>
      <c r="D1522" s="5" t="n"/>
      <c r="E1522" s="8" t="n"/>
      <c r="F1522" s="5" t="n"/>
      <c r="G1522" s="5" t="n"/>
      <c r="H1522" s="5" t="n"/>
      <c r="I1522" s="5" t="n"/>
    </row>
    <row r="1523">
      <c r="A1523" s="5" t="n"/>
      <c r="B1523" s="5" t="n"/>
      <c r="C1523" s="5" t="n"/>
      <c r="D1523" s="5" t="n"/>
      <c r="E1523" s="8" t="n"/>
      <c r="F1523" s="5" t="n"/>
      <c r="G1523" s="5" t="n"/>
      <c r="H1523" s="5" t="n"/>
      <c r="I1523" s="5" t="n"/>
    </row>
    <row r="1524">
      <c r="A1524" s="5" t="n"/>
      <c r="B1524" s="5" t="n"/>
      <c r="C1524" s="5" t="n"/>
      <c r="D1524" s="5" t="n"/>
      <c r="E1524" s="8" t="n"/>
      <c r="F1524" s="5" t="n"/>
      <c r="G1524" s="5" t="n"/>
      <c r="H1524" s="5" t="n"/>
      <c r="I1524" s="5" t="n"/>
    </row>
    <row r="1525">
      <c r="A1525" s="5" t="n"/>
      <c r="B1525" s="5" t="n"/>
      <c r="C1525" s="5" t="n"/>
      <c r="D1525" s="5" t="n"/>
      <c r="E1525" s="8" t="n"/>
      <c r="F1525" s="5" t="n"/>
      <c r="G1525" s="5" t="n"/>
      <c r="H1525" s="5" t="n"/>
      <c r="I1525" s="5" t="n"/>
    </row>
    <row r="1526">
      <c r="A1526" s="5" t="n"/>
      <c r="B1526" s="5" t="n"/>
      <c r="C1526" s="5" t="n"/>
      <c r="D1526" s="5" t="n"/>
      <c r="E1526" s="8" t="n"/>
      <c r="F1526" s="5" t="n"/>
      <c r="G1526" s="5" t="n"/>
      <c r="H1526" s="5" t="n"/>
      <c r="I1526" s="5" t="n"/>
    </row>
    <row r="1527">
      <c r="A1527" s="5" t="n"/>
      <c r="B1527" s="5" t="n"/>
      <c r="C1527" s="5" t="n"/>
      <c r="D1527" s="5" t="n"/>
      <c r="E1527" s="8" t="n"/>
      <c r="F1527" s="5" t="n"/>
      <c r="G1527" s="5" t="n"/>
      <c r="H1527" s="5" t="n"/>
      <c r="I1527" s="5" t="n"/>
    </row>
    <row r="1528">
      <c r="A1528" s="5" t="n"/>
      <c r="B1528" s="5" t="n"/>
      <c r="C1528" s="5" t="n"/>
      <c r="D1528" s="5" t="n"/>
      <c r="E1528" s="8" t="n"/>
      <c r="F1528" s="5" t="n"/>
      <c r="G1528" s="5" t="n"/>
      <c r="H1528" s="5" t="n"/>
      <c r="I1528" s="5" t="n"/>
    </row>
    <row r="1529">
      <c r="A1529" s="5" t="n"/>
      <c r="B1529" s="5" t="n"/>
      <c r="C1529" s="5" t="n"/>
      <c r="D1529" s="5" t="n"/>
      <c r="E1529" s="8" t="n"/>
      <c r="F1529" s="5" t="n"/>
      <c r="G1529" s="5" t="n"/>
      <c r="H1529" s="5" t="n"/>
      <c r="I1529" s="5" t="n"/>
    </row>
    <row r="1530">
      <c r="A1530" s="5" t="n"/>
      <c r="B1530" s="5" t="n"/>
      <c r="C1530" s="5" t="n"/>
      <c r="D1530" s="5" t="n"/>
      <c r="E1530" s="8" t="n"/>
      <c r="F1530" s="5" t="n"/>
      <c r="G1530" s="5" t="n"/>
      <c r="H1530" s="5" t="n"/>
      <c r="I1530" s="5" t="n"/>
    </row>
    <row r="1531">
      <c r="A1531" s="5" t="n"/>
      <c r="B1531" s="5" t="n"/>
      <c r="C1531" s="5" t="n"/>
      <c r="D1531" s="5" t="n"/>
      <c r="E1531" s="8" t="n"/>
      <c r="F1531" s="5" t="n"/>
      <c r="G1531" s="5" t="n"/>
      <c r="H1531" s="5" t="n"/>
      <c r="I1531" s="5" t="n"/>
    </row>
    <row r="1532">
      <c r="A1532" s="5" t="n"/>
      <c r="B1532" s="5" t="n"/>
      <c r="C1532" s="5" t="n"/>
      <c r="D1532" s="5" t="n"/>
      <c r="E1532" s="8" t="n"/>
      <c r="F1532" s="5" t="n"/>
      <c r="G1532" s="5" t="n"/>
      <c r="H1532" s="5" t="n"/>
      <c r="I1532" s="5" t="n"/>
    </row>
    <row r="1533">
      <c r="A1533" s="5" t="n"/>
      <c r="B1533" s="5" t="n"/>
      <c r="C1533" s="5" t="n"/>
      <c r="D1533" s="5" t="n"/>
      <c r="E1533" s="8" t="n"/>
      <c r="F1533" s="5" t="n"/>
      <c r="G1533" s="5" t="n"/>
      <c r="H1533" s="5" t="n"/>
      <c r="I1533" s="5" t="n"/>
    </row>
    <row r="1534">
      <c r="A1534" s="5" t="n"/>
      <c r="B1534" s="5" t="n"/>
      <c r="C1534" s="5" t="n"/>
      <c r="D1534" s="5" t="n"/>
      <c r="E1534" s="8" t="n"/>
      <c r="F1534" s="5" t="n"/>
      <c r="G1534" s="5" t="n"/>
      <c r="H1534" s="5" t="n"/>
      <c r="I1534" s="5" t="n"/>
    </row>
    <row r="1535">
      <c r="A1535" s="5" t="n"/>
      <c r="B1535" s="5" t="n"/>
      <c r="C1535" s="5" t="n"/>
      <c r="D1535" s="5" t="n"/>
      <c r="E1535" s="8" t="n"/>
      <c r="F1535" s="5" t="n"/>
      <c r="G1535" s="5" t="n"/>
      <c r="H1535" s="5" t="n"/>
      <c r="I1535" s="5" t="n"/>
    </row>
    <row r="1536">
      <c r="A1536" s="5" t="n"/>
      <c r="B1536" s="5" t="n"/>
      <c r="C1536" s="5" t="n"/>
      <c r="D1536" s="5" t="n"/>
      <c r="E1536" s="8" t="n"/>
      <c r="F1536" s="5" t="n"/>
      <c r="G1536" s="5" t="n"/>
      <c r="H1536" s="5" t="n"/>
      <c r="I1536" s="5" t="n"/>
    </row>
    <row r="1537">
      <c r="A1537" s="5" t="n"/>
      <c r="B1537" s="5" t="n"/>
      <c r="C1537" s="5" t="n"/>
      <c r="D1537" s="5" t="n"/>
      <c r="E1537" s="8" t="n"/>
      <c r="F1537" s="5" t="n"/>
      <c r="G1537" s="5" t="n"/>
      <c r="H1537" s="5" t="n"/>
      <c r="I1537" s="5" t="n"/>
    </row>
    <row r="1538">
      <c r="A1538" s="5" t="n"/>
      <c r="B1538" s="5" t="n"/>
      <c r="C1538" s="5" t="n"/>
      <c r="D1538" s="5" t="n"/>
      <c r="E1538" s="8" t="n"/>
      <c r="F1538" s="5" t="n"/>
      <c r="G1538" s="5" t="n"/>
      <c r="H1538" s="5" t="n"/>
      <c r="I1538" s="5" t="n"/>
    </row>
    <row r="1539">
      <c r="A1539" s="5" t="n"/>
      <c r="B1539" s="5" t="n"/>
      <c r="C1539" s="5" t="n"/>
      <c r="D1539" s="5" t="n"/>
      <c r="E1539" s="8" t="n"/>
      <c r="F1539" s="5" t="n"/>
      <c r="G1539" s="5" t="n"/>
      <c r="H1539" s="5" t="n"/>
      <c r="I1539" s="5" t="n"/>
    </row>
    <row r="1540">
      <c r="A1540" s="5" t="n"/>
      <c r="B1540" s="5" t="n"/>
      <c r="C1540" s="5" t="n"/>
      <c r="D1540" s="5" t="n"/>
      <c r="E1540" s="8" t="n"/>
      <c r="F1540" s="5" t="n"/>
      <c r="G1540" s="5" t="n"/>
      <c r="H1540" s="5" t="n"/>
      <c r="I1540" s="5" t="n"/>
    </row>
    <row r="1541">
      <c r="A1541" s="5" t="n"/>
      <c r="B1541" s="5" t="n"/>
      <c r="C1541" s="5" t="n"/>
      <c r="D1541" s="5" t="n"/>
      <c r="E1541" s="8" t="n"/>
      <c r="F1541" s="5" t="n"/>
      <c r="G1541" s="5" t="n"/>
      <c r="H1541" s="5" t="n"/>
      <c r="I1541" s="5" t="n"/>
    </row>
    <row r="1542">
      <c r="A1542" s="5" t="n"/>
      <c r="B1542" s="5" t="n"/>
      <c r="C1542" s="5" t="n"/>
      <c r="D1542" s="5" t="n"/>
      <c r="E1542" s="8" t="n"/>
      <c r="F1542" s="5" t="n"/>
      <c r="G1542" s="5" t="n"/>
      <c r="H1542" s="5" t="n"/>
      <c r="I1542" s="5" t="n"/>
    </row>
    <row r="1543">
      <c r="A1543" s="5" t="n"/>
      <c r="B1543" s="5" t="n"/>
      <c r="C1543" s="5" t="n"/>
      <c r="D1543" s="5" t="n"/>
      <c r="E1543" s="8" t="n"/>
      <c r="F1543" s="5" t="n"/>
      <c r="G1543" s="5" t="n"/>
      <c r="H1543" s="5" t="n"/>
      <c r="I1543" s="5" t="n"/>
    </row>
    <row r="1544">
      <c r="A1544" s="5" t="n"/>
      <c r="B1544" s="5" t="n"/>
      <c r="C1544" s="5" t="n"/>
      <c r="D1544" s="5" t="n"/>
      <c r="E1544" s="8" t="n"/>
      <c r="F1544" s="5" t="n"/>
      <c r="G1544" s="5" t="n"/>
      <c r="H1544" s="5" t="n"/>
      <c r="I1544" s="5" t="n"/>
    </row>
    <row r="1545">
      <c r="A1545" s="5" t="n"/>
      <c r="B1545" s="5" t="n"/>
      <c r="C1545" s="5" t="n"/>
      <c r="D1545" s="5" t="n"/>
      <c r="E1545" s="8" t="n"/>
      <c r="F1545" s="5" t="n"/>
      <c r="G1545" s="5" t="n"/>
      <c r="H1545" s="5" t="n"/>
      <c r="I1545" s="5" t="n"/>
    </row>
    <row r="1546">
      <c r="A1546" s="5" t="n"/>
      <c r="B1546" s="5" t="n"/>
      <c r="C1546" s="5" t="n"/>
      <c r="D1546" s="5" t="n"/>
      <c r="E1546" s="8" t="n"/>
      <c r="F1546" s="5" t="n"/>
      <c r="G1546" s="5" t="n"/>
      <c r="H1546" s="5" t="n"/>
      <c r="I1546" s="5" t="n"/>
    </row>
    <row r="1547">
      <c r="A1547" s="5" t="n"/>
      <c r="B1547" s="5" t="n"/>
      <c r="C1547" s="5" t="n"/>
      <c r="D1547" s="5" t="n"/>
      <c r="E1547" s="8" t="n"/>
      <c r="F1547" s="5" t="n"/>
      <c r="G1547" s="5" t="n"/>
      <c r="H1547" s="5" t="n"/>
      <c r="I1547" s="5" t="n"/>
    </row>
    <row r="1548">
      <c r="A1548" s="5" t="n"/>
      <c r="B1548" s="5" t="n"/>
      <c r="C1548" s="5" t="n"/>
      <c r="D1548" s="5" t="n"/>
      <c r="E1548" s="8" t="n"/>
      <c r="F1548" s="5" t="n"/>
      <c r="G1548" s="5" t="n"/>
      <c r="H1548" s="5" t="n"/>
      <c r="I1548" s="5" t="n"/>
    </row>
    <row r="1549">
      <c r="A1549" s="5" t="n"/>
      <c r="B1549" s="5" t="n"/>
      <c r="C1549" s="5" t="n"/>
      <c r="D1549" s="5" t="n"/>
      <c r="E1549" s="8" t="n"/>
      <c r="F1549" s="5" t="n"/>
      <c r="G1549" s="5" t="n"/>
      <c r="H1549" s="5" t="n"/>
      <c r="I1549" s="5" t="n"/>
    </row>
    <row r="1550">
      <c r="A1550" s="5" t="n"/>
      <c r="B1550" s="5" t="n"/>
      <c r="C1550" s="5" t="n"/>
      <c r="D1550" s="5" t="n"/>
      <c r="E1550" s="8" t="n"/>
      <c r="F1550" s="5" t="n"/>
      <c r="G1550" s="5" t="n"/>
      <c r="H1550" s="5" t="n"/>
      <c r="I1550" s="5" t="n"/>
    </row>
    <row r="1551">
      <c r="A1551" s="5" t="n"/>
      <c r="B1551" s="5" t="n"/>
      <c r="C1551" s="5" t="n"/>
      <c r="D1551" s="5" t="n"/>
      <c r="E1551" s="8" t="n"/>
      <c r="F1551" s="5" t="n"/>
      <c r="G1551" s="5" t="n"/>
      <c r="H1551" s="5" t="n"/>
      <c r="I1551" s="5" t="n"/>
    </row>
    <row r="1552">
      <c r="A1552" s="5" t="n"/>
      <c r="B1552" s="5" t="n"/>
      <c r="C1552" s="5" t="n"/>
      <c r="D1552" s="5" t="n"/>
      <c r="E1552" s="8" t="n"/>
      <c r="F1552" s="5" t="n"/>
      <c r="G1552" s="5" t="n"/>
      <c r="H1552" s="5" t="n"/>
      <c r="I1552" s="5" t="n"/>
    </row>
    <row r="1553">
      <c r="A1553" s="5" t="n"/>
      <c r="B1553" s="5" t="n"/>
      <c r="C1553" s="5" t="n"/>
      <c r="D1553" s="5" t="n"/>
      <c r="E1553" s="8" t="n"/>
      <c r="F1553" s="5" t="n"/>
      <c r="G1553" s="5" t="n"/>
      <c r="H1553" s="5" t="n"/>
      <c r="I1553" s="5" t="n"/>
    </row>
    <row r="1554">
      <c r="A1554" s="5" t="n"/>
      <c r="B1554" s="5" t="n"/>
      <c r="C1554" s="5" t="n"/>
      <c r="D1554" s="5" t="n"/>
      <c r="E1554" s="8" t="n"/>
      <c r="F1554" s="5" t="n"/>
      <c r="G1554" s="5" t="n"/>
      <c r="H1554" s="5" t="n"/>
      <c r="I1554" s="5" t="n"/>
    </row>
    <row r="1555">
      <c r="A1555" s="5" t="n"/>
      <c r="B1555" s="5" t="n"/>
      <c r="C1555" s="5" t="n"/>
      <c r="D1555" s="5" t="n"/>
      <c r="E1555" s="8" t="n"/>
      <c r="F1555" s="5" t="n"/>
      <c r="G1555" s="5" t="n"/>
      <c r="H1555" s="5" t="n"/>
      <c r="I1555" s="5" t="n"/>
    </row>
    <row r="1556">
      <c r="A1556" s="5" t="n"/>
      <c r="B1556" s="5" t="n"/>
      <c r="C1556" s="5" t="n"/>
      <c r="D1556" s="5" t="n"/>
      <c r="E1556" s="8" t="n"/>
      <c r="F1556" s="5" t="n"/>
      <c r="G1556" s="5" t="n"/>
      <c r="H1556" s="5" t="n"/>
      <c r="I1556" s="5" t="n"/>
    </row>
    <row r="1557">
      <c r="A1557" s="5" t="n"/>
      <c r="B1557" s="5" t="n"/>
      <c r="C1557" s="5" t="n"/>
      <c r="D1557" s="5" t="n"/>
      <c r="E1557" s="8" t="n"/>
      <c r="F1557" s="5" t="n"/>
      <c r="G1557" s="5" t="n"/>
      <c r="H1557" s="5" t="n"/>
      <c r="I1557" s="5" t="n"/>
    </row>
    <row r="1558">
      <c r="A1558" s="5" t="n"/>
      <c r="B1558" s="5" t="n"/>
      <c r="C1558" s="5" t="n"/>
      <c r="D1558" s="5" t="n"/>
      <c r="E1558" s="8" t="n"/>
      <c r="F1558" s="5" t="n"/>
      <c r="G1558" s="5" t="n"/>
      <c r="H1558" s="5" t="n"/>
      <c r="I1558" s="5" t="n"/>
    </row>
    <row r="1559">
      <c r="A1559" s="5" t="n"/>
      <c r="B1559" s="5" t="n"/>
      <c r="C1559" s="5" t="n"/>
      <c r="D1559" s="5" t="n"/>
      <c r="E1559" s="8" t="n"/>
      <c r="F1559" s="5" t="n"/>
      <c r="G1559" s="5" t="n"/>
      <c r="H1559" s="5" t="n"/>
      <c r="I1559" s="5" t="n"/>
    </row>
    <row r="1560">
      <c r="A1560" s="5" t="n"/>
      <c r="B1560" s="5" t="n"/>
      <c r="C1560" s="5" t="n"/>
      <c r="D1560" s="5" t="n"/>
      <c r="E1560" s="8" t="n"/>
      <c r="F1560" s="5" t="n"/>
      <c r="G1560" s="5" t="n"/>
      <c r="H1560" s="5" t="n"/>
      <c r="I1560" s="5" t="n"/>
    </row>
    <row r="1561">
      <c r="A1561" s="5" t="n"/>
      <c r="B1561" s="5" t="n"/>
      <c r="C1561" s="5" t="n"/>
      <c r="D1561" s="5" t="n"/>
      <c r="E1561" s="8" t="n"/>
      <c r="F1561" s="5" t="n"/>
      <c r="G1561" s="5" t="n"/>
      <c r="H1561" s="5" t="n"/>
      <c r="I1561" s="5" t="n"/>
    </row>
    <row r="1562">
      <c r="A1562" s="5" t="n"/>
      <c r="B1562" s="5" t="n"/>
      <c r="C1562" s="5" t="n"/>
      <c r="D1562" s="5" t="n"/>
      <c r="E1562" s="8" t="n"/>
      <c r="F1562" s="5" t="n"/>
      <c r="G1562" s="5" t="n"/>
      <c r="H1562" s="5" t="n"/>
      <c r="I1562" s="5" t="n"/>
    </row>
    <row r="1563">
      <c r="A1563" s="5" t="n"/>
      <c r="B1563" s="5" t="n"/>
      <c r="C1563" s="5" t="n"/>
      <c r="D1563" s="5" t="n"/>
      <c r="E1563" s="8" t="n"/>
      <c r="F1563" s="5" t="n"/>
      <c r="G1563" s="5" t="n"/>
      <c r="H1563" s="5" t="n"/>
      <c r="I1563" s="5" t="n"/>
    </row>
    <row r="1564">
      <c r="A1564" s="5" t="n"/>
      <c r="B1564" s="5" t="n"/>
      <c r="C1564" s="5" t="n"/>
      <c r="D1564" s="5" t="n"/>
      <c r="E1564" s="8" t="n"/>
      <c r="F1564" s="5" t="n"/>
      <c r="G1564" s="5" t="n"/>
      <c r="H1564" s="5" t="n"/>
      <c r="I1564" s="5" t="n"/>
    </row>
    <row r="1565">
      <c r="A1565" s="5" t="n"/>
      <c r="B1565" s="5" t="n"/>
      <c r="C1565" s="5" t="n"/>
      <c r="D1565" s="5" t="n"/>
      <c r="E1565" s="8" t="n"/>
      <c r="F1565" s="5" t="n"/>
      <c r="G1565" s="5" t="n"/>
      <c r="H1565" s="5" t="n"/>
      <c r="I1565" s="5" t="n"/>
    </row>
    <row r="1566">
      <c r="A1566" s="5" t="n"/>
      <c r="B1566" s="5" t="n"/>
      <c r="C1566" s="5" t="n"/>
      <c r="D1566" s="5" t="n"/>
      <c r="E1566" s="8" t="n"/>
      <c r="F1566" s="5" t="n"/>
      <c r="G1566" s="5" t="n"/>
      <c r="H1566" s="5" t="n"/>
      <c r="I1566" s="5" t="n"/>
    </row>
    <row r="1567">
      <c r="A1567" s="5" t="n"/>
      <c r="B1567" s="5" t="n"/>
      <c r="C1567" s="5" t="n"/>
      <c r="D1567" s="5" t="n"/>
      <c r="E1567" s="8" t="n"/>
      <c r="F1567" s="5" t="n"/>
      <c r="G1567" s="5" t="n"/>
      <c r="H1567" s="5" t="n"/>
      <c r="I1567" s="5" t="n"/>
    </row>
    <row r="1568">
      <c r="A1568" s="5" t="n"/>
      <c r="B1568" s="5" t="n"/>
      <c r="C1568" s="5" t="n"/>
      <c r="D1568" s="5" t="n"/>
      <c r="E1568" s="8" t="n"/>
      <c r="F1568" s="5" t="n"/>
      <c r="G1568" s="5" t="n"/>
      <c r="H1568" s="5" t="n"/>
      <c r="I1568" s="5" t="n"/>
    </row>
    <row r="1569">
      <c r="A1569" s="5" t="n"/>
      <c r="B1569" s="5" t="n"/>
      <c r="C1569" s="5" t="n"/>
      <c r="D1569" s="5" t="n"/>
      <c r="E1569" s="8" t="n"/>
      <c r="F1569" s="5" t="n"/>
      <c r="G1569" s="5" t="n"/>
      <c r="H1569" s="5" t="n"/>
      <c r="I1569" s="5" t="n"/>
    </row>
    <row r="1570">
      <c r="A1570" s="5" t="n"/>
      <c r="B1570" s="5" t="n"/>
      <c r="C1570" s="5" t="n"/>
      <c r="D1570" s="5" t="n"/>
      <c r="E1570" s="8" t="n"/>
      <c r="F1570" s="5" t="n"/>
      <c r="G1570" s="5" t="n"/>
      <c r="H1570" s="5" t="n"/>
      <c r="I1570" s="5" t="n"/>
    </row>
    <row r="1571">
      <c r="A1571" s="5" t="n"/>
      <c r="B1571" s="5" t="n"/>
      <c r="C1571" s="5" t="n"/>
      <c r="D1571" s="5" t="n"/>
      <c r="E1571" s="8" t="n"/>
      <c r="F1571" s="5" t="n"/>
      <c r="G1571" s="5" t="n"/>
      <c r="H1571" s="5" t="n"/>
      <c r="I1571" s="5" t="n"/>
    </row>
    <row r="1572">
      <c r="A1572" s="5" t="n"/>
      <c r="B1572" s="5" t="n"/>
      <c r="C1572" s="5" t="n"/>
      <c r="D1572" s="5" t="n"/>
      <c r="E1572" s="8" t="n"/>
      <c r="F1572" s="5" t="n"/>
      <c r="G1572" s="5" t="n"/>
      <c r="H1572" s="5" t="n"/>
      <c r="I1572" s="5" t="n"/>
    </row>
    <row r="1573">
      <c r="A1573" s="5" t="n"/>
      <c r="B1573" s="5" t="n"/>
      <c r="C1573" s="5" t="n"/>
      <c r="D1573" s="5" t="n"/>
      <c r="E1573" s="8" t="n"/>
      <c r="F1573" s="5" t="n"/>
      <c r="G1573" s="5" t="n"/>
      <c r="H1573" s="5" t="n"/>
      <c r="I1573" s="5" t="n"/>
    </row>
    <row r="1574">
      <c r="A1574" s="5" t="n"/>
      <c r="B1574" s="5" t="n"/>
      <c r="C1574" s="5" t="n"/>
      <c r="D1574" s="5" t="n"/>
      <c r="E1574" s="8" t="n"/>
      <c r="F1574" s="5" t="n"/>
      <c r="G1574" s="5" t="n"/>
      <c r="H1574" s="5" t="n"/>
      <c r="I1574" s="5" t="n"/>
    </row>
    <row r="1575">
      <c r="A1575" s="5" t="n"/>
      <c r="B1575" s="5" t="n"/>
      <c r="C1575" s="5" t="n"/>
      <c r="D1575" s="5" t="n"/>
      <c r="E1575" s="8" t="n"/>
      <c r="F1575" s="5" t="n"/>
      <c r="G1575" s="5" t="n"/>
      <c r="H1575" s="5" t="n"/>
      <c r="I1575" s="5" t="n"/>
    </row>
    <row r="1576">
      <c r="A1576" s="5" t="n"/>
      <c r="B1576" s="5" t="n"/>
      <c r="C1576" s="5" t="n"/>
      <c r="D1576" s="5" t="n"/>
      <c r="E1576" s="8" t="n"/>
      <c r="F1576" s="5" t="n"/>
      <c r="G1576" s="5" t="n"/>
      <c r="H1576" s="5" t="n"/>
      <c r="I1576" s="5" t="n"/>
    </row>
    <row r="1577">
      <c r="A1577" s="5" t="n"/>
      <c r="B1577" s="5" t="n"/>
      <c r="C1577" s="5" t="n"/>
      <c r="D1577" s="5" t="n"/>
      <c r="E1577" s="8" t="n"/>
      <c r="F1577" s="5" t="n"/>
      <c r="G1577" s="5" t="n"/>
      <c r="H1577" s="5" t="n"/>
      <c r="I1577" s="5" t="n"/>
    </row>
    <row r="1578">
      <c r="A1578" s="5" t="n"/>
      <c r="B1578" s="5" t="n"/>
      <c r="C1578" s="5" t="n"/>
      <c r="D1578" s="5" t="n"/>
      <c r="E1578" s="8" t="n"/>
      <c r="F1578" s="5" t="n"/>
      <c r="G1578" s="5" t="n"/>
      <c r="H1578" s="5" t="n"/>
      <c r="I1578" s="5" t="n"/>
    </row>
    <row r="1579">
      <c r="A1579" s="5" t="n"/>
      <c r="B1579" s="5" t="n"/>
      <c r="C1579" s="5" t="n"/>
      <c r="D1579" s="5" t="n"/>
      <c r="E1579" s="8" t="n"/>
      <c r="F1579" s="5" t="n"/>
      <c r="G1579" s="5" t="n"/>
      <c r="H1579" s="5" t="n"/>
      <c r="I1579" s="5" t="n"/>
    </row>
    <row r="1580">
      <c r="A1580" s="5" t="n"/>
      <c r="B1580" s="5" t="n"/>
      <c r="C1580" s="5" t="n"/>
      <c r="D1580" s="5" t="n"/>
      <c r="E1580" s="8" t="n"/>
      <c r="F1580" s="5" t="n"/>
      <c r="G1580" s="5" t="n"/>
      <c r="H1580" s="5" t="n"/>
      <c r="I1580" s="5" t="n"/>
    </row>
    <row r="1581">
      <c r="A1581" s="5" t="n"/>
      <c r="B1581" s="5" t="n"/>
      <c r="C1581" s="5" t="n"/>
      <c r="D1581" s="5" t="n"/>
      <c r="E1581" s="8" t="n"/>
      <c r="F1581" s="5" t="n"/>
      <c r="G1581" s="5" t="n"/>
      <c r="H1581" s="5" t="n"/>
      <c r="I1581" s="5" t="n"/>
    </row>
    <row r="1582">
      <c r="A1582" s="5" t="n"/>
      <c r="B1582" s="5" t="n"/>
      <c r="C1582" s="5" t="n"/>
      <c r="D1582" s="5" t="n"/>
      <c r="E1582" s="8" t="n"/>
      <c r="F1582" s="5" t="n"/>
      <c r="G1582" s="5" t="n"/>
      <c r="H1582" s="5" t="n"/>
      <c r="I1582" s="5" t="n"/>
    </row>
    <row r="1583">
      <c r="A1583" s="5" t="n"/>
      <c r="B1583" s="5" t="n"/>
      <c r="C1583" s="5" t="n"/>
      <c r="D1583" s="5" t="n"/>
      <c r="E1583" s="8" t="n"/>
      <c r="F1583" s="5" t="n"/>
      <c r="G1583" s="5" t="n"/>
      <c r="H1583" s="5" t="n"/>
      <c r="I1583" s="5" t="n"/>
    </row>
    <row r="1584">
      <c r="A1584" s="5" t="n"/>
      <c r="B1584" s="5" t="n"/>
      <c r="C1584" s="5" t="n"/>
      <c r="D1584" s="5" t="n"/>
      <c r="E1584" s="8" t="n"/>
      <c r="F1584" s="5" t="n"/>
      <c r="G1584" s="5" t="n"/>
      <c r="H1584" s="5" t="n"/>
      <c r="I1584" s="5" t="n"/>
    </row>
    <row r="1585">
      <c r="A1585" s="5" t="n"/>
      <c r="B1585" s="5" t="n"/>
      <c r="C1585" s="5" t="n"/>
      <c r="D1585" s="5" t="n"/>
      <c r="E1585" s="8" t="n"/>
      <c r="F1585" s="5" t="n"/>
      <c r="G1585" s="5" t="n"/>
      <c r="H1585" s="5" t="n"/>
      <c r="I1585" s="5" t="n"/>
    </row>
    <row r="1586">
      <c r="A1586" s="5" t="n"/>
      <c r="B1586" s="5" t="n"/>
      <c r="C1586" s="5" t="n"/>
      <c r="D1586" s="5" t="n"/>
      <c r="E1586" s="8" t="n"/>
      <c r="F1586" s="5" t="n"/>
      <c r="G1586" s="5" t="n"/>
      <c r="H1586" s="5" t="n"/>
      <c r="I1586" s="5" t="n"/>
    </row>
    <row r="1587">
      <c r="A1587" s="5" t="n"/>
      <c r="B1587" s="5" t="n"/>
      <c r="C1587" s="5" t="n"/>
      <c r="D1587" s="5" t="n"/>
      <c r="E1587" s="8" t="n"/>
      <c r="F1587" s="5" t="n"/>
      <c r="G1587" s="5" t="n"/>
      <c r="H1587" s="5" t="n"/>
      <c r="I1587" s="5" t="n"/>
    </row>
    <row r="1588">
      <c r="A1588" s="5" t="n"/>
      <c r="B1588" s="5" t="n"/>
      <c r="C1588" s="5" t="n"/>
      <c r="D1588" s="5" t="n"/>
      <c r="E1588" s="8" t="n"/>
      <c r="F1588" s="5" t="n"/>
      <c r="G1588" s="5" t="n"/>
      <c r="H1588" s="5" t="n"/>
      <c r="I1588" s="5" t="n"/>
    </row>
    <row r="1589">
      <c r="A1589" s="5" t="n"/>
      <c r="B1589" s="5" t="n"/>
      <c r="C1589" s="5" t="n"/>
      <c r="D1589" s="5" t="n"/>
      <c r="E1589" s="8" t="n"/>
      <c r="F1589" s="5" t="n"/>
      <c r="G1589" s="5" t="n"/>
      <c r="H1589" s="5" t="n"/>
      <c r="I1589" s="5" t="n"/>
    </row>
    <row r="1590">
      <c r="A1590" s="5" t="n"/>
      <c r="B1590" s="5" t="n"/>
      <c r="C1590" s="5" t="n"/>
      <c r="D1590" s="5" t="n"/>
      <c r="E1590" s="8" t="n"/>
      <c r="F1590" s="5" t="n"/>
      <c r="G1590" s="5" t="n"/>
      <c r="H1590" s="5" t="n"/>
      <c r="I1590" s="5" t="n"/>
    </row>
    <row r="1591">
      <c r="A1591" s="5" t="n"/>
      <c r="B1591" s="5" t="n"/>
      <c r="C1591" s="5" t="n"/>
      <c r="D1591" s="5" t="n"/>
      <c r="E1591" s="8" t="n"/>
      <c r="F1591" s="5" t="n"/>
      <c r="G1591" s="5" t="n"/>
      <c r="H1591" s="5" t="n"/>
      <c r="I1591" s="5" t="n"/>
    </row>
    <row r="1592">
      <c r="A1592" s="5" t="n"/>
      <c r="B1592" s="5" t="n"/>
      <c r="C1592" s="5" t="n"/>
      <c r="D1592" s="5" t="n"/>
      <c r="E1592" s="8" t="n"/>
      <c r="F1592" s="5" t="n"/>
      <c r="G1592" s="5" t="n"/>
      <c r="H1592" s="5" t="n"/>
      <c r="I1592" s="5" t="n"/>
    </row>
    <row r="1593">
      <c r="A1593" s="5" t="n"/>
      <c r="B1593" s="5" t="n"/>
      <c r="C1593" s="5" t="n"/>
      <c r="D1593" s="5" t="n"/>
      <c r="E1593" s="8" t="n"/>
      <c r="F1593" s="5" t="n"/>
      <c r="G1593" s="5" t="n"/>
      <c r="H1593" s="5" t="n"/>
      <c r="I1593" s="5" t="n"/>
    </row>
    <row r="1594">
      <c r="A1594" s="5" t="n"/>
      <c r="B1594" s="5" t="n"/>
      <c r="C1594" s="5" t="n"/>
      <c r="D1594" s="5" t="n"/>
      <c r="E1594" s="8" t="n"/>
      <c r="F1594" s="5" t="n"/>
      <c r="G1594" s="5" t="n"/>
      <c r="H1594" s="5" t="n"/>
      <c r="I1594" s="5" t="n"/>
    </row>
    <row r="1595">
      <c r="A1595" s="5" t="n"/>
      <c r="B1595" s="5" t="n"/>
      <c r="C1595" s="5" t="n"/>
      <c r="D1595" s="5" t="n"/>
      <c r="E1595" s="8" t="n"/>
      <c r="F1595" s="5" t="n"/>
      <c r="G1595" s="5" t="n"/>
      <c r="H1595" s="5" t="n"/>
      <c r="I1595" s="5" t="n"/>
    </row>
    <row r="1596">
      <c r="A1596" s="5" t="n"/>
      <c r="B1596" s="5" t="n"/>
      <c r="C1596" s="5" t="n"/>
      <c r="D1596" s="5" t="n"/>
      <c r="E1596" s="8" t="n"/>
      <c r="F1596" s="5" t="n"/>
      <c r="G1596" s="5" t="n"/>
      <c r="H1596" s="5" t="n"/>
      <c r="I1596" s="5" t="n"/>
    </row>
    <row r="1597">
      <c r="A1597" s="5" t="n"/>
      <c r="B1597" s="5" t="n"/>
      <c r="C1597" s="5" t="n"/>
      <c r="D1597" s="5" t="n"/>
      <c r="E1597" s="8" t="n"/>
      <c r="F1597" s="5" t="n"/>
      <c r="G1597" s="5" t="n"/>
      <c r="H1597" s="5" t="n"/>
      <c r="I1597" s="5" t="n"/>
    </row>
    <row r="1598">
      <c r="A1598" s="5" t="n"/>
      <c r="B1598" s="5" t="n"/>
      <c r="C1598" s="5" t="n"/>
      <c r="D1598" s="5" t="n"/>
      <c r="E1598" s="8" t="n"/>
      <c r="F1598" s="5" t="n"/>
      <c r="G1598" s="5" t="n"/>
      <c r="H1598" s="5" t="n"/>
      <c r="I1598" s="5" t="n"/>
    </row>
    <row r="1599">
      <c r="A1599" s="5" t="n"/>
      <c r="B1599" s="5" t="n"/>
      <c r="C1599" s="5" t="n"/>
      <c r="D1599" s="5" t="n"/>
      <c r="E1599" s="8" t="n"/>
      <c r="F1599" s="5" t="n"/>
      <c r="G1599" s="5" t="n"/>
      <c r="H1599" s="5" t="n"/>
      <c r="I1599" s="5" t="n"/>
    </row>
    <row r="1600">
      <c r="A1600" s="5" t="n"/>
      <c r="B1600" s="5" t="n"/>
      <c r="C1600" s="5" t="n"/>
      <c r="D1600" s="5" t="n"/>
      <c r="E1600" s="8" t="n"/>
      <c r="F1600" s="5" t="n"/>
      <c r="G1600" s="5" t="n"/>
      <c r="H1600" s="5" t="n"/>
      <c r="I1600" s="5" t="n"/>
    </row>
    <row r="1601">
      <c r="A1601" s="5" t="n"/>
      <c r="B1601" s="5" t="n"/>
      <c r="C1601" s="5" t="n"/>
      <c r="D1601" s="5" t="n"/>
      <c r="E1601" s="8" t="n"/>
      <c r="F1601" s="5" t="n"/>
      <c r="G1601" s="5" t="n"/>
      <c r="H1601" s="5" t="n"/>
      <c r="I1601" s="5" t="n"/>
    </row>
    <row r="1602">
      <c r="A1602" s="5" t="n"/>
      <c r="B1602" s="5" t="n"/>
      <c r="C1602" s="5" t="n"/>
      <c r="D1602" s="5" t="n"/>
      <c r="E1602" s="8" t="n"/>
      <c r="F1602" s="5" t="n"/>
      <c r="G1602" s="5" t="n"/>
      <c r="H1602" s="5" t="n"/>
      <c r="I1602" s="5" t="n"/>
    </row>
    <row r="1603">
      <c r="A1603" s="5" t="n"/>
      <c r="B1603" s="5" t="n"/>
      <c r="C1603" s="5" t="n"/>
      <c r="D1603" s="5" t="n"/>
      <c r="E1603" s="8" t="n"/>
      <c r="F1603" s="5" t="n"/>
      <c r="G1603" s="5" t="n"/>
      <c r="H1603" s="5" t="n"/>
      <c r="I1603" s="5" t="n"/>
    </row>
    <row r="1604">
      <c r="A1604" s="5" t="n"/>
      <c r="B1604" s="5" t="n"/>
      <c r="C1604" s="5" t="n"/>
      <c r="D1604" s="5" t="n"/>
      <c r="E1604" s="8" t="n"/>
      <c r="F1604" s="5" t="n"/>
      <c r="G1604" s="5" t="n"/>
      <c r="H1604" s="5" t="n"/>
      <c r="I1604" s="5" t="n"/>
    </row>
    <row r="1605">
      <c r="A1605" s="5" t="n"/>
      <c r="B1605" s="5" t="n"/>
      <c r="C1605" s="5" t="n"/>
      <c r="D1605" s="5" t="n"/>
      <c r="E1605" s="8" t="n"/>
      <c r="F1605" s="5" t="n"/>
      <c r="G1605" s="5" t="n"/>
      <c r="H1605" s="5" t="n"/>
      <c r="I1605" s="5" t="n"/>
    </row>
    <row r="1606">
      <c r="A1606" s="5" t="n"/>
      <c r="B1606" s="5" t="n"/>
      <c r="C1606" s="5" t="n"/>
      <c r="D1606" s="5" t="n"/>
      <c r="E1606" s="8" t="n"/>
      <c r="F1606" s="5" t="n"/>
      <c r="G1606" s="5" t="n"/>
      <c r="H1606" s="5" t="n"/>
      <c r="I1606" s="5" t="n"/>
    </row>
    <row r="1607">
      <c r="A1607" s="5" t="n"/>
      <c r="B1607" s="5" t="n"/>
      <c r="C1607" s="5" t="n"/>
      <c r="D1607" s="5" t="n"/>
      <c r="E1607" s="8" t="n"/>
      <c r="F1607" s="5" t="n"/>
      <c r="G1607" s="5" t="n"/>
      <c r="H1607" s="5" t="n"/>
      <c r="I1607" s="5" t="n"/>
    </row>
    <row r="1608">
      <c r="A1608" s="5" t="n"/>
      <c r="B1608" s="5" t="n"/>
      <c r="C1608" s="5" t="n"/>
      <c r="D1608" s="5" t="n"/>
      <c r="E1608" s="8" t="n"/>
      <c r="F1608" s="5" t="n"/>
      <c r="G1608" s="5" t="n"/>
      <c r="H1608" s="5" t="n"/>
      <c r="I1608" s="5" t="n"/>
    </row>
    <row r="1609">
      <c r="A1609" s="5" t="n"/>
      <c r="B1609" s="5" t="n"/>
      <c r="C1609" s="5" t="n"/>
      <c r="D1609" s="5" t="n"/>
      <c r="E1609" s="8" t="n"/>
      <c r="F1609" s="5" t="n"/>
      <c r="G1609" s="5" t="n"/>
      <c r="H1609" s="5" t="n"/>
      <c r="I1609" s="5" t="n"/>
    </row>
    <row r="1610">
      <c r="A1610" s="5" t="n"/>
      <c r="B1610" s="5" t="n"/>
      <c r="C1610" s="5" t="n"/>
      <c r="D1610" s="5" t="n"/>
      <c r="E1610" s="8" t="n"/>
      <c r="F1610" s="5" t="n"/>
      <c r="G1610" s="5" t="n"/>
      <c r="H1610" s="5" t="n"/>
      <c r="I1610" s="5" t="n"/>
    </row>
    <row r="1611">
      <c r="A1611" s="5" t="n"/>
      <c r="B1611" s="5" t="n"/>
      <c r="C1611" s="5" t="n"/>
      <c r="D1611" s="5" t="n"/>
      <c r="E1611" s="8" t="n"/>
      <c r="F1611" s="5" t="n"/>
      <c r="G1611" s="5" t="n"/>
      <c r="H1611" s="5" t="n"/>
      <c r="I1611" s="5" t="n"/>
    </row>
    <row r="1612">
      <c r="A1612" s="5" t="n"/>
      <c r="B1612" s="5" t="n"/>
      <c r="C1612" s="5" t="n"/>
      <c r="D1612" s="5" t="n"/>
      <c r="E1612" s="8" t="n"/>
      <c r="F1612" s="5" t="n"/>
      <c r="G1612" s="5" t="n"/>
      <c r="H1612" s="5" t="n"/>
      <c r="I1612" s="5" t="n"/>
    </row>
    <row r="1613">
      <c r="A1613" s="5" t="n"/>
      <c r="B1613" s="5" t="n"/>
      <c r="C1613" s="5" t="n"/>
      <c r="D1613" s="5" t="n"/>
      <c r="E1613" s="8" t="n"/>
      <c r="F1613" s="5" t="n"/>
      <c r="G1613" s="5" t="n"/>
      <c r="H1613" s="5" t="n"/>
      <c r="I1613" s="5" t="n"/>
    </row>
    <row r="1614">
      <c r="A1614" s="5" t="n"/>
      <c r="B1614" s="5" t="n"/>
      <c r="C1614" s="5" t="n"/>
      <c r="D1614" s="5" t="n"/>
      <c r="E1614" s="8" t="n"/>
      <c r="F1614" s="5" t="n"/>
      <c r="G1614" s="5" t="n"/>
      <c r="H1614" s="5" t="n"/>
      <c r="I1614" s="5" t="n"/>
    </row>
    <row r="1615">
      <c r="A1615" s="5" t="n"/>
      <c r="B1615" s="5" t="n"/>
      <c r="C1615" s="5" t="n"/>
      <c r="D1615" s="5" t="n"/>
      <c r="E1615" s="8" t="n"/>
      <c r="F1615" s="5" t="n"/>
      <c r="G1615" s="5" t="n"/>
      <c r="H1615" s="5" t="n"/>
      <c r="I1615" s="5" t="n"/>
    </row>
    <row r="1616">
      <c r="A1616" s="5" t="n"/>
      <c r="B1616" s="5" t="n"/>
      <c r="C1616" s="5" t="n"/>
      <c r="D1616" s="5" t="n"/>
      <c r="E1616" s="8" t="n"/>
      <c r="F1616" s="5" t="n"/>
      <c r="G1616" s="5" t="n"/>
      <c r="H1616" s="5" t="n"/>
      <c r="I1616" s="5" t="n"/>
    </row>
    <row r="1617">
      <c r="A1617" s="5" t="n"/>
      <c r="B1617" s="5" t="n"/>
      <c r="C1617" s="5" t="n"/>
      <c r="D1617" s="5" t="n"/>
      <c r="E1617" s="8" t="n"/>
      <c r="F1617" s="5" t="n"/>
      <c r="G1617" s="5" t="n"/>
      <c r="H1617" s="5" t="n"/>
      <c r="I1617" s="5" t="n"/>
    </row>
    <row r="1618">
      <c r="A1618" s="5" t="n"/>
      <c r="B1618" s="5" t="n"/>
      <c r="C1618" s="5" t="n"/>
      <c r="D1618" s="5" t="n"/>
      <c r="E1618" s="8" t="n"/>
      <c r="F1618" s="5" t="n"/>
      <c r="G1618" s="5" t="n"/>
      <c r="H1618" s="5" t="n"/>
      <c r="I1618" s="5" t="n"/>
    </row>
    <row r="1619">
      <c r="A1619" s="5" t="n"/>
      <c r="B1619" s="5" t="n"/>
      <c r="C1619" s="5" t="n"/>
      <c r="D1619" s="5" t="n"/>
      <c r="E1619" s="8" t="n"/>
      <c r="F1619" s="5" t="n"/>
      <c r="G1619" s="5" t="n"/>
      <c r="H1619" s="5" t="n"/>
      <c r="I1619" s="5" t="n"/>
    </row>
    <row r="1620">
      <c r="A1620" s="5" t="n"/>
      <c r="B1620" s="5" t="n"/>
      <c r="C1620" s="5" t="n"/>
      <c r="D1620" s="5" t="n"/>
      <c r="E1620" s="8" t="n"/>
      <c r="F1620" s="5" t="n"/>
      <c r="G1620" s="5" t="n"/>
      <c r="H1620" s="5" t="n"/>
      <c r="I1620" s="5" t="n"/>
    </row>
    <row r="1621">
      <c r="A1621" s="5" t="n"/>
      <c r="B1621" s="5" t="n"/>
      <c r="C1621" s="5" t="n"/>
      <c r="D1621" s="5" t="n"/>
      <c r="E1621" s="8" t="n"/>
      <c r="F1621" s="5" t="n"/>
      <c r="G1621" s="5" t="n"/>
      <c r="H1621" s="5" t="n"/>
      <c r="I1621" s="5" t="n"/>
    </row>
    <row r="1622">
      <c r="A1622" s="5" t="n"/>
      <c r="B1622" s="5" t="n"/>
      <c r="C1622" s="5" t="n"/>
      <c r="D1622" s="5" t="n"/>
      <c r="E1622" s="8" t="n"/>
      <c r="F1622" s="5" t="n"/>
      <c r="G1622" s="5" t="n"/>
      <c r="H1622" s="5" t="n"/>
      <c r="I1622" s="5" t="n"/>
    </row>
    <row r="1623">
      <c r="A1623" s="5" t="n"/>
      <c r="B1623" s="5" t="n"/>
      <c r="C1623" s="5" t="n"/>
      <c r="D1623" s="5" t="n"/>
      <c r="E1623" s="8" t="n"/>
      <c r="F1623" s="5" t="n"/>
      <c r="G1623" s="5" t="n"/>
      <c r="H1623" s="5" t="n"/>
      <c r="I1623" s="5" t="n"/>
    </row>
    <row r="1624">
      <c r="A1624" s="5" t="n"/>
      <c r="B1624" s="5" t="n"/>
      <c r="C1624" s="5" t="n"/>
      <c r="D1624" s="5" t="n"/>
      <c r="E1624" s="8" t="n"/>
      <c r="F1624" s="5" t="n"/>
      <c r="G1624" s="5" t="n"/>
      <c r="H1624" s="5" t="n"/>
      <c r="I1624" s="5" t="n"/>
    </row>
    <row r="1625">
      <c r="A1625" s="5" t="n"/>
      <c r="B1625" s="5" t="n"/>
      <c r="C1625" s="5" t="n"/>
      <c r="D1625" s="5" t="n"/>
      <c r="E1625" s="8" t="n"/>
      <c r="F1625" s="5" t="n"/>
      <c r="G1625" s="5" t="n"/>
      <c r="H1625" s="5" t="n"/>
      <c r="I1625" s="5" t="n"/>
    </row>
    <row r="1626">
      <c r="A1626" s="5" t="n"/>
      <c r="B1626" s="5" t="n"/>
      <c r="C1626" s="5" t="n"/>
      <c r="D1626" s="5" t="n"/>
      <c r="E1626" s="8" t="n"/>
      <c r="F1626" s="5" t="n"/>
      <c r="G1626" s="5" t="n"/>
      <c r="H1626" s="5" t="n"/>
      <c r="I1626" s="5" t="n"/>
    </row>
    <row r="1627">
      <c r="A1627" s="5" t="n"/>
      <c r="B1627" s="5" t="n"/>
      <c r="C1627" s="5" t="n"/>
      <c r="D1627" s="5" t="n"/>
      <c r="E1627" s="8" t="n"/>
      <c r="F1627" s="5" t="n"/>
      <c r="G1627" s="5" t="n"/>
      <c r="H1627" s="5" t="n"/>
      <c r="I1627" s="5" t="n"/>
    </row>
    <row r="1628">
      <c r="A1628" s="5" t="n"/>
      <c r="B1628" s="5" t="n"/>
      <c r="C1628" s="5" t="n"/>
      <c r="D1628" s="5" t="n"/>
      <c r="E1628" s="8" t="n"/>
      <c r="F1628" s="5" t="n"/>
      <c r="G1628" s="5" t="n"/>
      <c r="H1628" s="5" t="n"/>
      <c r="I1628" s="5" t="n"/>
    </row>
    <row r="1629">
      <c r="A1629" s="5" t="n"/>
      <c r="B1629" s="5" t="n"/>
      <c r="C1629" s="5" t="n"/>
      <c r="D1629" s="5" t="n"/>
      <c r="E1629" s="8" t="n"/>
      <c r="F1629" s="5" t="n"/>
      <c r="G1629" s="5" t="n"/>
      <c r="H1629" s="5" t="n"/>
      <c r="I1629" s="5" t="n"/>
    </row>
    <row r="1630">
      <c r="A1630" s="5" t="n"/>
      <c r="B1630" s="5" t="n"/>
      <c r="C1630" s="5" t="n"/>
      <c r="D1630" s="5" t="n"/>
      <c r="E1630" s="8" t="n"/>
      <c r="F1630" s="5" t="n"/>
      <c r="G1630" s="5" t="n"/>
      <c r="H1630" s="5" t="n"/>
      <c r="I1630" s="5" t="n"/>
    </row>
    <row r="1631">
      <c r="A1631" s="5" t="n"/>
      <c r="B1631" s="5" t="n"/>
      <c r="C1631" s="5" t="n"/>
      <c r="D1631" s="5" t="n"/>
      <c r="E1631" s="8" t="n"/>
      <c r="F1631" s="5" t="n"/>
      <c r="G1631" s="5" t="n"/>
      <c r="H1631" s="5" t="n"/>
      <c r="I1631" s="5" t="n"/>
    </row>
    <row r="1632">
      <c r="A1632" s="5" t="n"/>
      <c r="B1632" s="5" t="n"/>
      <c r="C1632" s="5" t="n"/>
      <c r="D1632" s="5" t="n"/>
      <c r="E1632" s="8" t="n"/>
      <c r="F1632" s="5" t="n"/>
      <c r="G1632" s="5" t="n"/>
      <c r="H1632" s="5" t="n"/>
      <c r="I1632" s="5" t="n"/>
    </row>
    <row r="1633">
      <c r="A1633" s="5" t="n"/>
      <c r="B1633" s="5" t="n"/>
      <c r="C1633" s="5" t="n"/>
      <c r="D1633" s="5" t="n"/>
      <c r="E1633" s="8" t="n"/>
      <c r="F1633" s="5" t="n"/>
      <c r="G1633" s="5" t="n"/>
      <c r="H1633" s="5" t="n"/>
      <c r="I1633" s="5" t="n"/>
    </row>
    <row r="1634">
      <c r="A1634" s="5" t="n"/>
      <c r="B1634" s="5" t="n"/>
      <c r="C1634" s="5" t="n"/>
      <c r="D1634" s="5" t="n"/>
      <c r="E1634" s="8" t="n"/>
      <c r="F1634" s="5" t="n"/>
      <c r="G1634" s="5" t="n"/>
      <c r="H1634" s="5" t="n"/>
      <c r="I1634" s="5" t="n"/>
    </row>
    <row r="1635">
      <c r="A1635" s="5" t="n"/>
      <c r="B1635" s="5" t="n"/>
      <c r="C1635" s="5" t="n"/>
      <c r="D1635" s="5" t="n"/>
      <c r="E1635" s="8" t="n"/>
      <c r="F1635" s="5" t="n"/>
      <c r="G1635" s="5" t="n"/>
      <c r="H1635" s="5" t="n"/>
      <c r="I1635" s="5" t="n"/>
    </row>
    <row r="1636">
      <c r="A1636" s="5" t="n"/>
      <c r="B1636" s="5" t="n"/>
      <c r="C1636" s="5" t="n"/>
      <c r="D1636" s="5" t="n"/>
      <c r="E1636" s="8" t="n"/>
      <c r="F1636" s="5" t="n"/>
      <c r="G1636" s="5" t="n"/>
      <c r="H1636" s="5" t="n"/>
      <c r="I1636" s="5" t="n"/>
    </row>
    <row r="1637">
      <c r="A1637" s="5" t="n"/>
      <c r="B1637" s="5" t="n"/>
      <c r="C1637" s="5" t="n"/>
      <c r="D1637" s="5" t="n"/>
      <c r="E1637" s="8" t="n"/>
      <c r="F1637" s="5" t="n"/>
      <c r="G1637" s="5" t="n"/>
      <c r="H1637" s="5" t="n"/>
      <c r="I1637" s="5" t="n"/>
    </row>
    <row r="1638">
      <c r="A1638" s="5" t="n"/>
      <c r="B1638" s="5" t="n"/>
      <c r="C1638" s="5" t="n"/>
      <c r="D1638" s="5" t="n"/>
      <c r="E1638" s="8" t="n"/>
      <c r="F1638" s="5" t="n"/>
      <c r="G1638" s="5" t="n"/>
      <c r="H1638" s="5" t="n"/>
      <c r="I1638" s="5" t="n"/>
    </row>
    <row r="1639">
      <c r="A1639" s="5" t="n"/>
      <c r="B1639" s="5" t="n"/>
      <c r="C1639" s="5" t="n"/>
      <c r="D1639" s="5" t="n"/>
      <c r="E1639" s="8" t="n"/>
      <c r="F1639" s="5" t="n"/>
      <c r="G1639" s="5" t="n"/>
      <c r="H1639" s="5" t="n"/>
      <c r="I1639" s="5" t="n"/>
    </row>
    <row r="1640">
      <c r="A1640" s="5" t="n"/>
      <c r="B1640" s="5" t="n"/>
      <c r="C1640" s="5" t="n"/>
      <c r="D1640" s="5" t="n"/>
      <c r="E1640" s="8" t="n"/>
      <c r="F1640" s="5" t="n"/>
      <c r="G1640" s="5" t="n"/>
      <c r="H1640" s="5" t="n"/>
      <c r="I1640" s="5" t="n"/>
    </row>
    <row r="1641">
      <c r="A1641" s="5" t="n"/>
      <c r="B1641" s="5" t="n"/>
      <c r="C1641" s="5" t="n"/>
      <c r="D1641" s="5" t="n"/>
      <c r="E1641" s="8" t="n"/>
      <c r="F1641" s="5" t="n"/>
      <c r="G1641" s="5" t="n"/>
      <c r="H1641" s="5" t="n"/>
      <c r="I1641" s="5" t="n"/>
    </row>
    <row r="1642">
      <c r="A1642" s="5" t="n"/>
      <c r="B1642" s="5" t="n"/>
      <c r="C1642" s="5" t="n"/>
      <c r="D1642" s="5" t="n"/>
      <c r="E1642" s="8" t="n"/>
      <c r="F1642" s="5" t="n"/>
      <c r="G1642" s="5" t="n"/>
      <c r="H1642" s="5" t="n"/>
      <c r="I1642" s="5" t="n"/>
    </row>
    <row r="1643">
      <c r="A1643" s="5" t="n"/>
      <c r="B1643" s="5" t="n"/>
      <c r="C1643" s="5" t="n"/>
      <c r="D1643" s="5" t="n"/>
      <c r="E1643" s="8" t="n"/>
      <c r="F1643" s="5" t="n"/>
      <c r="G1643" s="5" t="n"/>
      <c r="H1643" s="5" t="n"/>
      <c r="I1643" s="5" t="n"/>
    </row>
    <row r="1644">
      <c r="A1644" s="5" t="n"/>
      <c r="B1644" s="5" t="n"/>
      <c r="C1644" s="5" t="n"/>
      <c r="D1644" s="5" t="n"/>
      <c r="E1644" s="8" t="n"/>
      <c r="F1644" s="5" t="n"/>
      <c r="G1644" s="5" t="n"/>
      <c r="H1644" s="5" t="n"/>
      <c r="I1644" s="5" t="n"/>
    </row>
    <row r="1645">
      <c r="A1645" s="5" t="n"/>
      <c r="B1645" s="5" t="n"/>
      <c r="C1645" s="5" t="n"/>
      <c r="D1645" s="5" t="n"/>
      <c r="E1645" s="8" t="n"/>
      <c r="F1645" s="5" t="n"/>
      <c r="G1645" s="5" t="n"/>
      <c r="H1645" s="5" t="n"/>
      <c r="I1645" s="5" t="n"/>
    </row>
    <row r="1646">
      <c r="A1646" s="5" t="n"/>
      <c r="B1646" s="5" t="n"/>
      <c r="C1646" s="5" t="n"/>
      <c r="D1646" s="5" t="n"/>
      <c r="E1646" s="8" t="n"/>
      <c r="F1646" s="5" t="n"/>
      <c r="G1646" s="5" t="n"/>
      <c r="H1646" s="5" t="n"/>
      <c r="I1646" s="5" t="n"/>
    </row>
    <row r="1647">
      <c r="A1647" s="5" t="n"/>
      <c r="B1647" s="5" t="n"/>
      <c r="C1647" s="5" t="n"/>
      <c r="D1647" s="5" t="n"/>
      <c r="E1647" s="8" t="n"/>
      <c r="F1647" s="5" t="n"/>
      <c r="G1647" s="5" t="n"/>
      <c r="H1647" s="5" t="n"/>
      <c r="I1647" s="5" t="n"/>
    </row>
    <row r="1648">
      <c r="A1648" s="5" t="n"/>
      <c r="B1648" s="5" t="n"/>
      <c r="C1648" s="5" t="n"/>
      <c r="D1648" s="5" t="n"/>
      <c r="E1648" s="8" t="n"/>
      <c r="F1648" s="5" t="n"/>
      <c r="G1648" s="5" t="n"/>
      <c r="H1648" s="5" t="n"/>
      <c r="I1648" s="5" t="n"/>
    </row>
    <row r="1649">
      <c r="A1649" s="5" t="n"/>
      <c r="B1649" s="5" t="n"/>
      <c r="C1649" s="5" t="n"/>
      <c r="D1649" s="5" t="n"/>
      <c r="E1649" s="8" t="n"/>
      <c r="F1649" s="5" t="n"/>
      <c r="G1649" s="5" t="n"/>
      <c r="H1649" s="5" t="n"/>
      <c r="I1649" s="5" t="n"/>
    </row>
    <row r="1650">
      <c r="A1650" s="5" t="n"/>
      <c r="B1650" s="5" t="n"/>
      <c r="C1650" s="5" t="n"/>
      <c r="D1650" s="5" t="n"/>
      <c r="E1650" s="8" t="n"/>
      <c r="F1650" s="5" t="n"/>
      <c r="G1650" s="5" t="n"/>
      <c r="H1650" s="5" t="n"/>
      <c r="I1650" s="5" t="n"/>
    </row>
    <row r="1651">
      <c r="A1651" s="5" t="n"/>
      <c r="B1651" s="5" t="n"/>
      <c r="C1651" s="5" t="n"/>
      <c r="D1651" s="5" t="n"/>
      <c r="E1651" s="8" t="n"/>
      <c r="F1651" s="5" t="n"/>
      <c r="G1651" s="5" t="n"/>
      <c r="H1651" s="5" t="n"/>
      <c r="I1651" s="5" t="n"/>
    </row>
    <row r="1652">
      <c r="A1652" s="5" t="n"/>
      <c r="B1652" s="5" t="n"/>
      <c r="C1652" s="5" t="n"/>
      <c r="D1652" s="5" t="n"/>
      <c r="E1652" s="8" t="n"/>
      <c r="F1652" s="5" t="n"/>
      <c r="G1652" s="5" t="n"/>
      <c r="H1652" s="5" t="n"/>
      <c r="I1652" s="5" t="n"/>
    </row>
    <row r="1653">
      <c r="A1653" s="5" t="n"/>
      <c r="B1653" s="5" t="n"/>
      <c r="C1653" s="5" t="n"/>
      <c r="D1653" s="5" t="n"/>
      <c r="E1653" s="8" t="n"/>
      <c r="F1653" s="5" t="n"/>
      <c r="G1653" s="5" t="n"/>
      <c r="H1653" s="5" t="n"/>
      <c r="I1653" s="5" t="n"/>
    </row>
    <row r="1654">
      <c r="A1654" s="5" t="n"/>
      <c r="B1654" s="5" t="n"/>
      <c r="C1654" s="5" t="n"/>
      <c r="D1654" s="5" t="n"/>
      <c r="E1654" s="8" t="n"/>
      <c r="F1654" s="5" t="n"/>
      <c r="G1654" s="5" t="n"/>
      <c r="H1654" s="5" t="n"/>
      <c r="I1654" s="5" t="n"/>
    </row>
    <row r="1655">
      <c r="A1655" s="5" t="n"/>
      <c r="B1655" s="5" t="n"/>
      <c r="C1655" s="5" t="n"/>
      <c r="D1655" s="5" t="n"/>
      <c r="E1655" s="8" t="n"/>
      <c r="F1655" s="5" t="n"/>
      <c r="G1655" s="5" t="n"/>
      <c r="H1655" s="5" t="n"/>
      <c r="I1655" s="5" t="n"/>
    </row>
    <row r="1656">
      <c r="A1656" s="5" t="n"/>
      <c r="B1656" s="5" t="n"/>
      <c r="C1656" s="5" t="n"/>
      <c r="D1656" s="5" t="n"/>
      <c r="E1656" s="8" t="n"/>
      <c r="F1656" s="5" t="n"/>
      <c r="G1656" s="5" t="n"/>
      <c r="H1656" s="5" t="n"/>
      <c r="I1656" s="5" t="n"/>
    </row>
    <row r="1657">
      <c r="A1657" s="5" t="n"/>
      <c r="B1657" s="5" t="n"/>
      <c r="C1657" s="5" t="n"/>
      <c r="D1657" s="5" t="n"/>
      <c r="E1657" s="8" t="n"/>
      <c r="F1657" s="5" t="n"/>
      <c r="G1657" s="5" t="n"/>
      <c r="H1657" s="5" t="n"/>
      <c r="I1657" s="5" t="n"/>
    </row>
    <row r="1658">
      <c r="A1658" s="5" t="n"/>
      <c r="B1658" s="5" t="n"/>
      <c r="C1658" s="5" t="n"/>
      <c r="D1658" s="5" t="n"/>
      <c r="E1658" s="8" t="n"/>
      <c r="F1658" s="5" t="n"/>
      <c r="G1658" s="5" t="n"/>
      <c r="H1658" s="5" t="n"/>
      <c r="I1658" s="5" t="n"/>
    </row>
    <row r="1659">
      <c r="A1659" s="5" t="n"/>
      <c r="B1659" s="5" t="n"/>
      <c r="C1659" s="5" t="n"/>
      <c r="D1659" s="5" t="n"/>
      <c r="E1659" s="8" t="n"/>
      <c r="F1659" s="5" t="n"/>
      <c r="G1659" s="5" t="n"/>
      <c r="H1659" s="5" t="n"/>
      <c r="I1659" s="5" t="n"/>
    </row>
    <row r="1660">
      <c r="A1660" s="5" t="n"/>
      <c r="B1660" s="5" t="n"/>
      <c r="C1660" s="5" t="n"/>
      <c r="D1660" s="5" t="n"/>
      <c r="E1660" s="8" t="n"/>
      <c r="F1660" s="5" t="n"/>
      <c r="G1660" s="5" t="n"/>
      <c r="H1660" s="5" t="n"/>
      <c r="I1660" s="5" t="n"/>
    </row>
    <row r="1661">
      <c r="A1661" s="5" t="n"/>
      <c r="B1661" s="5" t="n"/>
      <c r="C1661" s="5" t="n"/>
      <c r="D1661" s="5" t="n"/>
      <c r="E1661" s="8" t="n"/>
      <c r="F1661" s="5" t="n"/>
      <c r="G1661" s="5" t="n"/>
      <c r="H1661" s="5" t="n"/>
      <c r="I1661" s="5" t="n"/>
    </row>
    <row r="1662">
      <c r="A1662" s="5" t="n"/>
      <c r="B1662" s="5" t="n"/>
      <c r="C1662" s="5" t="n"/>
      <c r="D1662" s="5" t="n"/>
      <c r="E1662" s="8" t="n"/>
      <c r="F1662" s="5" t="n"/>
      <c r="G1662" s="5" t="n"/>
      <c r="H1662" s="5" t="n"/>
      <c r="I1662" s="5" t="n"/>
    </row>
    <row r="1663">
      <c r="A1663" s="5" t="n"/>
      <c r="B1663" s="5" t="n"/>
      <c r="C1663" s="5" t="n"/>
      <c r="D1663" s="5" t="n"/>
      <c r="E1663" s="8" t="n"/>
      <c r="F1663" s="5" t="n"/>
      <c r="G1663" s="5" t="n"/>
      <c r="H1663" s="5" t="n"/>
      <c r="I1663" s="5" t="n"/>
    </row>
    <row r="1664">
      <c r="A1664" s="5" t="n"/>
      <c r="B1664" s="5" t="n"/>
      <c r="C1664" s="5" t="n"/>
      <c r="D1664" s="5" t="n"/>
      <c r="E1664" s="8" t="n"/>
      <c r="F1664" s="5" t="n"/>
      <c r="G1664" s="5" t="n"/>
      <c r="H1664" s="5" t="n"/>
      <c r="I1664" s="5" t="n"/>
    </row>
    <row r="1665">
      <c r="A1665" s="5" t="n"/>
      <c r="B1665" s="5" t="n"/>
      <c r="C1665" s="5" t="n"/>
      <c r="D1665" s="5" t="n"/>
      <c r="E1665" s="8" t="n"/>
      <c r="F1665" s="5" t="n"/>
      <c r="G1665" s="5" t="n"/>
      <c r="H1665" s="5" t="n"/>
      <c r="I1665" s="5" t="n"/>
    </row>
    <row r="1666">
      <c r="A1666" s="5" t="n"/>
      <c r="B1666" s="5" t="n"/>
      <c r="C1666" s="5" t="n"/>
      <c r="D1666" s="5" t="n"/>
      <c r="E1666" s="8" t="n"/>
      <c r="F1666" s="5" t="n"/>
      <c r="G1666" s="5" t="n"/>
      <c r="H1666" s="5" t="n"/>
      <c r="I1666" s="5" t="n"/>
    </row>
    <row r="1667">
      <c r="A1667" s="5" t="n"/>
      <c r="B1667" s="5" t="n"/>
      <c r="C1667" s="5" t="n"/>
      <c r="D1667" s="5" t="n"/>
      <c r="E1667" s="8" t="n"/>
      <c r="F1667" s="5" t="n"/>
      <c r="G1667" s="5" t="n"/>
      <c r="H1667" s="5" t="n"/>
      <c r="I1667" s="5" t="n"/>
    </row>
    <row r="1668">
      <c r="A1668" s="5" t="n"/>
      <c r="B1668" s="5" t="n"/>
      <c r="C1668" s="5" t="n"/>
      <c r="D1668" s="5" t="n"/>
      <c r="E1668" s="8" t="n"/>
      <c r="F1668" s="5" t="n"/>
      <c r="G1668" s="5" t="n"/>
      <c r="H1668" s="5" t="n"/>
      <c r="I1668" s="5" t="n"/>
    </row>
    <row r="1669">
      <c r="A1669" s="5" t="n"/>
      <c r="B1669" s="5" t="n"/>
      <c r="C1669" s="5" t="n"/>
      <c r="D1669" s="5" t="n"/>
      <c r="E1669" s="8" t="n"/>
      <c r="F1669" s="5" t="n"/>
      <c r="G1669" s="5" t="n"/>
      <c r="H1669" s="5" t="n"/>
      <c r="I1669" s="5" t="n"/>
    </row>
    <row r="1670">
      <c r="A1670" s="5" t="n"/>
      <c r="B1670" s="5" t="n"/>
      <c r="C1670" s="5" t="n"/>
      <c r="D1670" s="5" t="n"/>
      <c r="E1670" s="8" t="n"/>
      <c r="F1670" s="5" t="n"/>
      <c r="G1670" s="5" t="n"/>
      <c r="H1670" s="5" t="n"/>
      <c r="I1670" s="5" t="n"/>
    </row>
    <row r="1671">
      <c r="A1671" s="5" t="n"/>
      <c r="B1671" s="5" t="n"/>
      <c r="C1671" s="5" t="n"/>
      <c r="D1671" s="5" t="n"/>
      <c r="E1671" s="8" t="n"/>
      <c r="F1671" s="5" t="n"/>
      <c r="G1671" s="5" t="n"/>
      <c r="H1671" s="5" t="n"/>
      <c r="I1671" s="5" t="n"/>
    </row>
    <row r="1672">
      <c r="A1672" s="5" t="n"/>
      <c r="B1672" s="5" t="n"/>
      <c r="C1672" s="5" t="n"/>
      <c r="D1672" s="5" t="n"/>
      <c r="E1672" s="8" t="n"/>
      <c r="F1672" s="5" t="n"/>
      <c r="G1672" s="5" t="n"/>
      <c r="H1672" s="5" t="n"/>
      <c r="I1672" s="5" t="n"/>
    </row>
    <row r="1673">
      <c r="A1673" s="5" t="n"/>
      <c r="B1673" s="5" t="n"/>
      <c r="C1673" s="5" t="n"/>
      <c r="D1673" s="5" t="n"/>
      <c r="E1673" s="8" t="n"/>
      <c r="F1673" s="5" t="n"/>
      <c r="G1673" s="5" t="n"/>
      <c r="H1673" s="5" t="n"/>
      <c r="I1673" s="5" t="n"/>
    </row>
    <row r="1674">
      <c r="A1674" s="5" t="n"/>
      <c r="B1674" s="5" t="n"/>
      <c r="C1674" s="5" t="n"/>
      <c r="D1674" s="5" t="n"/>
      <c r="E1674" s="8" t="n"/>
      <c r="F1674" s="5" t="n"/>
      <c r="G1674" s="5" t="n"/>
      <c r="H1674" s="5" t="n"/>
      <c r="I1674" s="5" t="n"/>
    </row>
    <row r="1675">
      <c r="A1675" s="5" t="n"/>
      <c r="B1675" s="5" t="n"/>
      <c r="C1675" s="5" t="n"/>
      <c r="D1675" s="5" t="n"/>
      <c r="E1675" s="8" t="n"/>
      <c r="F1675" s="5" t="n"/>
      <c r="G1675" s="5" t="n"/>
      <c r="H1675" s="5" t="n"/>
      <c r="I1675" s="5" t="n"/>
    </row>
    <row r="1676">
      <c r="A1676" s="5" t="n"/>
      <c r="B1676" s="5" t="n"/>
      <c r="C1676" s="5" t="n"/>
      <c r="D1676" s="5" t="n"/>
      <c r="E1676" s="8" t="n"/>
      <c r="F1676" s="5" t="n"/>
      <c r="G1676" s="5" t="n"/>
      <c r="H1676" s="5" t="n"/>
      <c r="I1676" s="5" t="n"/>
    </row>
    <row r="1677">
      <c r="A1677" s="5" t="n"/>
      <c r="B1677" s="5" t="n"/>
      <c r="C1677" s="5" t="n"/>
      <c r="D1677" s="5" t="n"/>
      <c r="E1677" s="8" t="n"/>
      <c r="F1677" s="5" t="n"/>
      <c r="G1677" s="5" t="n"/>
      <c r="H1677" s="5" t="n"/>
      <c r="I1677" s="5" t="n"/>
    </row>
    <row r="1678">
      <c r="A1678" s="5" t="n"/>
      <c r="B1678" s="5" t="n"/>
      <c r="C1678" s="5" t="n"/>
      <c r="D1678" s="5" t="n"/>
      <c r="E1678" s="8" t="n"/>
      <c r="F1678" s="5" t="n"/>
      <c r="G1678" s="5" t="n"/>
      <c r="H1678" s="5" t="n"/>
      <c r="I1678" s="5" t="n"/>
    </row>
    <row r="1679">
      <c r="A1679" s="5" t="n"/>
      <c r="B1679" s="5" t="n"/>
      <c r="C1679" s="5" t="n"/>
      <c r="D1679" s="5" t="n"/>
      <c r="E1679" s="8" t="n"/>
      <c r="F1679" s="5" t="n"/>
      <c r="G1679" s="5" t="n"/>
      <c r="H1679" s="5" t="n"/>
      <c r="I1679" s="5" t="n"/>
    </row>
    <row r="1680">
      <c r="A1680" s="5" t="n"/>
      <c r="B1680" s="5" t="n"/>
      <c r="C1680" s="5" t="n"/>
      <c r="D1680" s="5" t="n"/>
      <c r="E1680" s="8" t="n"/>
      <c r="F1680" s="5" t="n"/>
      <c r="G1680" s="5" t="n"/>
      <c r="H1680" s="5" t="n"/>
      <c r="I1680" s="5" t="n"/>
    </row>
    <row r="1681">
      <c r="A1681" s="5" t="n"/>
      <c r="B1681" s="5" t="n"/>
      <c r="C1681" s="5" t="n"/>
      <c r="D1681" s="5" t="n"/>
      <c r="E1681" s="8" t="n"/>
      <c r="F1681" s="5" t="n"/>
      <c r="G1681" s="5" t="n"/>
      <c r="H1681" s="5" t="n"/>
      <c r="I1681" s="5" t="n"/>
    </row>
    <row r="1682">
      <c r="A1682" s="5" t="n"/>
      <c r="B1682" s="5" t="n"/>
      <c r="C1682" s="5" t="n"/>
      <c r="D1682" s="5" t="n"/>
      <c r="E1682" s="8" t="n"/>
      <c r="F1682" s="5" t="n"/>
      <c r="G1682" s="5" t="n"/>
      <c r="H1682" s="5" t="n"/>
      <c r="I1682" s="5" t="n"/>
    </row>
    <row r="1683">
      <c r="A1683" s="5" t="n"/>
      <c r="B1683" s="5" t="n"/>
      <c r="C1683" s="5" t="n"/>
      <c r="D1683" s="5" t="n"/>
      <c r="E1683" s="8" t="n"/>
      <c r="F1683" s="5" t="n"/>
      <c r="G1683" s="5" t="n"/>
      <c r="H1683" s="5" t="n"/>
      <c r="I1683" s="5" t="n"/>
    </row>
    <row r="1684">
      <c r="A1684" s="5" t="n"/>
      <c r="B1684" s="5" t="n"/>
      <c r="C1684" s="5" t="n"/>
      <c r="D1684" s="5" t="n"/>
      <c r="E1684" s="8" t="n"/>
      <c r="F1684" s="5" t="n"/>
      <c r="G1684" s="5" t="n"/>
      <c r="H1684" s="5" t="n"/>
      <c r="I1684" s="5" t="n"/>
    </row>
    <row r="1685">
      <c r="A1685" s="5" t="n"/>
      <c r="B1685" s="5" t="n"/>
      <c r="C1685" s="5" t="n"/>
      <c r="D1685" s="5" t="n"/>
      <c r="E1685" s="8" t="n"/>
      <c r="F1685" s="5" t="n"/>
      <c r="G1685" s="5" t="n"/>
      <c r="H1685" s="5" t="n"/>
      <c r="I1685" s="5" t="n"/>
    </row>
    <row r="1686">
      <c r="A1686" s="5" t="n"/>
      <c r="B1686" s="5" t="n"/>
      <c r="C1686" s="5" t="n"/>
      <c r="D1686" s="5" t="n"/>
      <c r="E1686" s="8" t="n"/>
      <c r="F1686" s="5" t="n"/>
      <c r="G1686" s="5" t="n"/>
      <c r="H1686" s="5" t="n"/>
      <c r="I1686" s="5" t="n"/>
    </row>
    <row r="1687">
      <c r="A1687" s="5" t="n"/>
      <c r="B1687" s="5" t="n"/>
      <c r="C1687" s="5" t="n"/>
      <c r="D1687" s="5" t="n"/>
      <c r="E1687" s="8" t="n"/>
      <c r="F1687" s="5" t="n"/>
      <c r="G1687" s="5" t="n"/>
      <c r="H1687" s="5" t="n"/>
      <c r="I1687" s="5" t="n"/>
    </row>
    <row r="1688">
      <c r="A1688" s="5" t="n"/>
      <c r="B1688" s="5" t="n"/>
      <c r="C1688" s="5" t="n"/>
      <c r="D1688" s="5" t="n"/>
      <c r="E1688" s="8" t="n"/>
      <c r="F1688" s="5" t="n"/>
      <c r="G1688" s="5" t="n"/>
      <c r="H1688" s="5" t="n"/>
      <c r="I1688" s="5" t="n"/>
    </row>
    <row r="1689">
      <c r="A1689" s="5" t="n"/>
      <c r="B1689" s="5" t="n"/>
      <c r="C1689" s="5" t="n"/>
      <c r="D1689" s="5" t="n"/>
      <c r="E1689" s="8" t="n"/>
      <c r="F1689" s="5" t="n"/>
      <c r="G1689" s="5" t="n"/>
      <c r="H1689" s="5" t="n"/>
      <c r="I1689" s="5" t="n"/>
    </row>
    <row r="1690">
      <c r="A1690" s="5" t="n"/>
      <c r="B1690" s="5" t="n"/>
      <c r="C1690" s="5" t="n"/>
      <c r="D1690" s="5" t="n"/>
      <c r="E1690" s="8" t="n"/>
      <c r="F1690" s="5" t="n"/>
      <c r="G1690" s="5" t="n"/>
      <c r="H1690" s="5" t="n"/>
      <c r="I1690" s="5" t="n"/>
    </row>
    <row r="1691">
      <c r="A1691" s="5" t="n"/>
      <c r="B1691" s="5" t="n"/>
      <c r="C1691" s="5" t="n"/>
      <c r="D1691" s="5" t="n"/>
      <c r="E1691" s="8" t="n"/>
      <c r="F1691" s="5" t="n"/>
      <c r="G1691" s="5" t="n"/>
      <c r="H1691" s="5" t="n"/>
      <c r="I1691" s="5" t="n"/>
    </row>
    <row r="1692">
      <c r="A1692" s="5" t="n"/>
      <c r="B1692" s="5" t="n"/>
      <c r="C1692" s="5" t="n"/>
      <c r="D1692" s="5" t="n"/>
      <c r="E1692" s="8" t="n"/>
      <c r="F1692" s="5" t="n"/>
      <c r="G1692" s="5" t="n"/>
      <c r="H1692" s="5" t="n"/>
      <c r="I1692" s="5" t="n"/>
    </row>
    <row r="1693">
      <c r="A1693" s="5" t="n"/>
      <c r="B1693" s="5" t="n"/>
      <c r="C1693" s="5" t="n"/>
      <c r="D1693" s="5" t="n"/>
      <c r="E1693" s="8" t="n"/>
      <c r="F1693" s="5" t="n"/>
      <c r="G1693" s="5" t="n"/>
      <c r="H1693" s="5" t="n"/>
      <c r="I1693" s="5" t="n"/>
    </row>
    <row r="1694">
      <c r="A1694" s="5" t="n"/>
      <c r="B1694" s="5" t="n"/>
      <c r="C1694" s="5" t="n"/>
      <c r="D1694" s="5" t="n"/>
      <c r="E1694" s="8" t="n"/>
      <c r="F1694" s="5" t="n"/>
      <c r="G1694" s="5" t="n"/>
      <c r="H1694" s="5" t="n"/>
      <c r="I1694" s="5" t="n"/>
    </row>
    <row r="1695">
      <c r="A1695" s="5" t="n"/>
      <c r="B1695" s="5" t="n"/>
      <c r="C1695" s="5" t="n"/>
      <c r="D1695" s="5" t="n"/>
      <c r="E1695" s="8" t="n"/>
      <c r="F1695" s="5" t="n"/>
      <c r="G1695" s="5" t="n"/>
      <c r="H1695" s="5" t="n"/>
      <c r="I1695" s="5" t="n"/>
    </row>
    <row r="1696">
      <c r="A1696" s="5" t="n"/>
      <c r="B1696" s="5" t="n"/>
      <c r="C1696" s="5" t="n"/>
      <c r="D1696" s="5" t="n"/>
      <c r="E1696" s="8" t="n"/>
      <c r="F1696" s="5" t="n"/>
      <c r="G1696" s="5" t="n"/>
      <c r="H1696" s="5" t="n"/>
      <c r="I1696" s="5" t="n"/>
    </row>
    <row r="1697">
      <c r="A1697" s="5" t="n"/>
      <c r="B1697" s="5" t="n"/>
      <c r="C1697" s="5" t="n"/>
      <c r="D1697" s="5" t="n"/>
      <c r="E1697" s="8" t="n"/>
      <c r="F1697" s="5" t="n"/>
      <c r="G1697" s="5" t="n"/>
      <c r="H1697" s="5" t="n"/>
      <c r="I1697" s="5" t="n"/>
    </row>
    <row r="1698">
      <c r="A1698" s="5" t="n"/>
      <c r="B1698" s="5" t="n"/>
      <c r="C1698" s="5" t="n"/>
      <c r="D1698" s="5" t="n"/>
      <c r="E1698" s="8" t="n"/>
      <c r="F1698" s="5" t="n"/>
      <c r="G1698" s="5" t="n"/>
      <c r="H1698" s="5" t="n"/>
      <c r="I1698" s="5" t="n"/>
    </row>
    <row r="1699">
      <c r="A1699" s="5" t="n"/>
      <c r="B1699" s="5" t="n"/>
      <c r="C1699" s="5" t="n"/>
      <c r="D1699" s="5" t="n"/>
      <c r="E1699" s="8" t="n"/>
      <c r="F1699" s="5" t="n"/>
      <c r="G1699" s="5" t="n"/>
      <c r="H1699" s="5" t="n"/>
      <c r="I1699" s="5" t="n"/>
    </row>
    <row r="1700">
      <c r="A1700" s="5" t="n"/>
      <c r="B1700" s="5" t="n"/>
      <c r="C1700" s="5" t="n"/>
      <c r="D1700" s="5" t="n"/>
      <c r="E1700" s="8" t="n"/>
      <c r="F1700" s="5" t="n"/>
      <c r="G1700" s="5" t="n"/>
      <c r="H1700" s="5" t="n"/>
      <c r="I1700" s="5" t="n"/>
    </row>
    <row r="1701">
      <c r="A1701" s="5" t="n"/>
      <c r="B1701" s="5" t="n"/>
      <c r="C1701" s="5" t="n"/>
      <c r="D1701" s="5" t="n"/>
      <c r="E1701" s="8" t="n"/>
      <c r="F1701" s="5" t="n"/>
      <c r="G1701" s="5" t="n"/>
      <c r="H1701" s="5" t="n"/>
      <c r="I1701" s="5" t="n"/>
    </row>
    <row r="1702">
      <c r="A1702" s="5" t="n"/>
      <c r="B1702" s="5" t="n"/>
      <c r="C1702" s="5" t="n"/>
      <c r="D1702" s="5" t="n"/>
      <c r="E1702" s="8" t="n"/>
      <c r="F1702" s="5" t="n"/>
      <c r="G1702" s="5" t="n"/>
      <c r="H1702" s="5" t="n"/>
      <c r="I1702" s="5" t="n"/>
    </row>
    <row r="1703">
      <c r="A1703" s="5" t="n"/>
      <c r="B1703" s="5" t="n"/>
      <c r="C1703" s="5" t="n"/>
      <c r="D1703" s="5" t="n"/>
      <c r="E1703" s="8" t="n"/>
      <c r="F1703" s="5" t="n"/>
      <c r="G1703" s="5" t="n"/>
      <c r="H1703" s="5" t="n"/>
      <c r="I1703" s="5" t="n"/>
    </row>
    <row r="1704">
      <c r="A1704" s="5" t="n"/>
      <c r="B1704" s="5" t="n"/>
      <c r="C1704" s="5" t="n"/>
      <c r="D1704" s="5" t="n"/>
      <c r="E1704" s="8" t="n"/>
      <c r="F1704" s="5" t="n"/>
      <c r="G1704" s="5" t="n"/>
      <c r="H1704" s="5" t="n"/>
      <c r="I1704" s="5" t="n"/>
    </row>
    <row r="1705">
      <c r="A1705" s="5" t="n"/>
      <c r="B1705" s="5" t="n"/>
      <c r="C1705" s="5" t="n"/>
      <c r="D1705" s="5" t="n"/>
      <c r="E1705" s="8" t="n"/>
      <c r="F1705" s="5" t="n"/>
      <c r="G1705" s="5" t="n"/>
      <c r="H1705" s="5" t="n"/>
      <c r="I1705" s="5" t="n"/>
    </row>
    <row r="1706">
      <c r="A1706" s="5" t="n"/>
      <c r="B1706" s="5" t="n"/>
      <c r="C1706" s="5" t="n"/>
      <c r="D1706" s="5" t="n"/>
      <c r="E1706" s="8" t="n"/>
      <c r="F1706" s="5" t="n"/>
      <c r="G1706" s="5" t="n"/>
      <c r="H1706" s="5" t="n"/>
      <c r="I1706" s="5" t="n"/>
    </row>
    <row r="1707">
      <c r="A1707" s="5" t="n"/>
      <c r="B1707" s="5" t="n"/>
      <c r="C1707" s="5" t="n"/>
      <c r="D1707" s="5" t="n"/>
      <c r="E1707" s="8" t="n"/>
      <c r="F1707" s="5" t="n"/>
      <c r="G1707" s="5" t="n"/>
      <c r="H1707" s="5" t="n"/>
      <c r="I1707" s="5" t="n"/>
    </row>
    <row r="1708">
      <c r="A1708" s="5" t="n"/>
      <c r="B1708" s="5" t="n"/>
      <c r="C1708" s="5" t="n"/>
      <c r="D1708" s="5" t="n"/>
      <c r="E1708" s="8" t="n"/>
      <c r="F1708" s="5" t="n"/>
      <c r="G1708" s="5" t="n"/>
      <c r="H1708" s="5" t="n"/>
      <c r="I1708" s="5" t="n"/>
    </row>
    <row r="1709">
      <c r="A1709" s="5" t="n"/>
      <c r="B1709" s="5" t="n"/>
      <c r="C1709" s="5" t="n"/>
      <c r="D1709" s="5" t="n"/>
      <c r="E1709" s="8" t="n"/>
      <c r="F1709" s="5" t="n"/>
      <c r="G1709" s="5" t="n"/>
      <c r="H1709" s="5" t="n"/>
      <c r="I1709" s="5" t="n"/>
    </row>
    <row r="1710">
      <c r="A1710" s="5" t="n"/>
      <c r="B1710" s="5" t="n"/>
      <c r="C1710" s="5" t="n"/>
      <c r="D1710" s="5" t="n"/>
      <c r="E1710" s="8" t="n"/>
      <c r="F1710" s="5" t="n"/>
      <c r="G1710" s="5" t="n"/>
      <c r="H1710" s="5" t="n"/>
      <c r="I1710" s="5" t="n"/>
    </row>
    <row r="1711">
      <c r="A1711" s="5" t="n"/>
      <c r="B1711" s="5" t="n"/>
      <c r="C1711" s="5" t="n"/>
      <c r="D1711" s="5" t="n"/>
      <c r="E1711" s="8" t="n"/>
      <c r="F1711" s="5" t="n"/>
      <c r="G1711" s="5" t="n"/>
      <c r="H1711" s="5" t="n"/>
      <c r="I1711" s="5" t="n"/>
    </row>
    <row r="1712">
      <c r="A1712" s="5" t="n"/>
      <c r="B1712" s="5" t="n"/>
      <c r="C1712" s="5" t="n"/>
      <c r="D1712" s="5" t="n"/>
      <c r="E1712" s="8" t="n"/>
      <c r="F1712" s="5" t="n"/>
      <c r="G1712" s="5" t="n"/>
      <c r="H1712" s="5" t="n"/>
      <c r="I1712" s="5" t="n"/>
    </row>
    <row r="1713">
      <c r="A1713" s="5" t="n"/>
      <c r="B1713" s="5" t="n"/>
      <c r="C1713" s="5" t="n"/>
      <c r="D1713" s="5" t="n"/>
      <c r="E1713" s="8" t="n"/>
      <c r="F1713" s="5" t="n"/>
      <c r="G1713" s="5" t="n"/>
      <c r="H1713" s="5" t="n"/>
      <c r="I1713" s="5" t="n"/>
    </row>
    <row r="1714">
      <c r="A1714" s="5" t="n"/>
      <c r="B1714" s="5" t="n"/>
      <c r="C1714" s="5" t="n"/>
      <c r="D1714" s="5" t="n"/>
      <c r="E1714" s="8" t="n"/>
      <c r="F1714" s="5" t="n"/>
      <c r="G1714" s="5" t="n"/>
      <c r="H1714" s="5" t="n"/>
      <c r="I1714" s="5" t="n"/>
    </row>
    <row r="1715">
      <c r="A1715" s="5" t="n"/>
      <c r="B1715" s="5" t="n"/>
      <c r="C1715" s="5" t="n"/>
      <c r="D1715" s="5" t="n"/>
      <c r="E1715" s="8" t="n"/>
      <c r="F1715" s="5" t="n"/>
      <c r="G1715" s="5" t="n"/>
      <c r="H1715" s="5" t="n"/>
      <c r="I1715" s="5" t="n"/>
    </row>
    <row r="1716">
      <c r="A1716" s="5" t="n"/>
      <c r="B1716" s="5" t="n"/>
      <c r="C1716" s="5" t="n"/>
      <c r="D1716" s="5" t="n"/>
      <c r="E1716" s="8" t="n"/>
      <c r="F1716" s="5" t="n"/>
      <c r="G1716" s="5" t="n"/>
      <c r="H1716" s="5" t="n"/>
      <c r="I1716" s="5" t="n"/>
    </row>
    <row r="1717">
      <c r="A1717" s="5" t="n"/>
      <c r="B1717" s="5" t="n"/>
      <c r="C1717" s="5" t="n"/>
      <c r="D1717" s="5" t="n"/>
      <c r="E1717" s="8" t="n"/>
      <c r="F1717" s="5" t="n"/>
      <c r="G1717" s="5" t="n"/>
      <c r="H1717" s="5" t="n"/>
      <c r="I1717" s="5" t="n"/>
    </row>
    <row r="1718">
      <c r="A1718" s="5" t="n"/>
      <c r="B1718" s="5" t="n"/>
      <c r="C1718" s="5" t="n"/>
      <c r="D1718" s="5" t="n"/>
      <c r="E1718" s="8" t="n"/>
      <c r="F1718" s="5" t="n"/>
      <c r="G1718" s="5" t="n"/>
      <c r="H1718" s="5" t="n"/>
      <c r="I1718" s="5" t="n"/>
    </row>
    <row r="1719">
      <c r="A1719" s="5" t="n"/>
      <c r="B1719" s="5" t="n"/>
      <c r="C1719" s="5" t="n"/>
      <c r="D1719" s="5" t="n"/>
      <c r="E1719" s="8" t="n"/>
      <c r="F1719" s="5" t="n"/>
      <c r="G1719" s="5" t="n"/>
      <c r="H1719" s="5" t="n"/>
      <c r="I1719" s="5" t="n"/>
    </row>
    <row r="1720">
      <c r="A1720" s="5" t="n"/>
      <c r="B1720" s="5" t="n"/>
      <c r="C1720" s="5" t="n"/>
      <c r="D1720" s="5" t="n"/>
      <c r="E1720" s="8" t="n"/>
      <c r="F1720" s="5" t="n"/>
      <c r="G1720" s="5" t="n"/>
      <c r="H1720" s="5" t="n"/>
      <c r="I1720" s="5" t="n"/>
    </row>
    <row r="1721">
      <c r="A1721" s="5" t="n"/>
      <c r="B1721" s="5" t="n"/>
      <c r="C1721" s="5" t="n"/>
      <c r="D1721" s="5" t="n"/>
      <c r="E1721" s="8" t="n"/>
      <c r="F1721" s="5" t="n"/>
      <c r="G1721" s="5" t="n"/>
      <c r="H1721" s="5" t="n"/>
      <c r="I1721" s="5" t="n"/>
    </row>
    <row r="1722">
      <c r="A1722" s="5" t="n"/>
      <c r="B1722" s="5" t="n"/>
      <c r="C1722" s="5" t="n"/>
      <c r="D1722" s="5" t="n"/>
      <c r="E1722" s="8" t="n"/>
      <c r="F1722" s="5" t="n"/>
      <c r="G1722" s="5" t="n"/>
      <c r="H1722" s="5" t="n"/>
      <c r="I1722" s="5" t="n"/>
    </row>
    <row r="1723">
      <c r="A1723" s="5" t="n"/>
      <c r="B1723" s="5" t="n"/>
      <c r="C1723" s="5" t="n"/>
      <c r="D1723" s="5" t="n"/>
      <c r="E1723" s="8" t="n"/>
      <c r="F1723" s="5" t="n"/>
      <c r="G1723" s="5" t="n"/>
      <c r="H1723" s="5" t="n"/>
      <c r="I1723" s="5" t="n"/>
    </row>
    <row r="1724">
      <c r="A1724" s="5" t="n"/>
      <c r="B1724" s="5" t="n"/>
      <c r="C1724" s="5" t="n"/>
      <c r="D1724" s="5" t="n"/>
      <c r="E1724" s="8" t="n"/>
      <c r="F1724" s="5" t="n"/>
      <c r="G1724" s="5" t="n"/>
      <c r="H1724" s="5" t="n"/>
      <c r="I1724" s="5" t="n"/>
    </row>
    <row r="1725">
      <c r="A1725" s="5" t="n"/>
      <c r="B1725" s="5" t="n"/>
      <c r="C1725" s="5" t="n"/>
      <c r="D1725" s="5" t="n"/>
      <c r="E1725" s="8" t="n"/>
      <c r="F1725" s="5" t="n"/>
      <c r="G1725" s="5" t="n"/>
      <c r="H1725" s="5" t="n"/>
      <c r="I1725" s="5" t="n"/>
    </row>
    <row r="1726">
      <c r="A1726" s="5" t="n"/>
      <c r="B1726" s="5" t="n"/>
      <c r="C1726" s="5" t="n"/>
      <c r="D1726" s="5" t="n"/>
      <c r="E1726" s="8" t="n"/>
      <c r="F1726" s="5" t="n"/>
      <c r="G1726" s="5" t="n"/>
      <c r="H1726" s="5" t="n"/>
      <c r="I1726" s="5" t="n"/>
    </row>
    <row r="1727">
      <c r="A1727" s="5" t="n"/>
      <c r="B1727" s="5" t="n"/>
      <c r="C1727" s="5" t="n"/>
      <c r="D1727" s="5" t="n"/>
      <c r="E1727" s="8" t="n"/>
      <c r="F1727" s="5" t="n"/>
      <c r="G1727" s="5" t="n"/>
      <c r="H1727" s="5" t="n"/>
      <c r="I1727" s="5" t="n"/>
    </row>
    <row r="1728">
      <c r="A1728" s="5" t="n"/>
      <c r="B1728" s="5" t="n"/>
      <c r="C1728" s="5" t="n"/>
      <c r="D1728" s="5" t="n"/>
      <c r="E1728" s="8" t="n"/>
      <c r="F1728" s="5" t="n"/>
      <c r="G1728" s="5" t="n"/>
      <c r="H1728" s="5" t="n"/>
      <c r="I1728" s="5" t="n"/>
    </row>
    <row r="1729">
      <c r="A1729" s="5" t="n"/>
      <c r="B1729" s="5" t="n"/>
      <c r="C1729" s="5" t="n"/>
      <c r="D1729" s="5" t="n"/>
      <c r="E1729" s="8" t="n"/>
      <c r="F1729" s="5" t="n"/>
      <c r="G1729" s="5" t="n"/>
      <c r="H1729" s="5" t="n"/>
      <c r="I1729" s="5" t="n"/>
    </row>
    <row r="1730">
      <c r="A1730" s="5" t="n"/>
      <c r="B1730" s="5" t="n"/>
      <c r="C1730" s="5" t="n"/>
      <c r="D1730" s="5" t="n"/>
      <c r="E1730" s="8" t="n"/>
      <c r="F1730" s="5" t="n"/>
      <c r="G1730" s="5" t="n"/>
      <c r="H1730" s="5" t="n"/>
      <c r="I1730" s="5" t="n"/>
    </row>
    <row r="1731">
      <c r="A1731" s="5" t="n"/>
      <c r="B1731" s="5" t="n"/>
      <c r="C1731" s="5" t="n"/>
      <c r="D1731" s="5" t="n"/>
      <c r="E1731" s="8" t="n"/>
      <c r="F1731" s="5" t="n"/>
      <c r="G1731" s="5" t="n"/>
      <c r="H1731" s="5" t="n"/>
      <c r="I1731" s="5" t="n"/>
    </row>
    <row r="1732">
      <c r="A1732" s="5" t="n"/>
      <c r="B1732" s="5" t="n"/>
      <c r="C1732" s="5" t="n"/>
      <c r="D1732" s="5" t="n"/>
      <c r="E1732" s="8" t="n"/>
      <c r="F1732" s="5" t="n"/>
      <c r="G1732" s="5" t="n"/>
      <c r="H1732" s="5" t="n"/>
      <c r="I1732" s="5" t="n"/>
    </row>
    <row r="1733">
      <c r="A1733" s="5" t="n"/>
      <c r="B1733" s="5" t="n"/>
      <c r="C1733" s="5" t="n"/>
      <c r="D1733" s="5" t="n"/>
      <c r="E1733" s="8" t="n"/>
      <c r="F1733" s="5" t="n"/>
      <c r="G1733" s="5" t="n"/>
      <c r="H1733" s="5" t="n"/>
      <c r="I1733" s="5" t="n"/>
    </row>
    <row r="1734">
      <c r="A1734" s="5" t="n"/>
      <c r="B1734" s="5" t="n"/>
      <c r="C1734" s="5" t="n"/>
      <c r="D1734" s="5" t="n"/>
      <c r="E1734" s="8" t="n"/>
      <c r="F1734" s="5" t="n"/>
      <c r="G1734" s="5" t="n"/>
      <c r="H1734" s="5" t="n"/>
      <c r="I1734" s="5" t="n"/>
    </row>
    <row r="1735">
      <c r="A1735" s="5" t="n"/>
      <c r="B1735" s="5" t="n"/>
      <c r="C1735" s="5" t="n"/>
      <c r="D1735" s="5" t="n"/>
      <c r="E1735" s="8" t="n"/>
      <c r="F1735" s="5" t="n"/>
      <c r="G1735" s="5" t="n"/>
      <c r="H1735" s="5" t="n"/>
      <c r="I1735" s="5" t="n"/>
    </row>
    <row r="1736">
      <c r="A1736" s="5" t="n"/>
      <c r="B1736" s="5" t="n"/>
      <c r="C1736" s="5" t="n"/>
      <c r="D1736" s="5" t="n"/>
      <c r="E1736" s="8" t="n"/>
      <c r="F1736" s="5" t="n"/>
      <c r="G1736" s="5" t="n"/>
      <c r="H1736" s="5" t="n"/>
      <c r="I1736" s="5" t="n"/>
    </row>
    <row r="1737">
      <c r="A1737" s="5" t="n"/>
      <c r="B1737" s="5" t="n"/>
      <c r="C1737" s="5" t="n"/>
      <c r="D1737" s="5" t="n"/>
      <c r="E1737" s="8" t="n"/>
      <c r="F1737" s="5" t="n"/>
      <c r="G1737" s="5" t="n"/>
      <c r="H1737" s="5" t="n"/>
      <c r="I1737" s="5" t="n"/>
    </row>
    <row r="1738">
      <c r="A1738" s="5" t="n"/>
      <c r="B1738" s="5" t="n"/>
      <c r="C1738" s="5" t="n"/>
      <c r="D1738" s="5" t="n"/>
      <c r="E1738" s="8" t="n"/>
      <c r="F1738" s="5" t="n"/>
      <c r="G1738" s="5" t="n"/>
      <c r="H1738" s="5" t="n"/>
      <c r="I1738" s="5" t="n"/>
    </row>
    <row r="1739">
      <c r="A1739" s="5" t="n"/>
      <c r="B1739" s="5" t="n"/>
      <c r="C1739" s="5" t="n"/>
      <c r="D1739" s="5" t="n"/>
      <c r="E1739" s="8" t="n"/>
      <c r="F1739" s="5" t="n"/>
      <c r="G1739" s="5" t="n"/>
      <c r="H1739" s="5" t="n"/>
      <c r="I1739" s="5" t="n"/>
    </row>
    <row r="1740">
      <c r="A1740" s="5" t="n"/>
      <c r="B1740" s="5" t="n"/>
      <c r="C1740" s="5" t="n"/>
      <c r="D1740" s="5" t="n"/>
      <c r="E1740" s="8" t="n"/>
      <c r="F1740" s="5" t="n"/>
      <c r="G1740" s="5" t="n"/>
      <c r="H1740" s="5" t="n"/>
      <c r="I1740" s="5" t="n"/>
    </row>
    <row r="1741">
      <c r="A1741" s="5" t="n"/>
      <c r="B1741" s="5" t="n"/>
      <c r="C1741" s="5" t="n"/>
      <c r="D1741" s="5" t="n"/>
      <c r="E1741" s="8" t="n"/>
      <c r="F1741" s="5" t="n"/>
      <c r="G1741" s="5" t="n"/>
      <c r="H1741" s="5" t="n"/>
      <c r="I1741" s="5" t="n"/>
    </row>
    <row r="1742">
      <c r="A1742" s="5" t="n"/>
      <c r="B1742" s="5" t="n"/>
      <c r="C1742" s="5" t="n"/>
      <c r="D1742" s="5" t="n"/>
      <c r="E1742" s="8" t="n"/>
      <c r="F1742" s="5" t="n"/>
      <c r="G1742" s="5" t="n"/>
      <c r="H1742" s="5" t="n"/>
      <c r="I1742" s="5" t="n"/>
    </row>
    <row r="1743">
      <c r="A1743" s="5" t="n"/>
      <c r="B1743" s="5" t="n"/>
      <c r="C1743" s="5" t="n"/>
      <c r="D1743" s="5" t="n"/>
      <c r="E1743" s="8" t="n"/>
      <c r="F1743" s="5" t="n"/>
      <c r="G1743" s="5" t="n"/>
      <c r="H1743" s="5" t="n"/>
      <c r="I1743" s="5" t="n"/>
    </row>
    <row r="1744">
      <c r="A1744" s="5" t="n"/>
      <c r="B1744" s="5" t="n"/>
      <c r="C1744" s="5" t="n"/>
      <c r="D1744" s="5" t="n"/>
      <c r="E1744" s="8" t="n"/>
      <c r="F1744" s="5" t="n"/>
      <c r="G1744" s="5" t="n"/>
      <c r="H1744" s="5" t="n"/>
      <c r="I1744" s="5" t="n"/>
    </row>
    <row r="1745">
      <c r="A1745" s="5" t="n"/>
      <c r="B1745" s="5" t="n"/>
      <c r="C1745" s="5" t="n"/>
      <c r="D1745" s="5" t="n"/>
      <c r="E1745" s="8" t="n"/>
      <c r="F1745" s="5" t="n"/>
      <c r="G1745" s="5" t="n"/>
      <c r="H1745" s="5" t="n"/>
      <c r="I1745" s="5" t="n"/>
    </row>
    <row r="1746">
      <c r="A1746" s="5" t="n"/>
      <c r="B1746" s="5" t="n"/>
      <c r="C1746" s="5" t="n"/>
      <c r="D1746" s="5" t="n"/>
      <c r="E1746" s="8" t="n"/>
      <c r="F1746" s="5" t="n"/>
      <c r="G1746" s="5" t="n"/>
      <c r="H1746" s="5" t="n"/>
      <c r="I1746" s="5" t="n"/>
    </row>
    <row r="1747">
      <c r="A1747" s="5" t="n"/>
      <c r="B1747" s="5" t="n"/>
      <c r="C1747" s="5" t="n"/>
      <c r="D1747" s="5" t="n"/>
      <c r="E1747" s="8" t="n"/>
      <c r="F1747" s="5" t="n"/>
      <c r="G1747" s="5" t="n"/>
      <c r="H1747" s="5" t="n"/>
      <c r="I1747" s="5" t="n"/>
    </row>
    <row r="1748">
      <c r="A1748" s="5" t="n"/>
      <c r="B1748" s="5" t="n"/>
      <c r="C1748" s="5" t="n"/>
      <c r="D1748" s="5" t="n"/>
      <c r="E1748" s="8" t="n"/>
      <c r="F1748" s="5" t="n"/>
      <c r="G1748" s="5" t="n"/>
      <c r="H1748" s="5" t="n"/>
      <c r="I1748" s="5" t="n"/>
    </row>
    <row r="1749">
      <c r="A1749" s="5" t="n"/>
      <c r="B1749" s="5" t="n"/>
      <c r="C1749" s="5" t="n"/>
      <c r="D1749" s="5" t="n"/>
      <c r="E1749" s="8" t="n"/>
      <c r="F1749" s="5" t="n"/>
      <c r="G1749" s="5" t="n"/>
      <c r="H1749" s="5" t="n"/>
      <c r="I1749" s="5" t="n"/>
    </row>
    <row r="1750">
      <c r="A1750" s="5" t="n"/>
      <c r="B1750" s="5" t="n"/>
      <c r="C1750" s="5" t="n"/>
      <c r="D1750" s="5" t="n"/>
      <c r="E1750" s="8" t="n"/>
      <c r="F1750" s="5" t="n"/>
      <c r="G1750" s="5" t="n"/>
      <c r="H1750" s="5" t="n"/>
      <c r="I1750" s="5" t="n"/>
    </row>
    <row r="1751">
      <c r="A1751" s="5" t="n"/>
      <c r="B1751" s="5" t="n"/>
      <c r="C1751" s="5" t="n"/>
      <c r="D1751" s="5" t="n"/>
      <c r="E1751" s="8" t="n"/>
      <c r="F1751" s="5" t="n"/>
      <c r="G1751" s="5" t="n"/>
      <c r="H1751" s="5" t="n"/>
      <c r="I1751" s="5" t="n"/>
    </row>
    <row r="1752">
      <c r="A1752" s="5" t="n"/>
      <c r="B1752" s="5" t="n"/>
      <c r="C1752" s="5" t="n"/>
      <c r="D1752" s="5" t="n"/>
      <c r="E1752" s="8" t="n"/>
      <c r="F1752" s="5" t="n"/>
      <c r="G1752" s="5" t="n"/>
      <c r="H1752" s="5" t="n"/>
      <c r="I1752" s="5" t="n"/>
    </row>
    <row r="1753">
      <c r="A1753" s="5" t="n"/>
      <c r="B1753" s="5" t="n"/>
      <c r="C1753" s="5" t="n"/>
      <c r="D1753" s="5" t="n"/>
      <c r="E1753" s="8" t="n"/>
      <c r="F1753" s="5" t="n"/>
      <c r="G1753" s="5" t="n"/>
      <c r="H1753" s="5" t="n"/>
      <c r="I1753" s="5" t="n"/>
    </row>
    <row r="1754">
      <c r="A1754" s="5" t="n"/>
      <c r="B1754" s="5" t="n"/>
      <c r="C1754" s="5" t="n"/>
      <c r="D1754" s="5" t="n"/>
      <c r="E1754" s="8" t="n"/>
      <c r="F1754" s="5" t="n"/>
      <c r="G1754" s="5" t="n"/>
      <c r="H1754" s="5" t="n"/>
      <c r="I1754" s="5" t="n"/>
    </row>
    <row r="1755">
      <c r="A1755" s="5" t="n"/>
      <c r="B1755" s="5" t="n"/>
      <c r="C1755" s="5" t="n"/>
      <c r="D1755" s="5" t="n"/>
      <c r="E1755" s="8" t="n"/>
      <c r="F1755" s="5" t="n"/>
      <c r="G1755" s="5" t="n"/>
      <c r="H1755" s="5" t="n"/>
      <c r="I1755" s="5" t="n"/>
    </row>
    <row r="1756">
      <c r="A1756" s="5" t="n"/>
      <c r="B1756" s="5" t="n"/>
      <c r="C1756" s="5" t="n"/>
      <c r="D1756" s="5" t="n"/>
      <c r="E1756" s="8" t="n"/>
      <c r="F1756" s="5" t="n"/>
      <c r="G1756" s="5" t="n"/>
      <c r="H1756" s="5" t="n"/>
      <c r="I1756" s="5" t="n"/>
    </row>
    <row r="1757">
      <c r="A1757" s="5" t="n"/>
      <c r="B1757" s="5" t="n"/>
      <c r="C1757" s="5" t="n"/>
      <c r="D1757" s="5" t="n"/>
      <c r="E1757" s="8" t="n"/>
      <c r="F1757" s="5" t="n"/>
      <c r="G1757" s="5" t="n"/>
      <c r="H1757" s="5" t="n"/>
      <c r="I1757" s="5" t="n"/>
    </row>
    <row r="1758">
      <c r="A1758" s="5" t="n"/>
      <c r="B1758" s="5" t="n"/>
      <c r="C1758" s="5" t="n"/>
      <c r="D1758" s="5" t="n"/>
      <c r="E1758" s="8" t="n"/>
      <c r="F1758" s="5" t="n"/>
      <c r="G1758" s="5" t="n"/>
      <c r="H1758" s="5" t="n"/>
      <c r="I1758" s="5" t="n"/>
    </row>
    <row r="1759">
      <c r="A1759" s="5" t="n"/>
      <c r="B1759" s="5" t="n"/>
      <c r="C1759" s="5" t="n"/>
      <c r="D1759" s="5" t="n"/>
      <c r="E1759" s="8" t="n"/>
      <c r="F1759" s="5" t="n"/>
      <c r="G1759" s="5" t="n"/>
      <c r="H1759" s="5" t="n"/>
      <c r="I1759" s="5" t="n"/>
    </row>
    <row r="1760">
      <c r="A1760" s="5" t="n"/>
      <c r="B1760" s="5" t="n"/>
      <c r="C1760" s="5" t="n"/>
      <c r="D1760" s="5" t="n"/>
      <c r="E1760" s="8" t="n"/>
      <c r="F1760" s="5" t="n"/>
      <c r="G1760" s="5" t="n"/>
      <c r="H1760" s="5" t="n"/>
      <c r="I1760" s="5" t="n"/>
    </row>
    <row r="1761">
      <c r="A1761" s="5" t="n"/>
      <c r="B1761" s="5" t="n"/>
      <c r="C1761" s="5" t="n"/>
      <c r="D1761" s="5" t="n"/>
      <c r="E1761" s="8" t="n"/>
      <c r="F1761" s="5" t="n"/>
      <c r="G1761" s="5" t="n"/>
      <c r="H1761" s="5" t="n"/>
      <c r="I1761" s="5" t="n"/>
    </row>
    <row r="1762">
      <c r="A1762" s="5" t="n"/>
      <c r="B1762" s="5" t="n"/>
      <c r="C1762" s="5" t="n"/>
      <c r="D1762" s="5" t="n"/>
      <c r="E1762" s="8" t="n"/>
      <c r="F1762" s="5" t="n"/>
      <c r="G1762" s="5" t="n"/>
      <c r="H1762" s="5" t="n"/>
      <c r="I1762" s="5" t="n"/>
    </row>
    <row r="1763">
      <c r="A1763" s="5" t="n"/>
      <c r="B1763" s="5" t="n"/>
      <c r="C1763" s="5" t="n"/>
      <c r="D1763" s="5" t="n"/>
      <c r="E1763" s="8" t="n"/>
      <c r="F1763" s="5" t="n"/>
      <c r="G1763" s="5" t="n"/>
      <c r="H1763" s="5" t="n"/>
      <c r="I1763" s="5" t="n"/>
    </row>
    <row r="1764">
      <c r="A1764" s="5" t="n"/>
      <c r="B1764" s="5" t="n"/>
      <c r="C1764" s="5" t="n"/>
      <c r="D1764" s="5" t="n"/>
      <c r="E1764" s="8" t="n"/>
      <c r="F1764" s="5" t="n"/>
      <c r="G1764" s="5" t="n"/>
      <c r="H1764" s="5" t="n"/>
      <c r="I1764" s="5" t="n"/>
    </row>
    <row r="1765">
      <c r="A1765" s="5" t="n"/>
      <c r="B1765" s="5" t="n"/>
      <c r="C1765" s="5" t="n"/>
      <c r="D1765" s="5" t="n"/>
      <c r="E1765" s="8" t="n"/>
      <c r="F1765" s="5" t="n"/>
      <c r="G1765" s="5" t="n"/>
      <c r="H1765" s="5" t="n"/>
      <c r="I1765" s="5" t="n"/>
    </row>
    <row r="1766">
      <c r="A1766" s="5" t="n"/>
      <c r="B1766" s="5" t="n"/>
      <c r="C1766" s="5" t="n"/>
      <c r="D1766" s="5" t="n"/>
      <c r="E1766" s="8" t="n"/>
      <c r="F1766" s="5" t="n"/>
      <c r="G1766" s="5" t="n"/>
      <c r="H1766" s="5" t="n"/>
      <c r="I1766" s="5" t="n"/>
    </row>
    <row r="1767">
      <c r="A1767" s="5" t="n"/>
      <c r="B1767" s="5" t="n"/>
      <c r="C1767" s="5" t="n"/>
      <c r="D1767" s="5" t="n"/>
      <c r="E1767" s="8" t="n"/>
      <c r="F1767" s="5" t="n"/>
      <c r="G1767" s="5" t="n"/>
      <c r="H1767" s="5" t="n"/>
      <c r="I1767" s="5" t="n"/>
    </row>
    <row r="1768">
      <c r="A1768" s="5" t="n"/>
      <c r="B1768" s="5" t="n"/>
      <c r="C1768" s="5" t="n"/>
      <c r="D1768" s="5" t="n"/>
      <c r="E1768" s="8" t="n"/>
      <c r="F1768" s="5" t="n"/>
      <c r="G1768" s="5" t="n"/>
      <c r="H1768" s="5" t="n"/>
      <c r="I1768" s="5" t="n"/>
    </row>
    <row r="1769">
      <c r="A1769" s="5" t="n"/>
      <c r="B1769" s="5" t="n"/>
      <c r="C1769" s="5" t="n"/>
      <c r="D1769" s="5" t="n"/>
      <c r="E1769" s="8" t="n"/>
      <c r="F1769" s="5" t="n"/>
      <c r="G1769" s="5" t="n"/>
      <c r="H1769" s="5" t="n"/>
      <c r="I1769" s="5" t="n"/>
    </row>
    <row r="1770">
      <c r="A1770" s="5" t="n"/>
      <c r="B1770" s="5" t="n"/>
      <c r="C1770" s="5" t="n"/>
      <c r="D1770" s="5" t="n"/>
      <c r="E1770" s="8" t="n"/>
      <c r="F1770" s="5" t="n"/>
      <c r="G1770" s="5" t="n"/>
      <c r="H1770" s="5" t="n"/>
      <c r="I1770" s="5" t="n"/>
    </row>
    <row r="1771">
      <c r="A1771" s="5" t="n"/>
      <c r="B1771" s="5" t="n"/>
      <c r="C1771" s="5" t="n"/>
      <c r="D1771" s="5" t="n"/>
      <c r="E1771" s="8" t="n"/>
      <c r="F1771" s="5" t="n"/>
      <c r="G1771" s="5" t="n"/>
      <c r="H1771" s="5" t="n"/>
      <c r="I1771" s="5" t="n"/>
    </row>
    <row r="1772">
      <c r="A1772" s="5" t="n"/>
      <c r="B1772" s="5" t="n"/>
      <c r="C1772" s="5" t="n"/>
      <c r="D1772" s="5" t="n"/>
      <c r="E1772" s="8" t="n"/>
      <c r="F1772" s="5" t="n"/>
      <c r="G1772" s="5" t="n"/>
      <c r="H1772" s="5" t="n"/>
      <c r="I1772" s="5" t="n"/>
    </row>
    <row r="1773">
      <c r="A1773" s="5" t="n"/>
      <c r="B1773" s="5" t="n"/>
      <c r="C1773" s="5" t="n"/>
      <c r="D1773" s="5" t="n"/>
      <c r="E1773" s="8" t="n"/>
      <c r="F1773" s="5" t="n"/>
      <c r="G1773" s="5" t="n"/>
      <c r="H1773" s="5" t="n"/>
      <c r="I1773" s="5" t="n"/>
    </row>
    <row r="1774">
      <c r="A1774" s="5" t="n"/>
      <c r="B1774" s="5" t="n"/>
      <c r="C1774" s="5" t="n"/>
      <c r="D1774" s="5" t="n"/>
      <c r="E1774" s="8" t="n"/>
      <c r="F1774" s="5" t="n"/>
      <c r="G1774" s="5" t="n"/>
      <c r="H1774" s="5" t="n"/>
      <c r="I1774" s="5" t="n"/>
    </row>
    <row r="1775">
      <c r="A1775" s="5" t="n"/>
      <c r="B1775" s="5" t="n"/>
      <c r="C1775" s="5" t="n"/>
      <c r="D1775" s="5" t="n"/>
      <c r="E1775" s="8" t="n"/>
      <c r="F1775" s="5" t="n"/>
      <c r="G1775" s="5" t="n"/>
      <c r="H1775" s="5" t="n"/>
      <c r="I1775" s="5" t="n"/>
    </row>
    <row r="1776">
      <c r="A1776" s="5" t="n"/>
      <c r="B1776" s="5" t="n"/>
      <c r="C1776" s="5" t="n"/>
      <c r="D1776" s="5" t="n"/>
      <c r="E1776" s="8" t="n"/>
      <c r="F1776" s="5" t="n"/>
      <c r="G1776" s="5" t="n"/>
      <c r="H1776" s="5" t="n"/>
      <c r="I1776" s="5" t="n"/>
    </row>
    <row r="1777">
      <c r="A1777" s="5" t="n"/>
      <c r="B1777" s="5" t="n"/>
      <c r="C1777" s="5" t="n"/>
      <c r="D1777" s="5" t="n"/>
      <c r="E1777" s="8" t="n"/>
      <c r="F1777" s="5" t="n"/>
      <c r="G1777" s="5" t="n"/>
      <c r="H1777" s="5" t="n"/>
      <c r="I1777" s="5" t="n"/>
    </row>
    <row r="1778">
      <c r="A1778" s="5" t="n"/>
      <c r="B1778" s="5" t="n"/>
      <c r="C1778" s="5" t="n"/>
      <c r="D1778" s="5" t="n"/>
      <c r="E1778" s="8" t="n"/>
      <c r="F1778" s="5" t="n"/>
      <c r="G1778" s="5" t="n"/>
      <c r="H1778" s="5" t="n"/>
      <c r="I1778" s="5" t="n"/>
    </row>
    <row r="1779">
      <c r="A1779" s="5" t="n"/>
      <c r="B1779" s="5" t="n"/>
      <c r="C1779" s="5" t="n"/>
      <c r="D1779" s="5" t="n"/>
      <c r="E1779" s="8" t="n"/>
      <c r="F1779" s="5" t="n"/>
      <c r="G1779" s="5" t="n"/>
      <c r="H1779" s="5" t="n"/>
      <c r="I1779" s="5" t="n"/>
    </row>
    <row r="1780">
      <c r="A1780" s="5" t="n"/>
      <c r="B1780" s="5" t="n"/>
      <c r="C1780" s="5" t="n"/>
      <c r="D1780" s="5" t="n"/>
      <c r="E1780" s="8" t="n"/>
      <c r="F1780" s="5" t="n"/>
      <c r="G1780" s="5" t="n"/>
      <c r="H1780" s="5" t="n"/>
      <c r="I1780" s="5" t="n"/>
    </row>
    <row r="1781">
      <c r="A1781" s="5" t="n"/>
      <c r="B1781" s="5" t="n"/>
      <c r="C1781" s="5" t="n"/>
      <c r="D1781" s="5" t="n"/>
      <c r="E1781" s="8" t="n"/>
      <c r="F1781" s="5" t="n"/>
      <c r="G1781" s="5" t="n"/>
      <c r="H1781" s="5" t="n"/>
      <c r="I1781" s="5" t="n"/>
    </row>
    <row r="1782">
      <c r="A1782" s="5" t="n"/>
      <c r="B1782" s="5" t="n"/>
      <c r="C1782" s="5" t="n"/>
      <c r="D1782" s="5" t="n"/>
      <c r="E1782" s="8" t="n"/>
      <c r="F1782" s="5" t="n"/>
      <c r="G1782" s="5" t="n"/>
      <c r="H1782" s="5" t="n"/>
      <c r="I1782" s="5" t="n"/>
    </row>
    <row r="1783">
      <c r="A1783" s="5" t="n"/>
      <c r="B1783" s="5" t="n"/>
      <c r="C1783" s="5" t="n"/>
      <c r="D1783" s="5" t="n"/>
      <c r="E1783" s="8" t="n"/>
      <c r="F1783" s="5" t="n"/>
      <c r="G1783" s="5" t="n"/>
      <c r="H1783" s="5" t="n"/>
      <c r="I1783" s="5" t="n"/>
    </row>
    <row r="1784">
      <c r="A1784" s="5" t="n"/>
      <c r="B1784" s="5" t="n"/>
      <c r="C1784" s="5" t="n"/>
      <c r="D1784" s="5" t="n"/>
      <c r="E1784" s="8" t="n"/>
      <c r="F1784" s="5" t="n"/>
      <c r="G1784" s="5" t="n"/>
      <c r="H1784" s="5" t="n"/>
      <c r="I1784" s="5" t="n"/>
    </row>
    <row r="1785">
      <c r="A1785" s="5" t="n"/>
      <c r="B1785" s="5" t="n"/>
      <c r="C1785" s="5" t="n"/>
      <c r="D1785" s="5" t="n"/>
      <c r="E1785" s="8" t="n"/>
      <c r="F1785" s="5" t="n"/>
      <c r="G1785" s="5" t="n"/>
      <c r="H1785" s="5" t="n"/>
      <c r="I1785" s="5" t="n"/>
    </row>
    <row r="1786">
      <c r="A1786" s="5" t="n"/>
      <c r="B1786" s="5" t="n"/>
      <c r="C1786" s="5" t="n"/>
      <c r="D1786" s="5" t="n"/>
      <c r="E1786" s="8" t="n"/>
      <c r="F1786" s="5" t="n"/>
      <c r="G1786" s="5" t="n"/>
      <c r="H1786" s="5" t="n"/>
      <c r="I1786" s="5" t="n"/>
    </row>
    <row r="1787">
      <c r="A1787" s="5" t="n"/>
      <c r="B1787" s="5" t="n"/>
      <c r="C1787" s="5" t="n"/>
      <c r="D1787" s="5" t="n"/>
      <c r="E1787" s="8" t="n"/>
      <c r="F1787" s="5" t="n"/>
      <c r="G1787" s="5" t="n"/>
      <c r="H1787" s="5" t="n"/>
      <c r="I1787" s="5" t="n"/>
    </row>
    <row r="1788">
      <c r="A1788" s="5" t="n"/>
      <c r="B1788" s="5" t="n"/>
      <c r="C1788" s="5" t="n"/>
      <c r="D1788" s="5" t="n"/>
      <c r="E1788" s="8" t="n"/>
      <c r="F1788" s="5" t="n"/>
      <c r="G1788" s="5" t="n"/>
      <c r="H1788" s="5" t="n"/>
      <c r="I1788" s="5" t="n"/>
    </row>
    <row r="1789">
      <c r="A1789" s="5" t="n"/>
      <c r="B1789" s="5" t="n"/>
      <c r="C1789" s="5" t="n"/>
      <c r="D1789" s="5" t="n"/>
      <c r="E1789" s="8" t="n"/>
      <c r="F1789" s="5" t="n"/>
      <c r="G1789" s="5" t="n"/>
      <c r="H1789" s="5" t="n"/>
      <c r="I1789" s="5" t="n"/>
    </row>
    <row r="1790">
      <c r="A1790" s="5" t="n"/>
      <c r="B1790" s="5" t="n"/>
      <c r="C1790" s="5" t="n"/>
      <c r="D1790" s="5" t="n"/>
      <c r="E1790" s="8" t="n"/>
      <c r="F1790" s="5" t="n"/>
      <c r="G1790" s="5" t="n"/>
      <c r="H1790" s="5" t="n"/>
      <c r="I1790" s="5" t="n"/>
    </row>
    <row r="1791">
      <c r="A1791" s="5" t="n"/>
      <c r="B1791" s="5" t="n"/>
      <c r="C1791" s="5" t="n"/>
      <c r="D1791" s="5" t="n"/>
      <c r="E1791" s="8" t="n"/>
      <c r="F1791" s="5" t="n"/>
      <c r="G1791" s="5" t="n"/>
      <c r="H1791" s="5" t="n"/>
      <c r="I1791" s="5" t="n"/>
    </row>
    <row r="1792">
      <c r="A1792" s="5" t="n"/>
      <c r="B1792" s="5" t="n"/>
      <c r="C1792" s="5" t="n"/>
      <c r="D1792" s="5" t="n"/>
      <c r="E1792" s="8" t="n"/>
      <c r="F1792" s="5" t="n"/>
      <c r="G1792" s="5" t="n"/>
      <c r="H1792" s="5" t="n"/>
      <c r="I1792" s="5" t="n"/>
    </row>
    <row r="1793">
      <c r="A1793" s="5" t="n"/>
      <c r="B1793" s="5" t="n"/>
      <c r="C1793" s="5" t="n"/>
      <c r="D1793" s="5" t="n"/>
      <c r="E1793" s="8" t="n"/>
      <c r="F1793" s="5" t="n"/>
      <c r="G1793" s="5" t="n"/>
      <c r="H1793" s="5" t="n"/>
      <c r="I1793" s="5" t="n"/>
    </row>
    <row r="1794">
      <c r="A1794" s="5" t="n"/>
      <c r="B1794" s="5" t="n"/>
      <c r="C1794" s="5" t="n"/>
      <c r="D1794" s="5" t="n"/>
      <c r="E1794" s="8" t="n"/>
      <c r="F1794" s="5" t="n"/>
      <c r="G1794" s="5" t="n"/>
      <c r="H1794" s="5" t="n"/>
      <c r="I1794" s="5" t="n"/>
    </row>
    <row r="1795">
      <c r="A1795" s="5" t="n"/>
      <c r="B1795" s="5" t="n"/>
      <c r="C1795" s="5" t="n"/>
      <c r="D1795" s="5" t="n"/>
      <c r="E1795" s="8" t="n"/>
      <c r="F1795" s="5" t="n"/>
      <c r="G1795" s="5" t="n"/>
      <c r="H1795" s="5" t="n"/>
      <c r="I1795" s="5" t="n"/>
    </row>
    <row r="1796">
      <c r="A1796" s="5" t="n"/>
      <c r="B1796" s="5" t="n"/>
      <c r="C1796" s="5" t="n"/>
      <c r="D1796" s="5" t="n"/>
      <c r="E1796" s="8" t="n"/>
      <c r="F1796" s="5" t="n"/>
      <c r="G1796" s="5" t="n"/>
      <c r="H1796" s="5" t="n"/>
      <c r="I1796" s="5" t="n"/>
    </row>
    <row r="1797">
      <c r="A1797" s="5" t="n"/>
      <c r="B1797" s="5" t="n"/>
      <c r="C1797" s="5" t="n"/>
      <c r="D1797" s="5" t="n"/>
      <c r="E1797" s="8" t="n"/>
      <c r="F1797" s="5" t="n"/>
      <c r="G1797" s="5" t="n"/>
      <c r="H1797" s="5" t="n"/>
      <c r="I1797" s="5" t="n"/>
    </row>
    <row r="1798">
      <c r="A1798" s="5" t="n"/>
      <c r="B1798" s="5" t="n"/>
      <c r="C1798" s="5" t="n"/>
      <c r="D1798" s="5" t="n"/>
      <c r="E1798" s="8" t="n"/>
      <c r="F1798" s="5" t="n"/>
      <c r="G1798" s="5" t="n"/>
      <c r="H1798" s="5" t="n"/>
      <c r="I1798" s="5" t="n"/>
    </row>
    <row r="1799">
      <c r="A1799" s="5" t="n"/>
      <c r="B1799" s="5" t="n"/>
      <c r="C1799" s="5" t="n"/>
      <c r="D1799" s="5" t="n"/>
      <c r="E1799" s="8" t="n"/>
      <c r="F1799" s="5" t="n"/>
      <c r="G1799" s="5" t="n"/>
      <c r="H1799" s="5" t="n"/>
      <c r="I1799" s="5" t="n"/>
    </row>
    <row r="1800">
      <c r="A1800" s="5" t="n"/>
      <c r="B1800" s="5" t="n"/>
      <c r="C1800" s="5" t="n"/>
      <c r="D1800" s="5" t="n"/>
      <c r="E1800" s="8" t="n"/>
      <c r="F1800" s="5" t="n"/>
      <c r="G1800" s="5" t="n"/>
      <c r="H1800" s="5" t="n"/>
      <c r="I1800" s="5" t="n"/>
    </row>
    <row r="1801">
      <c r="A1801" s="5" t="n"/>
      <c r="B1801" s="5" t="n"/>
      <c r="C1801" s="5" t="n"/>
      <c r="D1801" s="5" t="n"/>
      <c r="E1801" s="8" t="n"/>
      <c r="F1801" s="5" t="n"/>
      <c r="G1801" s="5" t="n"/>
      <c r="H1801" s="5" t="n"/>
      <c r="I1801" s="5" t="n"/>
    </row>
    <row r="1802">
      <c r="A1802" s="5" t="n"/>
      <c r="B1802" s="5" t="n"/>
      <c r="C1802" s="5" t="n"/>
      <c r="D1802" s="5" t="n"/>
      <c r="E1802" s="8" t="n"/>
      <c r="F1802" s="5" t="n"/>
      <c r="G1802" s="5" t="n"/>
      <c r="H1802" s="5" t="n"/>
      <c r="I1802" s="5" t="n"/>
    </row>
    <row r="1803">
      <c r="A1803" s="5" t="n"/>
      <c r="B1803" s="5" t="n"/>
      <c r="C1803" s="5" t="n"/>
      <c r="D1803" s="5" t="n"/>
      <c r="E1803" s="8" t="n"/>
      <c r="F1803" s="5" t="n"/>
      <c r="G1803" s="5" t="n"/>
      <c r="H1803" s="5" t="n"/>
      <c r="I1803" s="5" t="n"/>
    </row>
    <row r="1804">
      <c r="A1804" s="5" t="n"/>
      <c r="B1804" s="5" t="n"/>
      <c r="C1804" s="5" t="n"/>
      <c r="D1804" s="5" t="n"/>
      <c r="E1804" s="8" t="n"/>
      <c r="F1804" s="5" t="n"/>
      <c r="G1804" s="5" t="n"/>
      <c r="H1804" s="5" t="n"/>
      <c r="I1804" s="5" t="n"/>
    </row>
    <row r="1805">
      <c r="A1805" s="5" t="n"/>
      <c r="B1805" s="5" t="n"/>
      <c r="C1805" s="5" t="n"/>
      <c r="D1805" s="5" t="n"/>
      <c r="E1805" s="8" t="n"/>
      <c r="F1805" s="5" t="n"/>
      <c r="G1805" s="5" t="n"/>
      <c r="H1805" s="5" t="n"/>
      <c r="I1805" s="5" t="n"/>
    </row>
    <row r="1806">
      <c r="A1806" s="5" t="n"/>
      <c r="B1806" s="5" t="n"/>
      <c r="C1806" s="5" t="n"/>
      <c r="D1806" s="5" t="n"/>
      <c r="E1806" s="8" t="n"/>
      <c r="F1806" s="5" t="n"/>
      <c r="G1806" s="5" t="n"/>
      <c r="H1806" s="5" t="n"/>
      <c r="I1806" s="5" t="n"/>
    </row>
    <row r="1807">
      <c r="A1807" s="5" t="n"/>
      <c r="B1807" s="5" t="n"/>
      <c r="C1807" s="5" t="n"/>
      <c r="D1807" s="5" t="n"/>
      <c r="E1807" s="8" t="n"/>
      <c r="F1807" s="5" t="n"/>
      <c r="G1807" s="5" t="n"/>
      <c r="H1807" s="5" t="n"/>
      <c r="I1807" s="5" t="n"/>
    </row>
    <row r="1808">
      <c r="A1808" s="5" t="n"/>
      <c r="B1808" s="5" t="n"/>
      <c r="C1808" s="5" t="n"/>
      <c r="D1808" s="5" t="n"/>
      <c r="E1808" s="8" t="n"/>
      <c r="F1808" s="5" t="n"/>
      <c r="G1808" s="5" t="n"/>
      <c r="H1808" s="5" t="n"/>
      <c r="I1808" s="5" t="n"/>
    </row>
    <row r="1809">
      <c r="A1809" s="5" t="n"/>
      <c r="B1809" s="5" t="n"/>
      <c r="C1809" s="5" t="n"/>
      <c r="D1809" s="5" t="n"/>
      <c r="E1809" s="8" t="n"/>
      <c r="F1809" s="5" t="n"/>
      <c r="G1809" s="5" t="n"/>
      <c r="H1809" s="5" t="n"/>
      <c r="I1809" s="5" t="n"/>
    </row>
    <row r="1810">
      <c r="A1810" s="5" t="n"/>
      <c r="B1810" s="5" t="n"/>
      <c r="C1810" s="5" t="n"/>
      <c r="D1810" s="5" t="n"/>
      <c r="E1810" s="8" t="n"/>
      <c r="F1810" s="5" t="n"/>
      <c r="G1810" s="5" t="n"/>
      <c r="H1810" s="5" t="n"/>
      <c r="I1810" s="5" t="n"/>
    </row>
    <row r="1811">
      <c r="A1811" s="5" t="n"/>
      <c r="B1811" s="5" t="n"/>
      <c r="C1811" s="5" t="n"/>
      <c r="D1811" s="5" t="n"/>
      <c r="E1811" s="8" t="n"/>
      <c r="F1811" s="5" t="n"/>
      <c r="G1811" s="5" t="n"/>
      <c r="H1811" s="5" t="n"/>
      <c r="I1811" s="5" t="n"/>
    </row>
    <row r="1812">
      <c r="A1812" s="5" t="n"/>
      <c r="B1812" s="5" t="n"/>
      <c r="C1812" s="5" t="n"/>
      <c r="D1812" s="5" t="n"/>
      <c r="E1812" s="8" t="n"/>
      <c r="F1812" s="5" t="n"/>
      <c r="G1812" s="5" t="n"/>
      <c r="H1812" s="5" t="n"/>
      <c r="I1812" s="5" t="n"/>
    </row>
    <row r="1813">
      <c r="A1813" s="5" t="n"/>
      <c r="B1813" s="5" t="n"/>
      <c r="C1813" s="5" t="n"/>
      <c r="D1813" s="5" t="n"/>
      <c r="E1813" s="8" t="n"/>
      <c r="F1813" s="5" t="n"/>
      <c r="G1813" s="5" t="n"/>
      <c r="H1813" s="5" t="n"/>
      <c r="I1813" s="5" t="n"/>
    </row>
    <row r="1814">
      <c r="A1814" s="5" t="n"/>
      <c r="B1814" s="5" t="n"/>
      <c r="C1814" s="5" t="n"/>
      <c r="D1814" s="5" t="n"/>
      <c r="E1814" s="8" t="n"/>
      <c r="F1814" s="5" t="n"/>
      <c r="G1814" s="5" t="n"/>
      <c r="H1814" s="5" t="n"/>
      <c r="I1814" s="5" t="n"/>
    </row>
    <row r="1815">
      <c r="A1815" s="5" t="n"/>
      <c r="B1815" s="5" t="n"/>
      <c r="C1815" s="5" t="n"/>
      <c r="D1815" s="5" t="n"/>
      <c r="E1815" s="8" t="n"/>
      <c r="F1815" s="5" t="n"/>
      <c r="G1815" s="5" t="n"/>
      <c r="H1815" s="5" t="n"/>
      <c r="I1815" s="5" t="n"/>
    </row>
    <row r="1816">
      <c r="A1816" s="5" t="n"/>
      <c r="B1816" s="5" t="n"/>
      <c r="C1816" s="5" t="n"/>
      <c r="D1816" s="5" t="n"/>
      <c r="E1816" s="8" t="n"/>
      <c r="F1816" s="5" t="n"/>
      <c r="G1816" s="5" t="n"/>
      <c r="H1816" s="5" t="n"/>
      <c r="I1816" s="5" t="n"/>
    </row>
    <row r="1817">
      <c r="A1817" s="5" t="n"/>
      <c r="B1817" s="5" t="n"/>
      <c r="C1817" s="5" t="n"/>
      <c r="D1817" s="5" t="n"/>
      <c r="E1817" s="8" t="n"/>
      <c r="F1817" s="5" t="n"/>
      <c r="G1817" s="5" t="n"/>
      <c r="H1817" s="5" t="n"/>
      <c r="I1817" s="5" t="n"/>
    </row>
    <row r="1818">
      <c r="A1818" s="5" t="n"/>
      <c r="B1818" s="5" t="n"/>
      <c r="C1818" s="5" t="n"/>
      <c r="D1818" s="5" t="n"/>
      <c r="E1818" s="8" t="n"/>
      <c r="F1818" s="5" t="n"/>
      <c r="G1818" s="5" t="n"/>
      <c r="H1818" s="5" t="n"/>
      <c r="I1818" s="5" t="n"/>
    </row>
    <row r="1819">
      <c r="A1819" s="5" t="n"/>
      <c r="B1819" s="5" t="n"/>
      <c r="C1819" s="5" t="n"/>
      <c r="D1819" s="5" t="n"/>
      <c r="E1819" s="8" t="n"/>
      <c r="F1819" s="5" t="n"/>
      <c r="G1819" s="5" t="n"/>
      <c r="H1819" s="5" t="n"/>
      <c r="I1819" s="5" t="n"/>
    </row>
    <row r="1820">
      <c r="A1820" s="5" t="n"/>
      <c r="B1820" s="5" t="n"/>
      <c r="C1820" s="5" t="n"/>
      <c r="D1820" s="5" t="n"/>
      <c r="E1820" s="8" t="n"/>
      <c r="F1820" s="5" t="n"/>
      <c r="G1820" s="5" t="n"/>
      <c r="H1820" s="5" t="n"/>
      <c r="I1820" s="5" t="n"/>
    </row>
    <row r="1821">
      <c r="A1821" s="5" t="n"/>
      <c r="B1821" s="5" t="n"/>
      <c r="C1821" s="5" t="n"/>
      <c r="D1821" s="5" t="n"/>
      <c r="E1821" s="8" t="n"/>
      <c r="F1821" s="5" t="n"/>
      <c r="G1821" s="5" t="n"/>
      <c r="H1821" s="5" t="n"/>
      <c r="I1821" s="5" t="n"/>
    </row>
    <row r="1822">
      <c r="A1822" s="5" t="n"/>
      <c r="B1822" s="5" t="n"/>
      <c r="C1822" s="5" t="n"/>
      <c r="D1822" s="5" t="n"/>
      <c r="E1822" s="8" t="n"/>
      <c r="F1822" s="5" t="n"/>
      <c r="G1822" s="5" t="n"/>
      <c r="H1822" s="5" t="n"/>
      <c r="I1822" s="5" t="n"/>
    </row>
    <row r="1823">
      <c r="A1823" s="5" t="n"/>
      <c r="B1823" s="5" t="n"/>
      <c r="C1823" s="5" t="n"/>
      <c r="D1823" s="5" t="n"/>
      <c r="E1823" s="8" t="n"/>
      <c r="F1823" s="5" t="n"/>
      <c r="G1823" s="5" t="n"/>
      <c r="H1823" s="5" t="n"/>
      <c r="I1823" s="5" t="n"/>
    </row>
    <row r="1824">
      <c r="A1824" s="5" t="n"/>
      <c r="B1824" s="5" t="n"/>
      <c r="C1824" s="5" t="n"/>
      <c r="D1824" s="5" t="n"/>
      <c r="E1824" s="8" t="n"/>
      <c r="F1824" s="5" t="n"/>
      <c r="G1824" s="5" t="n"/>
      <c r="H1824" s="5" t="n"/>
      <c r="I1824" s="5" t="n"/>
    </row>
    <row r="1825">
      <c r="A1825" s="5" t="n"/>
      <c r="B1825" s="5" t="n"/>
      <c r="C1825" s="5" t="n"/>
      <c r="D1825" s="5" t="n"/>
      <c r="E1825" s="8" t="n"/>
      <c r="F1825" s="5" t="n"/>
      <c r="G1825" s="5" t="n"/>
      <c r="H1825" s="5" t="n"/>
      <c r="I1825" s="5" t="n"/>
    </row>
    <row r="1826">
      <c r="A1826" s="5" t="n"/>
      <c r="B1826" s="5" t="n"/>
      <c r="C1826" s="5" t="n"/>
      <c r="D1826" s="5" t="n"/>
      <c r="E1826" s="8" t="n"/>
      <c r="F1826" s="5" t="n"/>
      <c r="G1826" s="5" t="n"/>
      <c r="H1826" s="5" t="n"/>
      <c r="I1826" s="5" t="n"/>
    </row>
    <row r="1827">
      <c r="A1827" s="5" t="n"/>
      <c r="B1827" s="5" t="n"/>
      <c r="C1827" s="5" t="n"/>
      <c r="D1827" s="5" t="n"/>
      <c r="E1827" s="8" t="n"/>
      <c r="F1827" s="5" t="n"/>
      <c r="G1827" s="5" t="n"/>
      <c r="H1827" s="5" t="n"/>
      <c r="I1827" s="5" t="n"/>
    </row>
    <row r="1828">
      <c r="A1828" s="5" t="n"/>
      <c r="B1828" s="5" t="n"/>
      <c r="C1828" s="5" t="n"/>
      <c r="D1828" s="5" t="n"/>
      <c r="E1828" s="8" t="n"/>
      <c r="F1828" s="5" t="n"/>
      <c r="G1828" s="5" t="n"/>
      <c r="H1828" s="5" t="n"/>
      <c r="I1828" s="5" t="n"/>
    </row>
    <row r="1829">
      <c r="A1829" s="5" t="n"/>
      <c r="B1829" s="5" t="n"/>
      <c r="C1829" s="5" t="n"/>
      <c r="D1829" s="5" t="n"/>
      <c r="E1829" s="8" t="n"/>
      <c r="F1829" s="5" t="n"/>
      <c r="G1829" s="5" t="n"/>
      <c r="H1829" s="5" t="n"/>
      <c r="I1829" s="5" t="n"/>
    </row>
    <row r="1830">
      <c r="A1830" s="5" t="n"/>
      <c r="B1830" s="5" t="n"/>
      <c r="C1830" s="5" t="n"/>
      <c r="D1830" s="5" t="n"/>
      <c r="E1830" s="8" t="n"/>
      <c r="F1830" s="5" t="n"/>
      <c r="G1830" s="5" t="n"/>
      <c r="H1830" s="5" t="n"/>
      <c r="I1830" s="5" t="n"/>
    </row>
    <row r="1831">
      <c r="A1831" s="5" t="n"/>
      <c r="B1831" s="5" t="n"/>
      <c r="C1831" s="5" t="n"/>
      <c r="D1831" s="5" t="n"/>
      <c r="E1831" s="8" t="n"/>
      <c r="F1831" s="5" t="n"/>
      <c r="G1831" s="5" t="n"/>
      <c r="H1831" s="5" t="n"/>
      <c r="I1831" s="5" t="n"/>
    </row>
    <row r="1832">
      <c r="A1832" s="5" t="n"/>
      <c r="B1832" s="5" t="n"/>
      <c r="C1832" s="5" t="n"/>
      <c r="D1832" s="5" t="n"/>
      <c r="E1832" s="8" t="n"/>
      <c r="F1832" s="5" t="n"/>
      <c r="G1832" s="5" t="n"/>
      <c r="H1832" s="5" t="n"/>
      <c r="I1832" s="5" t="n"/>
    </row>
    <row r="1833">
      <c r="A1833" s="5" t="n"/>
      <c r="B1833" s="5" t="n"/>
      <c r="C1833" s="5" t="n"/>
      <c r="D1833" s="5" t="n"/>
      <c r="E1833" s="8" t="n"/>
      <c r="F1833" s="5" t="n"/>
      <c r="G1833" s="5" t="n"/>
      <c r="H1833" s="5" t="n"/>
      <c r="I1833" s="5" t="n"/>
    </row>
    <row r="1834">
      <c r="A1834" s="5" t="n"/>
      <c r="B1834" s="5" t="n"/>
      <c r="C1834" s="5" t="n"/>
      <c r="D1834" s="5" t="n"/>
      <c r="E1834" s="8" t="n"/>
      <c r="F1834" s="5" t="n"/>
      <c r="G1834" s="5" t="n"/>
      <c r="H1834" s="5" t="n"/>
      <c r="I1834" s="5" t="n"/>
    </row>
    <row r="1835">
      <c r="A1835" s="5" t="n"/>
      <c r="B1835" s="5" t="n"/>
      <c r="C1835" s="5" t="n"/>
      <c r="D1835" s="5" t="n"/>
      <c r="E1835" s="8" t="n"/>
      <c r="F1835" s="5" t="n"/>
      <c r="G1835" s="5" t="n"/>
      <c r="H1835" s="5" t="n"/>
      <c r="I1835" s="5" t="n"/>
    </row>
    <row r="1836">
      <c r="A1836" s="5" t="n"/>
      <c r="B1836" s="5" t="n"/>
      <c r="C1836" s="5" t="n"/>
      <c r="D1836" s="5" t="n"/>
      <c r="E1836" s="8" t="n"/>
      <c r="F1836" s="5" t="n"/>
      <c r="G1836" s="5" t="n"/>
      <c r="H1836" s="5" t="n"/>
      <c r="I1836" s="5" t="n"/>
    </row>
    <row r="1837">
      <c r="A1837" s="5" t="n"/>
      <c r="B1837" s="5" t="n"/>
      <c r="C1837" s="5" t="n"/>
      <c r="D1837" s="5" t="n"/>
      <c r="E1837" s="8" t="n"/>
      <c r="F1837" s="5" t="n"/>
      <c r="G1837" s="5" t="n"/>
      <c r="H1837" s="5" t="n"/>
      <c r="I1837" s="5" t="n"/>
    </row>
    <row r="1838">
      <c r="A1838" s="5" t="n"/>
      <c r="B1838" s="5" t="n"/>
      <c r="C1838" s="5" t="n"/>
      <c r="D1838" s="5" t="n"/>
      <c r="E1838" s="8" t="n"/>
      <c r="F1838" s="5" t="n"/>
      <c r="G1838" s="5" t="n"/>
      <c r="H1838" s="5" t="n"/>
      <c r="I1838" s="5" t="n"/>
    </row>
    <row r="1839">
      <c r="A1839" s="5" t="n"/>
      <c r="B1839" s="5" t="n"/>
      <c r="C1839" s="5" t="n"/>
      <c r="D1839" s="5" t="n"/>
      <c r="E1839" s="8" t="n"/>
      <c r="F1839" s="5" t="n"/>
      <c r="G1839" s="5" t="n"/>
      <c r="H1839" s="5" t="n"/>
      <c r="I1839" s="5" t="n"/>
    </row>
    <row r="1840">
      <c r="A1840" s="5" t="n"/>
      <c r="B1840" s="5" t="n"/>
      <c r="C1840" s="5" t="n"/>
      <c r="D1840" s="5" t="n"/>
      <c r="E1840" s="8" t="n"/>
      <c r="F1840" s="5" t="n"/>
      <c r="G1840" s="5" t="n"/>
      <c r="H1840" s="5" t="n"/>
      <c r="I1840" s="5" t="n"/>
    </row>
    <row r="1841">
      <c r="A1841" s="5" t="n"/>
      <c r="B1841" s="5" t="n"/>
      <c r="C1841" s="5" t="n"/>
      <c r="D1841" s="5" t="n"/>
      <c r="E1841" s="8" t="n"/>
      <c r="F1841" s="5" t="n"/>
      <c r="G1841" s="5" t="n"/>
      <c r="H1841" s="5" t="n"/>
      <c r="I1841" s="5" t="n"/>
    </row>
    <row r="1842">
      <c r="A1842" s="5" t="n"/>
      <c r="B1842" s="5" t="n"/>
      <c r="C1842" s="5" t="n"/>
      <c r="D1842" s="5" t="n"/>
      <c r="E1842" s="8" t="n"/>
      <c r="F1842" s="5" t="n"/>
      <c r="G1842" s="5" t="n"/>
      <c r="H1842" s="5" t="n"/>
      <c r="I1842" s="5" t="n"/>
    </row>
    <row r="1843">
      <c r="A1843" s="5" t="n"/>
      <c r="B1843" s="5" t="n"/>
      <c r="C1843" s="5" t="n"/>
      <c r="D1843" s="5" t="n"/>
      <c r="E1843" s="8" t="n"/>
      <c r="F1843" s="5" t="n"/>
      <c r="G1843" s="5" t="n"/>
      <c r="H1843" s="5" t="n"/>
      <c r="I1843" s="5" t="n"/>
    </row>
    <row r="1844">
      <c r="A1844" s="5" t="n"/>
      <c r="B1844" s="5" t="n"/>
      <c r="C1844" s="5" t="n"/>
      <c r="D1844" s="5" t="n"/>
      <c r="E1844" s="8" t="n"/>
      <c r="F1844" s="5" t="n"/>
      <c r="G1844" s="5" t="n"/>
      <c r="H1844" s="5" t="n"/>
      <c r="I1844" s="5" t="n"/>
    </row>
    <row r="1845">
      <c r="A1845" s="5" t="n"/>
      <c r="B1845" s="5" t="n"/>
      <c r="C1845" s="5" t="n"/>
      <c r="D1845" s="5" t="n"/>
      <c r="E1845" s="8" t="n"/>
      <c r="F1845" s="5" t="n"/>
      <c r="G1845" s="5" t="n"/>
      <c r="H1845" s="5" t="n"/>
      <c r="I1845" s="5" t="n"/>
    </row>
    <row r="1846">
      <c r="A1846" s="5" t="n"/>
      <c r="B1846" s="5" t="n"/>
      <c r="C1846" s="5" t="n"/>
      <c r="D1846" s="5" t="n"/>
      <c r="E1846" s="8" t="n"/>
      <c r="F1846" s="5" t="n"/>
      <c r="G1846" s="5" t="n"/>
      <c r="H1846" s="5" t="n"/>
      <c r="I1846" s="5" t="n"/>
    </row>
    <row r="1847">
      <c r="A1847" s="5" t="n"/>
      <c r="B1847" s="5" t="n"/>
      <c r="C1847" s="5" t="n"/>
      <c r="D1847" s="5" t="n"/>
      <c r="E1847" s="8" t="n"/>
      <c r="F1847" s="5" t="n"/>
      <c r="G1847" s="5" t="n"/>
      <c r="H1847" s="5" t="n"/>
      <c r="I1847" s="5" t="n"/>
    </row>
    <row r="1848">
      <c r="A1848" s="5" t="n"/>
      <c r="B1848" s="5" t="n"/>
      <c r="C1848" s="5" t="n"/>
      <c r="D1848" s="5" t="n"/>
      <c r="E1848" s="8" t="n"/>
      <c r="F1848" s="5" t="n"/>
      <c r="G1848" s="5" t="n"/>
      <c r="H1848" s="5" t="n"/>
      <c r="I1848" s="5" t="n"/>
    </row>
    <row r="1849">
      <c r="A1849" s="5" t="n"/>
      <c r="B1849" s="5" t="n"/>
      <c r="C1849" s="5" t="n"/>
      <c r="D1849" s="5" t="n"/>
      <c r="E1849" s="8" t="n"/>
      <c r="F1849" s="5" t="n"/>
      <c r="G1849" s="5" t="n"/>
      <c r="H1849" s="5" t="n"/>
      <c r="I1849" s="5" t="n"/>
    </row>
    <row r="1850">
      <c r="A1850" s="5" t="n"/>
      <c r="B1850" s="5" t="n"/>
      <c r="C1850" s="5" t="n"/>
      <c r="D1850" s="5" t="n"/>
      <c r="E1850" s="8" t="n"/>
      <c r="F1850" s="5" t="n"/>
      <c r="G1850" s="5" t="n"/>
      <c r="H1850" s="5" t="n"/>
      <c r="I1850" s="5" t="n"/>
    </row>
    <row r="1851">
      <c r="A1851" s="5" t="n"/>
      <c r="B1851" s="5" t="n"/>
      <c r="C1851" s="5" t="n"/>
      <c r="D1851" s="5" t="n"/>
      <c r="E1851" s="8" t="n"/>
      <c r="F1851" s="5" t="n"/>
      <c r="G1851" s="5" t="n"/>
      <c r="H1851" s="5" t="n"/>
      <c r="I1851" s="5" t="n"/>
    </row>
    <row r="1852">
      <c r="A1852" s="5" t="n"/>
      <c r="B1852" s="5" t="n"/>
      <c r="C1852" s="5" t="n"/>
      <c r="D1852" s="5" t="n"/>
      <c r="E1852" s="8" t="n"/>
      <c r="F1852" s="5" t="n"/>
      <c r="G1852" s="5" t="n"/>
      <c r="H1852" s="5" t="n"/>
      <c r="I1852" s="5" t="n"/>
    </row>
    <row r="1853">
      <c r="A1853" s="5" t="n"/>
      <c r="B1853" s="5" t="n"/>
      <c r="C1853" s="5" t="n"/>
      <c r="D1853" s="5" t="n"/>
      <c r="E1853" s="8" t="n"/>
      <c r="F1853" s="5" t="n"/>
      <c r="G1853" s="5" t="n"/>
      <c r="H1853" s="5" t="n"/>
      <c r="I1853" s="5" t="n"/>
    </row>
    <row r="1854">
      <c r="A1854" s="5" t="n"/>
      <c r="B1854" s="5" t="n"/>
      <c r="C1854" s="5" t="n"/>
      <c r="D1854" s="5" t="n"/>
      <c r="E1854" s="8" t="n"/>
      <c r="F1854" s="5" t="n"/>
      <c r="G1854" s="5" t="n"/>
      <c r="H1854" s="5" t="n"/>
      <c r="I1854" s="5" t="n"/>
    </row>
    <row r="1855">
      <c r="A1855" s="5" t="n"/>
      <c r="B1855" s="5" t="n"/>
      <c r="C1855" s="5" t="n"/>
      <c r="D1855" s="5" t="n"/>
      <c r="E1855" s="8" t="n"/>
      <c r="F1855" s="5" t="n"/>
      <c r="G1855" s="5" t="n"/>
      <c r="H1855" s="5" t="n"/>
      <c r="I1855" s="5" t="n"/>
    </row>
    <row r="1856">
      <c r="A1856" s="5" t="n"/>
      <c r="B1856" s="5" t="n"/>
      <c r="C1856" s="5" t="n"/>
      <c r="D1856" s="5" t="n"/>
      <c r="E1856" s="8" t="n"/>
      <c r="F1856" s="5" t="n"/>
      <c r="G1856" s="5" t="n"/>
      <c r="H1856" s="5" t="n"/>
      <c r="I1856" s="5" t="n"/>
    </row>
    <row r="1857">
      <c r="A1857" s="5" t="n"/>
      <c r="B1857" s="5" t="n"/>
      <c r="C1857" s="5" t="n"/>
      <c r="D1857" s="5" t="n"/>
      <c r="E1857" s="8" t="n"/>
      <c r="F1857" s="5" t="n"/>
      <c r="G1857" s="5" t="n"/>
      <c r="H1857" s="5" t="n"/>
      <c r="I1857" s="5" t="n"/>
    </row>
    <row r="1858">
      <c r="A1858" s="5" t="n"/>
      <c r="B1858" s="5" t="n"/>
      <c r="C1858" s="5" t="n"/>
      <c r="D1858" s="5" t="n"/>
      <c r="E1858" s="8" t="n"/>
      <c r="F1858" s="5" t="n"/>
      <c r="G1858" s="5" t="n"/>
      <c r="H1858" s="5" t="n"/>
      <c r="I1858" s="5" t="n"/>
    </row>
    <row r="1859">
      <c r="A1859" s="5" t="n"/>
      <c r="B1859" s="5" t="n"/>
      <c r="C1859" s="5" t="n"/>
      <c r="D1859" s="5" t="n"/>
      <c r="E1859" s="8" t="n"/>
      <c r="F1859" s="5" t="n"/>
      <c r="G1859" s="5" t="n"/>
      <c r="H1859" s="5" t="n"/>
      <c r="I1859" s="5" t="n"/>
    </row>
    <row r="1860">
      <c r="A1860" s="5" t="n"/>
      <c r="B1860" s="5" t="n"/>
      <c r="C1860" s="5" t="n"/>
      <c r="D1860" s="5" t="n"/>
      <c r="E1860" s="8" t="n"/>
      <c r="F1860" s="5" t="n"/>
      <c r="G1860" s="5" t="n"/>
      <c r="H1860" s="5" t="n"/>
      <c r="I1860" s="5" t="n"/>
    </row>
    <row r="1861">
      <c r="A1861" s="5" t="n"/>
      <c r="B1861" s="5" t="n"/>
      <c r="C1861" s="5" t="n"/>
      <c r="D1861" s="5" t="n"/>
      <c r="E1861" s="8" t="n"/>
      <c r="F1861" s="5" t="n"/>
      <c r="G1861" s="5" t="n"/>
      <c r="H1861" s="5" t="n"/>
      <c r="I1861" s="5" t="n"/>
    </row>
    <row r="1862">
      <c r="A1862" s="5" t="n"/>
      <c r="B1862" s="5" t="n"/>
      <c r="C1862" s="5" t="n"/>
      <c r="D1862" s="5" t="n"/>
      <c r="E1862" s="8" t="n"/>
      <c r="F1862" s="5" t="n"/>
      <c r="G1862" s="5" t="n"/>
      <c r="H1862" s="5" t="n"/>
      <c r="I1862" s="5" t="n"/>
    </row>
    <row r="1863">
      <c r="A1863" s="5" t="n"/>
      <c r="B1863" s="5" t="n"/>
      <c r="C1863" s="5" t="n"/>
      <c r="D1863" s="5" t="n"/>
      <c r="E1863" s="8" t="n"/>
      <c r="F1863" s="5" t="n"/>
      <c r="G1863" s="5" t="n"/>
      <c r="H1863" s="5" t="n"/>
      <c r="I1863" s="5" t="n"/>
    </row>
    <row r="1864">
      <c r="A1864" s="5" t="n"/>
      <c r="B1864" s="5" t="n"/>
      <c r="C1864" s="5" t="n"/>
      <c r="D1864" s="5" t="n"/>
      <c r="E1864" s="8" t="n"/>
      <c r="F1864" s="5" t="n"/>
      <c r="G1864" s="5" t="n"/>
      <c r="H1864" s="5" t="n"/>
      <c r="I1864" s="5" t="n"/>
    </row>
    <row r="1865">
      <c r="A1865" s="5" t="n"/>
      <c r="B1865" s="5" t="n"/>
      <c r="C1865" s="5" t="n"/>
      <c r="D1865" s="5" t="n"/>
      <c r="E1865" s="8" t="n"/>
      <c r="F1865" s="5" t="n"/>
      <c r="G1865" s="5" t="n"/>
      <c r="H1865" s="5" t="n"/>
      <c r="I1865" s="5" t="n"/>
    </row>
    <row r="1866">
      <c r="A1866" s="5" t="n"/>
      <c r="B1866" s="5" t="n"/>
      <c r="C1866" s="5" t="n"/>
      <c r="D1866" s="5" t="n"/>
      <c r="E1866" s="8" t="n"/>
      <c r="F1866" s="5" t="n"/>
      <c r="G1866" s="5" t="n"/>
      <c r="H1866" s="5" t="n"/>
      <c r="I1866" s="5" t="n"/>
    </row>
    <row r="1867">
      <c r="A1867" s="5" t="n"/>
      <c r="B1867" s="5" t="n"/>
      <c r="C1867" s="5" t="n"/>
      <c r="D1867" s="5" t="n"/>
      <c r="E1867" s="8" t="n"/>
      <c r="F1867" s="5" t="n"/>
      <c r="G1867" s="5" t="n"/>
      <c r="H1867" s="5" t="n"/>
      <c r="I1867" s="5" t="n"/>
    </row>
    <row r="1868">
      <c r="A1868" s="5" t="n"/>
      <c r="B1868" s="5" t="n"/>
      <c r="C1868" s="5" t="n"/>
      <c r="D1868" s="5" t="n"/>
      <c r="E1868" s="8" t="n"/>
      <c r="F1868" s="5" t="n"/>
      <c r="G1868" s="5" t="n"/>
      <c r="H1868" s="5" t="n"/>
      <c r="I1868" s="5" t="n"/>
    </row>
    <row r="1869">
      <c r="A1869" s="5" t="n"/>
      <c r="B1869" s="5" t="n"/>
      <c r="C1869" s="5" t="n"/>
      <c r="D1869" s="5" t="n"/>
      <c r="E1869" s="8" t="n"/>
      <c r="F1869" s="5" t="n"/>
      <c r="G1869" s="5" t="n"/>
      <c r="H1869" s="5" t="n"/>
      <c r="I1869" s="5" t="n"/>
    </row>
    <row r="1870">
      <c r="A1870" s="5" t="n"/>
      <c r="B1870" s="5" t="n"/>
      <c r="C1870" s="5" t="n"/>
      <c r="D1870" s="5" t="n"/>
      <c r="E1870" s="8" t="n"/>
      <c r="F1870" s="5" t="n"/>
      <c r="G1870" s="5" t="n"/>
      <c r="H1870" s="5" t="n"/>
      <c r="I1870" s="5" t="n"/>
    </row>
    <row r="1871">
      <c r="A1871" s="5" t="n"/>
      <c r="B1871" s="5" t="n"/>
      <c r="C1871" s="5" t="n"/>
      <c r="D1871" s="5" t="n"/>
      <c r="E1871" s="8" t="n"/>
      <c r="F1871" s="5" t="n"/>
      <c r="G1871" s="5" t="n"/>
      <c r="H1871" s="5" t="n"/>
      <c r="I1871" s="5" t="n"/>
    </row>
    <row r="1872">
      <c r="A1872" s="5" t="n"/>
      <c r="B1872" s="5" t="n"/>
      <c r="C1872" s="5" t="n"/>
      <c r="D1872" s="5" t="n"/>
      <c r="E1872" s="8" t="n"/>
      <c r="F1872" s="5" t="n"/>
      <c r="G1872" s="5" t="n"/>
      <c r="H1872" s="5" t="n"/>
      <c r="I1872" s="5" t="n"/>
    </row>
    <row r="1873">
      <c r="A1873" s="5" t="n"/>
      <c r="B1873" s="5" t="n"/>
      <c r="C1873" s="5" t="n"/>
      <c r="D1873" s="5" t="n"/>
      <c r="E1873" s="8" t="n"/>
      <c r="F1873" s="5" t="n"/>
      <c r="G1873" s="5" t="n"/>
      <c r="H1873" s="5" t="n"/>
      <c r="I1873" s="5" t="n"/>
    </row>
    <row r="1874">
      <c r="A1874" s="5" t="n"/>
      <c r="B1874" s="5" t="n"/>
      <c r="C1874" s="5" t="n"/>
      <c r="D1874" s="5" t="n"/>
      <c r="E1874" s="8" t="n"/>
      <c r="F1874" s="5" t="n"/>
      <c r="G1874" s="5" t="n"/>
      <c r="H1874" s="5" t="n"/>
      <c r="I1874" s="5" t="n"/>
    </row>
    <row r="1875">
      <c r="A1875" s="5" t="n"/>
      <c r="B1875" s="5" t="n"/>
      <c r="C1875" s="5" t="n"/>
      <c r="D1875" s="5" t="n"/>
      <c r="E1875" s="8" t="n"/>
      <c r="F1875" s="5" t="n"/>
      <c r="G1875" s="5" t="n"/>
      <c r="H1875" s="5" t="n"/>
      <c r="I1875" s="5" t="n"/>
    </row>
    <row r="1876">
      <c r="A1876" s="5" t="n"/>
      <c r="B1876" s="5" t="n"/>
      <c r="C1876" s="5" t="n"/>
      <c r="D1876" s="5" t="n"/>
      <c r="E1876" s="8" t="n"/>
      <c r="F1876" s="5" t="n"/>
      <c r="G1876" s="5" t="n"/>
      <c r="H1876" s="5" t="n"/>
      <c r="I1876" s="5" t="n"/>
    </row>
    <row r="1877">
      <c r="A1877" s="5" t="n"/>
      <c r="B1877" s="5" t="n"/>
      <c r="C1877" s="5" t="n"/>
      <c r="D1877" s="5" t="n"/>
      <c r="E1877" s="8" t="n"/>
      <c r="F1877" s="5" t="n"/>
      <c r="G1877" s="5" t="n"/>
      <c r="H1877" s="5" t="n"/>
      <c r="I1877" s="5" t="n"/>
    </row>
    <row r="1878">
      <c r="A1878" s="5" t="n"/>
      <c r="B1878" s="5" t="n"/>
      <c r="C1878" s="5" t="n"/>
      <c r="D1878" s="5" t="n"/>
      <c r="E1878" s="8" t="n"/>
      <c r="F1878" s="5" t="n"/>
      <c r="G1878" s="5" t="n"/>
      <c r="H1878" s="5" t="n"/>
      <c r="I1878" s="5" t="n"/>
    </row>
    <row r="1879">
      <c r="A1879" s="5" t="n"/>
      <c r="B1879" s="5" t="n"/>
      <c r="C1879" s="5" t="n"/>
      <c r="D1879" s="5" t="n"/>
      <c r="E1879" s="8" t="n"/>
      <c r="F1879" s="5" t="n"/>
      <c r="G1879" s="5" t="n"/>
      <c r="H1879" s="5" t="n"/>
      <c r="I1879" s="5" t="n"/>
    </row>
    <row r="1880">
      <c r="A1880" s="5" t="n"/>
      <c r="B1880" s="5" t="n"/>
      <c r="C1880" s="5" t="n"/>
      <c r="D1880" s="5" t="n"/>
      <c r="E1880" s="8" t="n"/>
      <c r="F1880" s="5" t="n"/>
      <c r="G1880" s="5" t="n"/>
      <c r="H1880" s="5" t="n"/>
      <c r="I1880" s="5" t="n"/>
    </row>
    <row r="1881">
      <c r="A1881" s="5" t="n"/>
      <c r="B1881" s="5" t="n"/>
      <c r="C1881" s="5" t="n"/>
      <c r="D1881" s="5" t="n"/>
      <c r="E1881" s="8" t="n"/>
      <c r="F1881" s="5" t="n"/>
      <c r="G1881" s="5" t="n"/>
      <c r="H1881" s="5" t="n"/>
      <c r="I1881" s="5" t="n"/>
    </row>
    <row r="1882">
      <c r="A1882" s="5" t="n"/>
      <c r="B1882" s="5" t="n"/>
      <c r="C1882" s="5" t="n"/>
      <c r="D1882" s="5" t="n"/>
      <c r="E1882" s="8" t="n"/>
      <c r="F1882" s="5" t="n"/>
      <c r="G1882" s="5" t="n"/>
      <c r="H1882" s="5" t="n"/>
      <c r="I1882" s="5" t="n"/>
    </row>
    <row r="1883">
      <c r="A1883" s="5" t="n"/>
      <c r="B1883" s="5" t="n"/>
      <c r="C1883" s="5" t="n"/>
      <c r="D1883" s="5" t="n"/>
      <c r="E1883" s="8" t="n"/>
      <c r="F1883" s="5" t="n"/>
      <c r="G1883" s="5" t="n"/>
      <c r="H1883" s="5" t="n"/>
      <c r="I1883" s="5" t="n"/>
    </row>
    <row r="1884">
      <c r="A1884" s="5" t="n"/>
      <c r="B1884" s="5" t="n"/>
      <c r="C1884" s="5" t="n"/>
      <c r="D1884" s="5" t="n"/>
      <c r="E1884" s="8" t="n"/>
      <c r="F1884" s="5" t="n"/>
      <c r="G1884" s="5" t="n"/>
      <c r="H1884" s="5" t="n"/>
      <c r="I1884" s="5" t="n"/>
    </row>
    <row r="1885">
      <c r="A1885" s="5" t="n"/>
      <c r="B1885" s="5" t="n"/>
      <c r="C1885" s="5" t="n"/>
      <c r="D1885" s="5" t="n"/>
      <c r="E1885" s="8" t="n"/>
      <c r="F1885" s="5" t="n"/>
      <c r="G1885" s="5" t="n"/>
      <c r="H1885" s="5" t="n"/>
      <c r="I1885" s="5" t="n"/>
    </row>
    <row r="1886">
      <c r="A1886" s="5" t="n"/>
      <c r="B1886" s="5" t="n"/>
      <c r="C1886" s="5" t="n"/>
      <c r="D1886" s="5" t="n"/>
      <c r="E1886" s="8" t="n"/>
      <c r="F1886" s="5" t="n"/>
      <c r="G1886" s="5" t="n"/>
      <c r="H1886" s="5" t="n"/>
      <c r="I1886" s="5" t="n"/>
    </row>
    <row r="1887">
      <c r="A1887" s="5" t="n"/>
      <c r="B1887" s="5" t="n"/>
      <c r="C1887" s="5" t="n"/>
      <c r="D1887" s="5" t="n"/>
      <c r="E1887" s="8" t="n"/>
      <c r="F1887" s="5" t="n"/>
      <c r="G1887" s="5" t="n"/>
      <c r="H1887" s="5" t="n"/>
      <c r="I1887" s="5" t="n"/>
    </row>
    <row r="1888">
      <c r="A1888" s="5" t="n"/>
      <c r="B1888" s="5" t="n"/>
      <c r="C1888" s="5" t="n"/>
      <c r="D1888" s="5" t="n"/>
      <c r="E1888" s="8" t="n"/>
      <c r="F1888" s="5" t="n"/>
      <c r="G1888" s="5" t="n"/>
      <c r="H1888" s="5" t="n"/>
      <c r="I1888" s="5" t="n"/>
    </row>
    <row r="1889">
      <c r="A1889" s="5" t="n"/>
      <c r="B1889" s="5" t="n"/>
      <c r="C1889" s="5" t="n"/>
      <c r="D1889" s="5" t="n"/>
      <c r="E1889" s="8" t="n"/>
      <c r="F1889" s="5" t="n"/>
      <c r="G1889" s="5" t="n"/>
      <c r="H1889" s="5" t="n"/>
      <c r="I1889" s="5" t="n"/>
    </row>
    <row r="1890">
      <c r="A1890" s="5" t="n"/>
      <c r="B1890" s="5" t="n"/>
      <c r="C1890" s="5" t="n"/>
      <c r="D1890" s="5" t="n"/>
      <c r="E1890" s="8" t="n"/>
      <c r="F1890" s="5" t="n"/>
      <c r="G1890" s="5" t="n"/>
      <c r="H1890" s="5" t="n"/>
      <c r="I1890" s="5" t="n"/>
    </row>
    <row r="1891">
      <c r="A1891" s="5" t="n"/>
      <c r="B1891" s="5" t="n"/>
      <c r="C1891" s="5" t="n"/>
      <c r="D1891" s="5" t="n"/>
      <c r="E1891" s="8" t="n"/>
      <c r="F1891" s="5" t="n"/>
      <c r="G1891" s="5" t="n"/>
      <c r="H1891" s="5" t="n"/>
      <c r="I1891" s="5" t="n"/>
    </row>
    <row r="1892">
      <c r="A1892" s="5" t="n"/>
      <c r="B1892" s="5" t="n"/>
      <c r="C1892" s="5" t="n"/>
      <c r="D1892" s="5" t="n"/>
      <c r="E1892" s="8" t="n"/>
      <c r="F1892" s="5" t="n"/>
      <c r="G1892" s="5" t="n"/>
      <c r="H1892" s="5" t="n"/>
      <c r="I1892" s="5" t="n"/>
    </row>
    <row r="1893">
      <c r="A1893" s="5" t="n"/>
      <c r="B1893" s="5" t="n"/>
      <c r="C1893" s="5" t="n"/>
      <c r="D1893" s="5" t="n"/>
      <c r="E1893" s="8" t="n"/>
      <c r="F1893" s="5" t="n"/>
      <c r="G1893" s="5" t="n"/>
      <c r="H1893" s="5" t="n"/>
      <c r="I1893" s="5" t="n"/>
    </row>
    <row r="1894">
      <c r="A1894" s="5" t="n"/>
      <c r="B1894" s="5" t="n"/>
      <c r="C1894" s="5" t="n"/>
      <c r="D1894" s="5" t="n"/>
      <c r="E1894" s="8" t="n"/>
      <c r="F1894" s="5" t="n"/>
      <c r="G1894" s="5" t="n"/>
      <c r="H1894" s="5" t="n"/>
      <c r="I1894" s="5" t="n"/>
    </row>
    <row r="1895">
      <c r="A1895" s="5" t="n"/>
      <c r="B1895" s="5" t="n"/>
      <c r="C1895" s="5" t="n"/>
      <c r="D1895" s="5" t="n"/>
      <c r="E1895" s="8" t="n"/>
      <c r="F1895" s="5" t="n"/>
      <c r="G1895" s="5" t="n"/>
      <c r="H1895" s="5" t="n"/>
      <c r="I1895" s="5" t="n"/>
    </row>
    <row r="1896">
      <c r="A1896" s="5" t="n"/>
      <c r="B1896" s="5" t="n"/>
      <c r="C1896" s="5" t="n"/>
      <c r="D1896" s="5" t="n"/>
      <c r="E1896" s="8" t="n"/>
      <c r="F1896" s="5" t="n"/>
      <c r="G1896" s="5" t="n"/>
      <c r="H1896" s="5" t="n"/>
      <c r="I1896" s="5" t="n"/>
    </row>
    <row r="1897">
      <c r="A1897" s="5" t="n"/>
      <c r="B1897" s="5" t="n"/>
      <c r="C1897" s="5" t="n"/>
      <c r="D1897" s="5" t="n"/>
      <c r="E1897" s="8" t="n"/>
      <c r="F1897" s="5" t="n"/>
      <c r="G1897" s="5" t="n"/>
      <c r="H1897" s="5" t="n"/>
      <c r="I1897" s="5" t="n"/>
    </row>
    <row r="1898">
      <c r="A1898" s="5" t="n"/>
      <c r="B1898" s="5" t="n"/>
      <c r="C1898" s="5" t="n"/>
      <c r="D1898" s="5" t="n"/>
      <c r="E1898" s="8" t="n"/>
      <c r="F1898" s="5" t="n"/>
      <c r="G1898" s="5" t="n"/>
      <c r="H1898" s="5" t="n"/>
      <c r="I1898" s="5" t="n"/>
    </row>
    <row r="1899">
      <c r="A1899" s="5" t="n"/>
      <c r="B1899" s="5" t="n"/>
      <c r="C1899" s="5" t="n"/>
      <c r="D1899" s="5" t="n"/>
      <c r="E1899" s="8" t="n"/>
      <c r="F1899" s="5" t="n"/>
      <c r="G1899" s="5" t="n"/>
      <c r="H1899" s="5" t="n"/>
      <c r="I1899" s="5" t="n"/>
    </row>
    <row r="1900">
      <c r="A1900" s="5" t="n"/>
      <c r="B1900" s="5" t="n"/>
      <c r="C1900" s="5" t="n"/>
      <c r="D1900" s="5" t="n"/>
      <c r="E1900" s="8" t="n"/>
      <c r="F1900" s="5" t="n"/>
      <c r="G1900" s="5" t="n"/>
      <c r="H1900" s="5" t="n"/>
      <c r="I1900" s="5" t="n"/>
    </row>
    <row r="1901">
      <c r="A1901" s="5" t="n"/>
      <c r="B1901" s="5" t="n"/>
      <c r="C1901" s="5" t="n"/>
      <c r="D1901" s="5" t="n"/>
      <c r="E1901" s="8" t="n"/>
      <c r="F1901" s="5" t="n"/>
      <c r="G1901" s="5" t="n"/>
      <c r="H1901" s="5" t="n"/>
      <c r="I1901" s="5" t="n"/>
    </row>
    <row r="1902">
      <c r="A1902" s="5" t="n"/>
      <c r="B1902" s="5" t="n"/>
      <c r="C1902" s="5" t="n"/>
      <c r="D1902" s="5" t="n"/>
      <c r="E1902" s="8" t="n"/>
      <c r="F1902" s="5" t="n"/>
      <c r="G1902" s="5" t="n"/>
      <c r="H1902" s="5" t="n"/>
      <c r="I1902" s="5" t="n"/>
    </row>
    <row r="1903">
      <c r="A1903" s="5" t="n"/>
      <c r="B1903" s="5" t="n"/>
      <c r="C1903" s="5" t="n"/>
      <c r="D1903" s="5" t="n"/>
      <c r="E1903" s="8" t="n"/>
      <c r="F1903" s="5" t="n"/>
      <c r="G1903" s="5" t="n"/>
      <c r="H1903" s="5" t="n"/>
      <c r="I1903" s="5" t="n"/>
    </row>
    <row r="1904">
      <c r="A1904" s="5" t="n"/>
      <c r="B1904" s="5" t="n"/>
      <c r="C1904" s="5" t="n"/>
      <c r="D1904" s="5" t="n"/>
      <c r="E1904" s="8" t="n"/>
      <c r="F1904" s="5" t="n"/>
      <c r="G1904" s="5" t="n"/>
      <c r="H1904" s="5" t="n"/>
      <c r="I1904" s="5" t="n"/>
    </row>
    <row r="1905">
      <c r="A1905" s="5" t="n"/>
      <c r="B1905" s="5" t="n"/>
      <c r="C1905" s="5" t="n"/>
      <c r="D1905" s="5" t="n"/>
      <c r="E1905" s="8" t="n"/>
      <c r="F1905" s="5" t="n"/>
      <c r="G1905" s="5" t="n"/>
      <c r="H1905" s="5" t="n"/>
      <c r="I1905" s="5" t="n"/>
    </row>
    <row r="1906">
      <c r="A1906" s="5" t="n"/>
      <c r="B1906" s="5" t="n"/>
      <c r="C1906" s="5" t="n"/>
      <c r="D1906" s="5" t="n"/>
      <c r="E1906" s="8" t="n"/>
      <c r="F1906" s="5" t="n"/>
      <c r="G1906" s="5" t="n"/>
      <c r="H1906" s="5" t="n"/>
      <c r="I1906" s="5" t="n"/>
    </row>
    <row r="1907">
      <c r="A1907" s="5" t="n"/>
      <c r="B1907" s="5" t="n"/>
      <c r="C1907" s="5" t="n"/>
      <c r="D1907" s="5" t="n"/>
      <c r="E1907" s="8" t="n"/>
      <c r="F1907" s="5" t="n"/>
      <c r="G1907" s="5" t="n"/>
      <c r="H1907" s="5" t="n"/>
      <c r="I1907" s="5" t="n"/>
    </row>
    <row r="1908">
      <c r="A1908" s="5" t="n"/>
      <c r="B1908" s="5" t="n"/>
      <c r="C1908" s="5" t="n"/>
      <c r="D1908" s="5" t="n"/>
      <c r="E1908" s="8" t="n"/>
      <c r="F1908" s="5" t="n"/>
      <c r="G1908" s="5" t="n"/>
      <c r="H1908" s="5" t="n"/>
      <c r="I1908" s="5" t="n"/>
    </row>
    <row r="1909">
      <c r="A1909" s="5" t="n"/>
      <c r="B1909" s="5" t="n"/>
      <c r="C1909" s="5" t="n"/>
      <c r="D1909" s="5" t="n"/>
      <c r="E1909" s="8" t="n"/>
      <c r="F1909" s="5" t="n"/>
      <c r="G1909" s="5" t="n"/>
      <c r="H1909" s="5" t="n"/>
      <c r="I1909" s="5" t="n"/>
    </row>
    <row r="1910">
      <c r="A1910" s="5" t="n"/>
      <c r="B1910" s="5" t="n"/>
      <c r="C1910" s="5" t="n"/>
      <c r="D1910" s="5" t="n"/>
      <c r="E1910" s="8" t="n"/>
      <c r="F1910" s="5" t="n"/>
      <c r="G1910" s="5" t="n"/>
      <c r="H1910" s="5" t="n"/>
      <c r="I1910" s="5" t="n"/>
    </row>
    <row r="1911">
      <c r="A1911" s="5" t="n"/>
      <c r="B1911" s="5" t="n"/>
      <c r="C1911" s="5" t="n"/>
      <c r="D1911" s="5" t="n"/>
      <c r="E1911" s="8" t="n"/>
      <c r="F1911" s="5" t="n"/>
      <c r="G1911" s="5" t="n"/>
      <c r="H1911" s="5" t="n"/>
      <c r="I1911" s="5" t="n"/>
    </row>
    <row r="1912">
      <c r="A1912" s="5" t="n"/>
      <c r="B1912" s="5" t="n"/>
      <c r="C1912" s="5" t="n"/>
      <c r="D1912" s="5" t="n"/>
      <c r="E1912" s="8" t="n"/>
      <c r="F1912" s="5" t="n"/>
      <c r="G1912" s="5" t="n"/>
      <c r="H1912" s="5" t="n"/>
      <c r="I1912" s="5" t="n"/>
    </row>
    <row r="1913">
      <c r="A1913" s="5" t="n"/>
      <c r="B1913" s="5" t="n"/>
      <c r="C1913" s="5" t="n"/>
      <c r="D1913" s="5" t="n"/>
      <c r="E1913" s="8" t="n"/>
      <c r="F1913" s="5" t="n"/>
      <c r="G1913" s="5" t="n"/>
      <c r="H1913" s="5" t="n"/>
      <c r="I1913" s="5" t="n"/>
    </row>
    <row r="1914">
      <c r="A1914" s="5" t="n"/>
      <c r="B1914" s="5" t="n"/>
      <c r="C1914" s="5" t="n"/>
      <c r="D1914" s="5" t="n"/>
      <c r="E1914" s="8" t="n"/>
      <c r="F1914" s="5" t="n"/>
      <c r="G1914" s="5" t="n"/>
      <c r="H1914" s="5" t="n"/>
      <c r="I1914" s="5" t="n"/>
    </row>
    <row r="1915">
      <c r="A1915" s="5" t="n"/>
      <c r="B1915" s="5" t="n"/>
      <c r="C1915" s="5" t="n"/>
      <c r="D1915" s="5" t="n"/>
      <c r="E1915" s="8" t="n"/>
      <c r="F1915" s="5" t="n"/>
      <c r="G1915" s="5" t="n"/>
      <c r="H1915" s="5" t="n"/>
      <c r="I1915" s="5" t="n"/>
    </row>
    <row r="1916">
      <c r="A1916" s="5" t="n"/>
      <c r="B1916" s="5" t="n"/>
      <c r="C1916" s="5" t="n"/>
      <c r="D1916" s="5" t="n"/>
      <c r="E1916" s="8" t="n"/>
      <c r="F1916" s="5" t="n"/>
      <c r="G1916" s="5" t="n"/>
      <c r="H1916" s="5" t="n"/>
      <c r="I1916" s="5" t="n"/>
    </row>
    <row r="1917">
      <c r="A1917" s="5" t="n"/>
      <c r="B1917" s="5" t="n"/>
      <c r="C1917" s="5" t="n"/>
      <c r="D1917" s="5" t="n"/>
      <c r="E1917" s="8" t="n"/>
      <c r="F1917" s="5" t="n"/>
      <c r="G1917" s="5" t="n"/>
      <c r="H1917" s="5" t="n"/>
      <c r="I1917" s="5" t="n"/>
    </row>
    <row r="1918">
      <c r="A1918" s="5" t="n"/>
      <c r="B1918" s="5" t="n"/>
      <c r="C1918" s="5" t="n"/>
      <c r="D1918" s="5" t="n"/>
      <c r="E1918" s="8" t="n"/>
      <c r="F1918" s="5" t="n"/>
      <c r="G1918" s="5" t="n"/>
      <c r="H1918" s="5" t="n"/>
      <c r="I1918" s="5" t="n"/>
    </row>
    <row r="1919">
      <c r="A1919" s="5" t="n"/>
      <c r="B1919" s="5" t="n"/>
      <c r="C1919" s="5" t="n"/>
      <c r="D1919" s="5" t="n"/>
      <c r="E1919" s="8" t="n"/>
      <c r="F1919" s="5" t="n"/>
      <c r="G1919" s="5" t="n"/>
      <c r="H1919" s="5" t="n"/>
      <c r="I1919" s="5" t="n"/>
    </row>
    <row r="1920">
      <c r="A1920" s="5" t="n"/>
      <c r="B1920" s="5" t="n"/>
      <c r="C1920" s="5" t="n"/>
      <c r="D1920" s="5" t="n"/>
      <c r="E1920" s="8" t="n"/>
      <c r="F1920" s="5" t="n"/>
      <c r="G1920" s="5" t="n"/>
      <c r="H1920" s="5" t="n"/>
      <c r="I1920" s="5" t="n"/>
    </row>
    <row r="1921">
      <c r="A1921" s="5" t="n"/>
      <c r="B1921" s="5" t="n"/>
      <c r="C1921" s="5" t="n"/>
      <c r="D1921" s="5" t="n"/>
      <c r="E1921" s="8" t="n"/>
      <c r="F1921" s="5" t="n"/>
      <c r="G1921" s="5" t="n"/>
      <c r="H1921" s="5" t="n"/>
      <c r="I1921" s="5" t="n"/>
    </row>
    <row r="1922">
      <c r="A1922" s="5" t="n"/>
      <c r="B1922" s="5" t="n"/>
      <c r="C1922" s="5" t="n"/>
      <c r="D1922" s="5" t="n"/>
      <c r="E1922" s="8" t="n"/>
      <c r="F1922" s="5" t="n"/>
      <c r="G1922" s="5" t="n"/>
      <c r="H1922" s="5" t="n"/>
      <c r="I1922" s="5" t="n"/>
    </row>
    <row r="1923">
      <c r="A1923" s="5" t="n"/>
      <c r="B1923" s="5" t="n"/>
      <c r="C1923" s="5" t="n"/>
      <c r="D1923" s="5" t="n"/>
      <c r="E1923" s="8" t="n"/>
      <c r="F1923" s="5" t="n"/>
      <c r="G1923" s="5" t="n"/>
      <c r="H1923" s="5" t="n"/>
      <c r="I1923" s="5" t="n"/>
    </row>
    <row r="1924">
      <c r="A1924" s="5" t="n"/>
      <c r="B1924" s="5" t="n"/>
      <c r="C1924" s="5" t="n"/>
      <c r="D1924" s="5" t="n"/>
      <c r="E1924" s="8" t="n"/>
      <c r="F1924" s="5" t="n"/>
      <c r="G1924" s="5" t="n"/>
      <c r="H1924" s="5" t="n"/>
      <c r="I1924" s="5" t="n"/>
    </row>
    <row r="1925">
      <c r="A1925" s="5" t="n"/>
      <c r="B1925" s="5" t="n"/>
      <c r="C1925" s="5" t="n"/>
      <c r="D1925" s="5" t="n"/>
      <c r="E1925" s="8" t="n"/>
      <c r="F1925" s="5" t="n"/>
      <c r="G1925" s="5" t="n"/>
      <c r="H1925" s="5" t="n"/>
      <c r="I1925" s="5" t="n"/>
    </row>
    <row r="1926">
      <c r="A1926" s="5" t="n"/>
      <c r="B1926" s="5" t="n"/>
      <c r="C1926" s="5" t="n"/>
      <c r="D1926" s="5" t="n"/>
      <c r="E1926" s="8" t="n"/>
      <c r="F1926" s="5" t="n"/>
      <c r="G1926" s="5" t="n"/>
      <c r="H1926" s="5" t="n"/>
      <c r="I1926" s="5" t="n"/>
    </row>
    <row r="1927">
      <c r="A1927" s="5" t="n"/>
      <c r="B1927" s="5" t="n"/>
      <c r="C1927" s="5" t="n"/>
      <c r="D1927" s="5" t="n"/>
      <c r="E1927" s="8" t="n"/>
      <c r="F1927" s="5" t="n"/>
      <c r="G1927" s="5" t="n"/>
      <c r="H1927" s="5" t="n"/>
      <c r="I1927" s="5" t="n"/>
    </row>
    <row r="1928">
      <c r="A1928" s="5" t="n"/>
      <c r="B1928" s="5" t="n"/>
      <c r="C1928" s="5" t="n"/>
      <c r="D1928" s="5" t="n"/>
      <c r="E1928" s="8" t="n"/>
      <c r="F1928" s="5" t="n"/>
      <c r="G1928" s="5" t="n"/>
      <c r="H1928" s="5" t="n"/>
      <c r="I1928" s="5" t="n"/>
    </row>
    <row r="1929">
      <c r="A1929" s="5" t="n"/>
      <c r="B1929" s="5" t="n"/>
      <c r="C1929" s="5" t="n"/>
      <c r="D1929" s="5" t="n"/>
      <c r="E1929" s="8" t="n"/>
      <c r="F1929" s="5" t="n"/>
      <c r="G1929" s="5" t="n"/>
      <c r="H1929" s="5" t="n"/>
      <c r="I1929" s="5" t="n"/>
    </row>
    <row r="1930">
      <c r="A1930" s="5" t="n"/>
      <c r="B1930" s="5" t="n"/>
      <c r="C1930" s="5" t="n"/>
      <c r="D1930" s="5" t="n"/>
      <c r="E1930" s="8" t="n"/>
      <c r="F1930" s="5" t="n"/>
      <c r="G1930" s="5" t="n"/>
      <c r="H1930" s="5" t="n"/>
      <c r="I1930" s="5" t="n"/>
    </row>
    <row r="1931">
      <c r="A1931" s="5" t="n"/>
      <c r="B1931" s="5" t="n"/>
      <c r="C1931" s="5" t="n"/>
      <c r="D1931" s="5" t="n"/>
      <c r="E1931" s="8" t="n"/>
      <c r="F1931" s="5" t="n"/>
      <c r="G1931" s="5" t="n"/>
      <c r="H1931" s="5" t="n"/>
      <c r="I1931" s="5" t="n"/>
    </row>
    <row r="1932">
      <c r="A1932" s="5" t="n"/>
      <c r="B1932" s="5" t="n"/>
      <c r="C1932" s="5" t="n"/>
      <c r="D1932" s="5" t="n"/>
      <c r="E1932" s="8" t="n"/>
      <c r="F1932" s="5" t="n"/>
      <c r="G1932" s="5" t="n"/>
      <c r="H1932" s="5" t="n"/>
      <c r="I1932" s="5" t="n"/>
    </row>
    <row r="1933">
      <c r="A1933" s="5" t="n"/>
      <c r="B1933" s="5" t="n"/>
      <c r="C1933" s="5" t="n"/>
      <c r="D1933" s="5" t="n"/>
      <c r="E1933" s="8" t="n"/>
      <c r="F1933" s="5" t="n"/>
      <c r="G1933" s="5" t="n"/>
      <c r="H1933" s="5" t="n"/>
      <c r="I1933" s="5" t="n"/>
    </row>
    <row r="1934">
      <c r="A1934" s="5" t="n"/>
      <c r="B1934" s="5" t="n"/>
      <c r="C1934" s="5" t="n"/>
      <c r="D1934" s="5" t="n"/>
      <c r="E1934" s="8" t="n"/>
      <c r="F1934" s="5" t="n"/>
      <c r="G1934" s="5" t="n"/>
      <c r="H1934" s="5" t="n"/>
      <c r="I1934" s="5" t="n"/>
    </row>
    <row r="1935">
      <c r="A1935" s="5" t="n"/>
      <c r="B1935" s="5" t="n"/>
      <c r="C1935" s="5" t="n"/>
      <c r="D1935" s="5" t="n"/>
      <c r="E1935" s="8" t="n"/>
      <c r="F1935" s="5" t="n"/>
      <c r="G1935" s="5" t="n"/>
      <c r="H1935" s="5" t="n"/>
      <c r="I1935" s="5" t="n"/>
    </row>
    <row r="1936">
      <c r="A1936" s="5" t="n"/>
      <c r="B1936" s="5" t="n"/>
      <c r="C1936" s="5" t="n"/>
      <c r="D1936" s="5" t="n"/>
      <c r="E1936" s="8" t="n"/>
      <c r="F1936" s="5" t="n"/>
      <c r="G1936" s="5" t="n"/>
      <c r="H1936" s="5" t="n"/>
      <c r="I1936" s="5" t="n"/>
    </row>
    <row r="1937">
      <c r="A1937" s="5" t="n"/>
      <c r="B1937" s="5" t="n"/>
      <c r="C1937" s="5" t="n"/>
      <c r="D1937" s="5" t="n"/>
      <c r="E1937" s="8" t="n"/>
      <c r="F1937" s="5" t="n"/>
      <c r="G1937" s="5" t="n"/>
      <c r="H1937" s="5" t="n"/>
      <c r="I1937" s="5" t="n"/>
    </row>
    <row r="1938">
      <c r="A1938" s="5" t="n"/>
      <c r="B1938" s="5" t="n"/>
      <c r="C1938" s="5" t="n"/>
      <c r="D1938" s="5" t="n"/>
      <c r="E1938" s="8" t="n"/>
      <c r="F1938" s="5" t="n"/>
      <c r="G1938" s="5" t="n"/>
      <c r="H1938" s="5" t="n"/>
      <c r="I1938" s="5" t="n"/>
    </row>
    <row r="1939">
      <c r="A1939" s="5" t="n"/>
      <c r="B1939" s="5" t="n"/>
      <c r="C1939" s="5" t="n"/>
      <c r="D1939" s="5" t="n"/>
      <c r="E1939" s="8" t="n"/>
      <c r="F1939" s="5" t="n"/>
      <c r="G1939" s="5" t="n"/>
      <c r="H1939" s="5" t="n"/>
      <c r="I1939" s="5" t="n"/>
    </row>
    <row r="1940">
      <c r="A1940" s="5" t="n"/>
      <c r="B1940" s="5" t="n"/>
      <c r="C1940" s="5" t="n"/>
      <c r="D1940" s="5" t="n"/>
      <c r="E1940" s="8" t="n"/>
      <c r="F1940" s="5" t="n"/>
      <c r="G1940" s="5" t="n"/>
      <c r="H1940" s="5" t="n"/>
      <c r="I1940" s="5" t="n"/>
    </row>
    <row r="1941">
      <c r="A1941" s="5" t="n"/>
      <c r="B1941" s="5" t="n"/>
      <c r="C1941" s="5" t="n"/>
      <c r="D1941" s="5" t="n"/>
      <c r="E1941" s="8" t="n"/>
      <c r="F1941" s="5" t="n"/>
      <c r="G1941" s="5" t="n"/>
      <c r="H1941" s="5" t="n"/>
      <c r="I1941" s="5" t="n"/>
    </row>
    <row r="1942">
      <c r="A1942" s="5" t="n"/>
      <c r="B1942" s="5" t="n"/>
      <c r="C1942" s="5" t="n"/>
      <c r="D1942" s="5" t="n"/>
      <c r="E1942" s="8" t="n"/>
      <c r="F1942" s="5" t="n"/>
      <c r="G1942" s="5" t="n"/>
      <c r="H1942" s="5" t="n"/>
      <c r="I1942" s="5" t="n"/>
    </row>
    <row r="1943">
      <c r="A1943" s="5" t="n"/>
      <c r="B1943" s="5" t="n"/>
      <c r="C1943" s="5" t="n"/>
      <c r="D1943" s="5" t="n"/>
      <c r="E1943" s="8" t="n"/>
      <c r="F1943" s="5" t="n"/>
      <c r="G1943" s="5" t="n"/>
      <c r="H1943" s="5" t="n"/>
      <c r="I1943" s="5" t="n"/>
    </row>
    <row r="1944">
      <c r="A1944" s="5" t="n"/>
      <c r="B1944" s="5" t="n"/>
      <c r="C1944" s="5" t="n"/>
      <c r="D1944" s="5" t="n"/>
      <c r="E1944" s="8" t="n"/>
      <c r="F1944" s="5" t="n"/>
      <c r="G1944" s="5" t="n"/>
      <c r="H1944" s="5" t="n"/>
      <c r="I1944" s="5" t="n"/>
    </row>
    <row r="1945">
      <c r="A1945" s="5" t="n"/>
      <c r="B1945" s="5" t="n"/>
      <c r="C1945" s="5" t="n"/>
      <c r="D1945" s="5" t="n"/>
      <c r="E1945" s="8" t="n"/>
      <c r="F1945" s="5" t="n"/>
      <c r="G1945" s="5" t="n"/>
      <c r="H1945" s="5" t="n"/>
      <c r="I1945" s="5" t="n"/>
    </row>
    <row r="1946">
      <c r="A1946" s="5" t="n"/>
      <c r="B1946" s="5" t="n"/>
      <c r="C1946" s="5" t="n"/>
      <c r="D1946" s="5" t="n"/>
      <c r="E1946" s="8" t="n"/>
      <c r="F1946" s="5" t="n"/>
      <c r="G1946" s="5" t="n"/>
      <c r="H1946" s="5" t="n"/>
      <c r="I1946" s="5" t="n"/>
    </row>
    <row r="1947">
      <c r="A1947" s="5" t="n"/>
      <c r="B1947" s="5" t="n"/>
      <c r="C1947" s="5" t="n"/>
      <c r="D1947" s="5" t="n"/>
      <c r="E1947" s="8" t="n"/>
      <c r="F1947" s="5" t="n"/>
      <c r="G1947" s="5" t="n"/>
      <c r="H1947" s="5" t="n"/>
      <c r="I1947" s="5" t="n"/>
    </row>
    <row r="1948">
      <c r="A1948" s="5" t="n"/>
      <c r="B1948" s="5" t="n"/>
      <c r="C1948" s="5" t="n"/>
      <c r="D1948" s="5" t="n"/>
      <c r="E1948" s="8" t="n"/>
      <c r="F1948" s="5" t="n"/>
      <c r="G1948" s="5" t="n"/>
      <c r="H1948" s="5" t="n"/>
      <c r="I1948" s="5" t="n"/>
    </row>
    <row r="1949">
      <c r="A1949" s="5" t="n"/>
      <c r="B1949" s="5" t="n"/>
      <c r="C1949" s="5" t="n"/>
      <c r="D1949" s="5" t="n"/>
      <c r="E1949" s="8" t="n"/>
      <c r="F1949" s="5" t="n"/>
      <c r="G1949" s="5" t="n"/>
      <c r="H1949" s="5" t="n"/>
      <c r="I1949" s="5" t="n"/>
    </row>
    <row r="1950">
      <c r="A1950" s="5" t="n"/>
      <c r="B1950" s="5" t="n"/>
      <c r="C1950" s="5" t="n"/>
      <c r="D1950" s="5" t="n"/>
      <c r="E1950" s="8" t="n"/>
      <c r="F1950" s="5" t="n"/>
      <c r="G1950" s="5" t="n"/>
      <c r="H1950" s="5" t="n"/>
      <c r="I1950" s="5" t="n"/>
    </row>
    <row r="1951">
      <c r="A1951" s="5" t="n"/>
      <c r="B1951" s="5" t="n"/>
      <c r="C1951" s="5" t="n"/>
      <c r="D1951" s="5" t="n"/>
      <c r="E1951" s="8" t="n"/>
      <c r="F1951" s="5" t="n"/>
      <c r="G1951" s="5" t="n"/>
      <c r="H1951" s="5" t="n"/>
      <c r="I1951" s="5" t="n"/>
    </row>
    <row r="1952">
      <c r="A1952" s="5" t="n"/>
      <c r="B1952" s="5" t="n"/>
      <c r="C1952" s="5" t="n"/>
      <c r="D1952" s="5" t="n"/>
      <c r="E1952" s="8" t="n"/>
      <c r="F1952" s="5" t="n"/>
      <c r="G1952" s="5" t="n"/>
      <c r="H1952" s="5" t="n"/>
      <c r="I1952" s="5" t="n"/>
    </row>
    <row r="1953">
      <c r="A1953" s="5" t="n"/>
      <c r="B1953" s="5" t="n"/>
      <c r="C1953" s="5" t="n"/>
      <c r="D1953" s="5" t="n"/>
      <c r="E1953" s="8" t="n"/>
      <c r="F1953" s="5" t="n"/>
      <c r="G1953" s="5" t="n"/>
      <c r="H1953" s="5" t="n"/>
      <c r="I1953" s="5" t="n"/>
    </row>
    <row r="1954">
      <c r="A1954" s="5" t="n"/>
      <c r="B1954" s="5" t="n"/>
      <c r="C1954" s="5" t="n"/>
      <c r="D1954" s="5" t="n"/>
      <c r="E1954" s="8" t="n"/>
      <c r="F1954" s="5" t="n"/>
      <c r="G1954" s="5" t="n"/>
      <c r="H1954" s="5" t="n"/>
      <c r="I1954" s="5" t="n"/>
    </row>
    <row r="1955">
      <c r="A1955" s="5" t="n"/>
      <c r="B1955" s="5" t="n"/>
      <c r="C1955" s="5" t="n"/>
      <c r="D1955" s="5" t="n"/>
      <c r="E1955" s="8" t="n"/>
      <c r="F1955" s="5" t="n"/>
      <c r="G1955" s="5" t="n"/>
      <c r="H1955" s="5" t="n"/>
      <c r="I1955" s="5" t="n"/>
    </row>
    <row r="1956">
      <c r="A1956" s="5" t="n"/>
      <c r="B1956" s="5" t="n"/>
      <c r="C1956" s="5" t="n"/>
      <c r="D1956" s="5" t="n"/>
      <c r="E1956" s="8" t="n"/>
      <c r="F1956" s="5" t="n"/>
      <c r="G1956" s="5" t="n"/>
      <c r="H1956" s="5" t="n"/>
      <c r="I1956" s="5" t="n"/>
    </row>
    <row r="1957">
      <c r="A1957" s="5" t="n"/>
      <c r="B1957" s="5" t="n"/>
      <c r="C1957" s="5" t="n"/>
      <c r="D1957" s="5" t="n"/>
      <c r="E1957" s="8" t="n"/>
      <c r="F1957" s="5" t="n"/>
      <c r="G1957" s="5" t="n"/>
      <c r="H1957" s="5" t="n"/>
      <c r="I1957" s="5" t="n"/>
    </row>
    <row r="1958">
      <c r="A1958" s="5" t="n"/>
      <c r="B1958" s="5" t="n"/>
      <c r="C1958" s="5" t="n"/>
      <c r="D1958" s="5" t="n"/>
      <c r="E1958" s="8" t="n"/>
      <c r="F1958" s="5" t="n"/>
      <c r="G1958" s="5" t="n"/>
      <c r="H1958" s="5" t="n"/>
      <c r="I1958" s="5" t="n"/>
    </row>
    <row r="1959">
      <c r="A1959" s="5" t="n"/>
      <c r="B1959" s="5" t="n"/>
      <c r="C1959" s="5" t="n"/>
      <c r="D1959" s="5" t="n"/>
      <c r="E1959" s="8" t="n"/>
      <c r="F1959" s="5" t="n"/>
      <c r="G1959" s="5" t="n"/>
      <c r="H1959" s="5" t="n"/>
      <c r="I1959" s="5" t="n"/>
    </row>
    <row r="1960">
      <c r="A1960" s="5" t="n"/>
      <c r="B1960" s="5" t="n"/>
      <c r="C1960" s="5" t="n"/>
      <c r="D1960" s="5" t="n"/>
      <c r="E1960" s="8" t="n"/>
      <c r="F1960" s="5" t="n"/>
      <c r="G1960" s="5" t="n"/>
      <c r="H1960" s="5" t="n"/>
      <c r="I1960" s="5" t="n"/>
    </row>
    <row r="1961">
      <c r="A1961" s="5" t="n"/>
      <c r="B1961" s="5" t="n"/>
      <c r="C1961" s="5" t="n"/>
      <c r="D1961" s="5" t="n"/>
      <c r="E1961" s="8" t="n"/>
      <c r="F1961" s="5" t="n"/>
      <c r="G1961" s="5" t="n"/>
      <c r="H1961" s="5" t="n"/>
      <c r="I1961" s="5" t="n"/>
    </row>
    <row r="1962">
      <c r="A1962" s="5" t="n"/>
      <c r="B1962" s="5" t="n"/>
      <c r="C1962" s="5" t="n"/>
      <c r="D1962" s="5" t="n"/>
      <c r="E1962" s="8" t="n"/>
      <c r="F1962" s="5" t="n"/>
      <c r="G1962" s="5" t="n"/>
      <c r="H1962" s="5" t="n"/>
      <c r="I1962" s="5" t="n"/>
    </row>
    <row r="1963">
      <c r="A1963" s="5" t="n"/>
      <c r="B1963" s="5" t="n"/>
      <c r="C1963" s="5" t="n"/>
      <c r="D1963" s="5" t="n"/>
      <c r="E1963" s="8" t="n"/>
      <c r="F1963" s="5" t="n"/>
      <c r="G1963" s="5" t="n"/>
      <c r="H1963" s="5" t="n"/>
      <c r="I1963" s="5" t="n"/>
    </row>
    <row r="1964">
      <c r="A1964" s="5" t="n"/>
      <c r="B1964" s="5" t="n"/>
      <c r="C1964" s="5" t="n"/>
      <c r="D1964" s="5" t="n"/>
      <c r="E1964" s="8" t="n"/>
      <c r="F1964" s="5" t="n"/>
      <c r="G1964" s="5" t="n"/>
      <c r="H1964" s="5" t="n"/>
      <c r="I1964" s="5" t="n"/>
    </row>
    <row r="1965">
      <c r="A1965" s="5" t="n"/>
      <c r="B1965" s="5" t="n"/>
      <c r="C1965" s="5" t="n"/>
      <c r="D1965" s="5" t="n"/>
      <c r="E1965" s="8" t="n"/>
      <c r="F1965" s="5" t="n"/>
      <c r="G1965" s="5" t="n"/>
      <c r="H1965" s="5" t="n"/>
      <c r="I1965" s="5" t="n"/>
    </row>
    <row r="1966">
      <c r="A1966" s="5" t="n"/>
      <c r="B1966" s="5" t="n"/>
      <c r="C1966" s="5" t="n"/>
      <c r="D1966" s="5" t="n"/>
      <c r="E1966" s="8" t="n"/>
      <c r="F1966" s="5" t="n"/>
      <c r="G1966" s="5" t="n"/>
      <c r="H1966" s="5" t="n"/>
      <c r="I1966" s="5" t="n"/>
    </row>
    <row r="1967">
      <c r="A1967" s="5" t="n"/>
      <c r="B1967" s="5" t="n"/>
      <c r="C1967" s="5" t="n"/>
      <c r="D1967" s="5" t="n"/>
      <c r="E1967" s="8" t="n"/>
      <c r="F1967" s="5" t="n"/>
      <c r="G1967" s="5" t="n"/>
      <c r="H1967" s="5" t="n"/>
      <c r="I1967" s="5" t="n"/>
    </row>
    <row r="1968">
      <c r="A1968" s="5" t="n"/>
      <c r="B1968" s="5" t="n"/>
      <c r="C1968" s="5" t="n"/>
      <c r="D1968" s="5" t="n"/>
      <c r="E1968" s="8" t="n"/>
      <c r="F1968" s="5" t="n"/>
      <c r="G1968" s="5" t="n"/>
      <c r="H1968" s="5" t="n"/>
      <c r="I1968" s="5" t="n"/>
    </row>
    <row r="1969">
      <c r="A1969" s="5" t="n"/>
      <c r="B1969" s="5" t="n"/>
      <c r="C1969" s="5" t="n"/>
      <c r="D1969" s="5" t="n"/>
      <c r="E1969" s="8" t="n"/>
      <c r="F1969" s="5" t="n"/>
      <c r="G1969" s="5" t="n"/>
      <c r="H1969" s="5" t="n"/>
      <c r="I1969" s="5" t="n"/>
    </row>
    <row r="1970">
      <c r="A1970" s="5" t="n"/>
      <c r="B1970" s="5" t="n"/>
      <c r="C1970" s="5" t="n"/>
      <c r="D1970" s="5" t="n"/>
      <c r="E1970" s="8" t="n"/>
      <c r="F1970" s="5" t="n"/>
      <c r="G1970" s="5" t="n"/>
      <c r="H1970" s="5" t="n"/>
      <c r="I1970" s="5" t="n"/>
    </row>
    <row r="1971">
      <c r="A1971" s="5" t="n"/>
      <c r="B1971" s="5" t="n"/>
      <c r="C1971" s="5" t="n"/>
      <c r="D1971" s="5" t="n"/>
      <c r="E1971" s="8" t="n"/>
      <c r="F1971" s="5" t="n"/>
      <c r="G1971" s="5" t="n"/>
      <c r="H1971" s="5" t="n"/>
      <c r="I1971" s="5" t="n"/>
    </row>
    <row r="1972">
      <c r="A1972" s="5" t="n"/>
      <c r="B1972" s="5" t="n"/>
      <c r="C1972" s="5" t="n"/>
      <c r="D1972" s="5" t="n"/>
      <c r="E1972" s="8" t="n"/>
      <c r="F1972" s="5" t="n"/>
      <c r="G1972" s="5" t="n"/>
      <c r="H1972" s="5" t="n"/>
      <c r="I1972" s="5" t="n"/>
    </row>
    <row r="1973">
      <c r="A1973" s="5" t="n"/>
      <c r="B1973" s="5" t="n"/>
      <c r="C1973" s="5" t="n"/>
      <c r="D1973" s="5" t="n"/>
      <c r="E1973" s="8" t="n"/>
      <c r="F1973" s="5" t="n"/>
      <c r="G1973" s="5" t="n"/>
      <c r="H1973" s="5" t="n"/>
      <c r="I1973" s="5" t="n"/>
    </row>
    <row r="1974">
      <c r="A1974" s="5" t="n"/>
      <c r="B1974" s="5" t="n"/>
      <c r="C1974" s="5" t="n"/>
      <c r="D1974" s="5" t="n"/>
      <c r="E1974" s="8" t="n"/>
      <c r="F1974" s="5" t="n"/>
      <c r="G1974" s="5" t="n"/>
      <c r="H1974" s="5" t="n"/>
      <c r="I1974" s="5" t="n"/>
    </row>
    <row r="1975">
      <c r="A1975" s="5" t="n"/>
      <c r="B1975" s="5" t="n"/>
      <c r="C1975" s="5" t="n"/>
      <c r="D1975" s="5" t="n"/>
      <c r="E1975" s="8" t="n"/>
      <c r="F1975" s="5" t="n"/>
      <c r="G1975" s="5" t="n"/>
      <c r="H1975" s="5" t="n"/>
      <c r="I1975" s="5" t="n"/>
    </row>
    <row r="1976">
      <c r="A1976" s="5" t="n"/>
      <c r="B1976" s="5" t="n"/>
      <c r="C1976" s="5" t="n"/>
      <c r="D1976" s="5" t="n"/>
      <c r="E1976" s="8" t="n"/>
      <c r="F1976" s="5" t="n"/>
      <c r="G1976" s="5" t="n"/>
      <c r="H1976" s="5" t="n"/>
      <c r="I1976" s="5" t="n"/>
    </row>
    <row r="1977">
      <c r="A1977" s="5" t="n"/>
      <c r="B1977" s="5" t="n"/>
      <c r="C1977" s="5" t="n"/>
      <c r="D1977" s="5" t="n"/>
      <c r="E1977" s="8" t="n"/>
      <c r="F1977" s="5" t="n"/>
      <c r="G1977" s="5" t="n"/>
      <c r="H1977" s="5" t="n"/>
      <c r="I1977" s="5" t="n"/>
    </row>
    <row r="1978">
      <c r="A1978" s="5" t="n"/>
      <c r="B1978" s="5" t="n"/>
      <c r="C1978" s="5" t="n"/>
      <c r="D1978" s="5" t="n"/>
      <c r="E1978" s="8" t="n"/>
      <c r="F1978" s="5" t="n"/>
      <c r="G1978" s="5" t="n"/>
      <c r="H1978" s="5" t="n"/>
      <c r="I1978" s="5" t="n"/>
    </row>
    <row r="1979">
      <c r="A1979" s="5" t="n"/>
      <c r="B1979" s="5" t="n"/>
      <c r="C1979" s="5" t="n"/>
      <c r="D1979" s="5" t="n"/>
      <c r="E1979" s="8" t="n"/>
      <c r="F1979" s="5" t="n"/>
      <c r="G1979" s="5" t="n"/>
      <c r="H1979" s="5" t="n"/>
      <c r="I1979" s="5" t="n"/>
    </row>
    <row r="1980">
      <c r="A1980" s="5" t="n"/>
      <c r="B1980" s="5" t="n"/>
      <c r="C1980" s="5" t="n"/>
      <c r="D1980" s="5" t="n"/>
      <c r="E1980" s="8" t="n"/>
      <c r="F1980" s="5" t="n"/>
      <c r="G1980" s="5" t="n"/>
      <c r="H1980" s="5" t="n"/>
      <c r="I1980" s="5" t="n"/>
    </row>
    <row r="1981">
      <c r="A1981" s="5" t="n"/>
      <c r="B1981" s="5" t="n"/>
      <c r="C1981" s="5" t="n"/>
      <c r="D1981" s="5" t="n"/>
      <c r="E1981" s="8" t="n"/>
      <c r="F1981" s="5" t="n"/>
      <c r="G1981" s="5" t="n"/>
      <c r="H1981" s="5" t="n"/>
      <c r="I1981" s="5" t="n"/>
    </row>
    <row r="1982">
      <c r="A1982" s="5" t="n"/>
      <c r="B1982" s="5" t="n"/>
      <c r="C1982" s="5" t="n"/>
      <c r="D1982" s="5" t="n"/>
      <c r="E1982" s="8" t="n"/>
      <c r="F1982" s="5" t="n"/>
      <c r="G1982" s="5" t="n"/>
      <c r="H1982" s="5" t="n"/>
      <c r="I1982" s="5" t="n"/>
    </row>
    <row r="1983">
      <c r="A1983" s="5" t="n"/>
      <c r="B1983" s="5" t="n"/>
      <c r="C1983" s="5" t="n"/>
      <c r="D1983" s="5" t="n"/>
      <c r="E1983" s="8" t="n"/>
      <c r="F1983" s="5" t="n"/>
      <c r="G1983" s="5" t="n"/>
      <c r="H1983" s="5" t="n"/>
      <c r="I1983" s="5" t="n"/>
    </row>
    <row r="1984">
      <c r="A1984" s="5" t="n"/>
      <c r="B1984" s="5" t="n"/>
      <c r="C1984" s="5" t="n"/>
      <c r="D1984" s="5" t="n"/>
      <c r="E1984" s="8" t="n"/>
      <c r="F1984" s="5" t="n"/>
      <c r="G1984" s="5" t="n"/>
      <c r="H1984" s="5" t="n"/>
      <c r="I1984" s="5" t="n"/>
    </row>
    <row r="1985">
      <c r="A1985" s="5" t="n"/>
      <c r="B1985" s="5" t="n"/>
      <c r="C1985" s="5" t="n"/>
      <c r="D1985" s="5" t="n"/>
      <c r="E1985" s="8" t="n"/>
      <c r="F1985" s="5" t="n"/>
      <c r="G1985" s="5" t="n"/>
      <c r="H1985" s="5" t="n"/>
      <c r="I1985" s="5" t="n"/>
    </row>
    <row r="1986">
      <c r="A1986" s="5" t="n"/>
      <c r="B1986" s="5" t="n"/>
      <c r="C1986" s="5" t="n"/>
      <c r="D1986" s="5" t="n"/>
      <c r="E1986" s="8" t="n"/>
      <c r="F1986" s="5" t="n"/>
      <c r="G1986" s="5" t="n"/>
      <c r="H1986" s="5" t="n"/>
      <c r="I1986" s="5" t="n"/>
    </row>
    <row r="1987">
      <c r="A1987" s="5" t="n"/>
      <c r="B1987" s="5" t="n"/>
      <c r="C1987" s="5" t="n"/>
      <c r="D1987" s="5" t="n"/>
      <c r="E1987" s="8" t="n"/>
      <c r="F1987" s="5" t="n"/>
      <c r="G1987" s="5" t="n"/>
      <c r="H1987" s="5" t="n"/>
      <c r="I1987" s="5" t="n"/>
    </row>
    <row r="1988">
      <c r="A1988" s="5" t="n"/>
      <c r="B1988" s="5" t="n"/>
      <c r="C1988" s="5" t="n"/>
      <c r="D1988" s="5" t="n"/>
      <c r="E1988" s="8" t="n"/>
      <c r="F1988" s="5" t="n"/>
      <c r="G1988" s="5" t="n"/>
      <c r="H1988" s="5" t="n"/>
      <c r="I1988" s="5" t="n"/>
    </row>
    <row r="1989">
      <c r="A1989" s="5" t="n"/>
      <c r="B1989" s="5" t="n"/>
      <c r="C1989" s="5" t="n"/>
      <c r="D1989" s="5" t="n"/>
      <c r="E1989" s="8" t="n"/>
      <c r="F1989" s="5" t="n"/>
      <c r="G1989" s="5" t="n"/>
      <c r="H1989" s="5" t="n"/>
      <c r="I1989" s="5" t="n"/>
    </row>
    <row r="1990">
      <c r="A1990" s="5" t="n"/>
      <c r="B1990" s="5" t="n"/>
      <c r="C1990" s="5" t="n"/>
      <c r="D1990" s="5" t="n"/>
      <c r="E1990" s="8" t="n"/>
      <c r="F1990" s="5" t="n"/>
      <c r="G1990" s="5" t="n"/>
      <c r="H1990" s="5" t="n"/>
      <c r="I1990" s="5" t="n"/>
    </row>
    <row r="1991">
      <c r="A1991" s="5" t="n"/>
      <c r="B1991" s="5" t="n"/>
      <c r="C1991" s="5" t="n"/>
      <c r="D1991" s="5" t="n"/>
      <c r="E1991" s="8" t="n"/>
      <c r="F1991" s="5" t="n"/>
      <c r="G1991" s="5" t="n"/>
      <c r="H1991" s="5" t="n"/>
      <c r="I1991" s="5" t="n"/>
    </row>
    <row r="1992">
      <c r="A1992" s="5" t="n"/>
      <c r="B1992" s="5" t="n"/>
      <c r="C1992" s="5" t="n"/>
      <c r="D1992" s="5" t="n"/>
      <c r="E1992" s="8" t="n"/>
      <c r="F1992" s="5" t="n"/>
      <c r="G1992" s="5" t="n"/>
      <c r="H1992" s="5" t="n"/>
      <c r="I1992" s="5" t="n"/>
    </row>
    <row r="1993">
      <c r="A1993" s="5" t="n"/>
      <c r="B1993" s="5" t="n"/>
      <c r="C1993" s="5" t="n"/>
      <c r="D1993" s="5" t="n"/>
      <c r="E1993" s="8" t="n"/>
      <c r="F1993" s="5" t="n"/>
      <c r="G1993" s="5" t="n"/>
      <c r="H1993" s="5" t="n"/>
      <c r="I1993" s="5" t="n"/>
    </row>
    <row r="1994">
      <c r="A1994" s="5" t="n"/>
      <c r="B1994" s="5" t="n"/>
      <c r="C1994" s="5" t="n"/>
      <c r="D1994" s="5" t="n"/>
      <c r="E1994" s="8" t="n"/>
      <c r="F1994" s="5" t="n"/>
      <c r="G1994" s="5" t="n"/>
      <c r="H1994" s="5" t="n"/>
      <c r="I1994" s="5" t="n"/>
    </row>
    <row r="1995">
      <c r="A1995" s="5" t="n"/>
      <c r="B1995" s="5" t="n"/>
      <c r="C1995" s="5" t="n"/>
      <c r="D1995" s="5" t="n"/>
      <c r="E1995" s="8" t="n"/>
      <c r="F1995" s="5" t="n"/>
      <c r="G1995" s="5" t="n"/>
      <c r="H1995" s="5" t="n"/>
      <c r="I1995" s="5" t="n"/>
    </row>
    <row r="1996">
      <c r="A1996" s="5" t="n"/>
      <c r="B1996" s="5" t="n"/>
      <c r="C1996" s="5" t="n"/>
      <c r="D1996" s="5" t="n"/>
      <c r="E1996" s="8" t="n"/>
      <c r="F1996" s="5" t="n"/>
      <c r="G1996" s="5" t="n"/>
      <c r="H1996" s="5" t="n"/>
      <c r="I1996" s="5" t="n"/>
    </row>
    <row r="1997">
      <c r="A1997" s="5" t="n"/>
      <c r="B1997" s="5" t="n"/>
      <c r="C1997" s="5" t="n"/>
      <c r="D1997" s="5" t="n"/>
      <c r="E1997" s="8" t="n"/>
      <c r="F1997" s="5" t="n"/>
      <c r="G1997" s="5" t="n"/>
      <c r="H1997" s="5" t="n"/>
      <c r="I1997" s="5" t="n"/>
    </row>
    <row r="1998">
      <c r="A1998" s="5" t="n"/>
      <c r="B1998" s="5" t="n"/>
      <c r="C1998" s="5" t="n"/>
      <c r="D1998" s="5" t="n"/>
      <c r="E1998" s="8" t="n"/>
      <c r="F1998" s="5" t="n"/>
      <c r="G1998" s="5" t="n"/>
      <c r="H1998" s="5" t="n"/>
      <c r="I1998" s="5" t="n"/>
    </row>
    <row r="1999">
      <c r="A1999" s="5" t="n"/>
      <c r="B1999" s="5" t="n"/>
      <c r="C1999" s="5" t="n"/>
      <c r="D1999" s="5" t="n"/>
      <c r="E1999" s="8" t="n"/>
      <c r="F1999" s="5" t="n"/>
      <c r="G1999" s="5" t="n"/>
      <c r="H1999" s="5" t="n"/>
      <c r="I1999" s="5" t="n"/>
    </row>
    <row r="2000">
      <c r="A2000" s="5" t="n"/>
      <c r="B2000" s="5" t="n"/>
      <c r="C2000" s="5" t="n"/>
      <c r="D2000" s="5" t="n"/>
      <c r="E2000" s="8" t="n"/>
      <c r="F2000" s="5" t="n"/>
      <c r="G2000" s="5" t="n"/>
      <c r="H2000" s="5" t="n"/>
      <c r="I2000" s="5" t="n"/>
    </row>
    <row r="2001">
      <c r="A2001" s="5" t="n"/>
      <c r="B2001" s="5" t="n"/>
      <c r="C2001" s="5" t="n"/>
      <c r="D2001" s="5" t="n"/>
      <c r="E2001" s="8" t="n"/>
      <c r="F2001" s="5" t="n"/>
      <c r="G2001" s="5" t="n"/>
      <c r="H2001" s="5" t="n"/>
      <c r="I2001" s="5" t="n"/>
    </row>
    <row r="2002">
      <c r="A2002" s="5" t="n"/>
      <c r="B2002" s="5" t="n"/>
      <c r="C2002" s="5" t="n"/>
      <c r="D2002" s="5" t="n"/>
      <c r="E2002" s="8" t="n"/>
      <c r="F2002" s="5" t="n"/>
      <c r="G2002" s="5" t="n"/>
      <c r="H2002" s="5" t="n"/>
      <c r="I2002" s="5" t="n"/>
    </row>
    <row r="2003">
      <c r="A2003" s="5" t="n"/>
      <c r="B2003" s="5" t="n"/>
      <c r="C2003" s="5" t="n"/>
      <c r="D2003" s="5" t="n"/>
      <c r="E2003" s="8" t="n"/>
      <c r="F2003" s="5" t="n"/>
      <c r="G2003" s="5" t="n"/>
      <c r="H2003" s="5" t="n"/>
      <c r="I2003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D9ED6"/>
    <outlinePr summaryBelow="1" summaryRight="1"/>
    <pageSetUpPr/>
  </sheetPr>
  <dimension ref="A1:P5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4" customWidth="1" min="10" max="10"/>
    <col width="14" customWidth="1" min="11" max="11"/>
    <col width="14" customWidth="1" min="12" max="12"/>
    <col width="34" customWidth="1" min="13" max="13"/>
    <col width="34" customWidth="1" min="14" max="14"/>
    <col width="14" customWidth="1" min="15" max="15"/>
    <col width="34" customWidth="1" min="16" max="16"/>
  </cols>
  <sheetData>
    <row r="1">
      <c r="A1" s="1" t="inlineStr">
        <is>
          <t>DEE CLEANERS — HOUSEHELPS</t>
        </is>
      </c>
    </row>
    <row r="2">
      <c r="A2" s="2" t="inlineStr">
        <is>
          <t>Use the app to add and edit records. IDs are assigned automatically.</t>
        </is>
      </c>
    </row>
    <row r="3">
      <c r="A3" s="10" t="inlineStr">
        <is>
          <t>Househelp ID</t>
        </is>
      </c>
      <c r="B3" s="10" t="inlineStr">
        <is>
          <t>Full Name</t>
        </is>
      </c>
      <c r="C3" s="10" t="inlineStr">
        <is>
          <t>Phone</t>
        </is>
      </c>
      <c r="D3" s="10" t="inlineStr">
        <is>
          <t>Email</t>
        </is>
      </c>
      <c r="E3" s="10" t="inlineStr">
        <is>
          <t>Gender</t>
        </is>
      </c>
      <c r="F3" s="10" t="inlineStr">
        <is>
          <t>Nationality</t>
        </is>
      </c>
      <c r="G3" s="10" t="inlineStr">
        <is>
          <t>Occupation</t>
        </is>
      </c>
      <c r="H3" s="10" t="inlineStr">
        <is>
          <t>NIDA Number</t>
        </is>
      </c>
      <c r="I3" s="10" t="inlineStr">
        <is>
          <t>City/Country</t>
        </is>
      </c>
      <c r="J3" s="10" t="inlineStr">
        <is>
          <t>Home Address</t>
        </is>
      </c>
      <c r="K3" s="10" t="inlineStr">
        <is>
          <t>Registration Date</t>
        </is>
      </c>
      <c r="L3" s="10" t="inlineStr">
        <is>
          <t>Status</t>
        </is>
      </c>
      <c r="M3" s="10" t="inlineStr">
        <is>
          <t>Skills</t>
        </is>
      </c>
      <c r="N3" s="10" t="inlineStr">
        <is>
          <t>Experience</t>
        </is>
      </c>
      <c r="O3" s="10" t="inlineStr">
        <is>
          <t>Availability</t>
        </is>
      </c>
      <c r="P3" s="10" t="inlineStr">
        <is>
          <t>Notes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D9ED6"/>
    <outlinePr summaryBelow="1" summaryRight="1"/>
    <pageSetUpPr/>
  </sheetPr>
  <dimension ref="A1:M5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34" customWidth="1" min="11" max="11"/>
    <col width="14" customWidth="1" min="12" max="12"/>
    <col width="34" customWidth="1" min="13" max="13"/>
  </cols>
  <sheetData>
    <row r="1">
      <c r="A1" s="1" t="inlineStr">
        <is>
          <t>DEE CLEANERS — EMPLOYERS</t>
        </is>
      </c>
    </row>
    <row r="2">
      <c r="A2" s="2" t="inlineStr">
        <is>
          <t>Use the app to add and edit records. IDs are assigned automatically.</t>
        </is>
      </c>
    </row>
    <row r="3">
      <c r="A3" s="10" t="inlineStr">
        <is>
          <t>Client ID</t>
        </is>
      </c>
      <c r="B3" s="10" t="inlineStr">
        <is>
          <t>Full Name</t>
        </is>
      </c>
      <c r="C3" s="10" t="inlineStr">
        <is>
          <t>Family Member/Relative</t>
        </is>
      </c>
      <c r="D3" s="10" t="inlineStr">
        <is>
          <t>Phone</t>
        </is>
      </c>
      <c r="E3" s="10" t="inlineStr">
        <is>
          <t>Email</t>
        </is>
      </c>
      <c r="F3" s="10" t="inlineStr">
        <is>
          <t>Gender</t>
        </is>
      </c>
      <c r="G3" s="10" t="inlineStr">
        <is>
          <t>Nationality</t>
        </is>
      </c>
      <c r="H3" s="10" t="inlineStr">
        <is>
          <t>Occupation</t>
        </is>
      </c>
      <c r="I3" s="10" t="inlineStr">
        <is>
          <t>City/Country</t>
        </is>
      </c>
      <c r="J3" s="10" t="inlineStr">
        <is>
          <t>NIDA Number</t>
        </is>
      </c>
      <c r="K3" s="10" t="inlineStr">
        <is>
          <t>Home Address</t>
        </is>
      </c>
      <c r="L3" s="10" t="inlineStr">
        <is>
          <t>Registration Date</t>
        </is>
      </c>
      <c r="M3" s="10" t="inlineStr">
        <is>
          <t>Notes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D9ED6"/>
    <outlinePr summaryBelow="1" summaryRight="1"/>
    <pageSetUpPr/>
  </sheetPr>
  <dimension ref="A1:Q5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3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34" customWidth="1" min="17" max="17"/>
  </cols>
  <sheetData>
    <row r="1">
      <c r="A1" s="1" t="inlineStr">
        <is>
          <t>DEE CLEANERS — PLACEMENTS</t>
        </is>
      </c>
    </row>
    <row r="2">
      <c r="A2" s="2" t="inlineStr">
        <is>
          <t>Use the app to add and edit records. IDs are assigned automatically.</t>
        </is>
      </c>
    </row>
    <row r="3">
      <c r="A3" s="10" t="inlineStr">
        <is>
          <t>Placement ID</t>
        </is>
      </c>
      <c r="B3" s="10" t="inlineStr">
        <is>
          <t>Househelp ID</t>
        </is>
      </c>
      <c r="C3" s="10" t="inlineStr">
        <is>
          <t>Employer ID</t>
        </is>
      </c>
      <c r="D3" s="10" t="inlineStr">
        <is>
          <t>Category</t>
        </is>
      </c>
      <c r="E3" s="10" t="inlineStr">
        <is>
          <t>Job Description</t>
        </is>
      </c>
      <c r="F3" s="10" t="inlineStr">
        <is>
          <t>Salary</t>
        </is>
      </c>
      <c r="G3" s="10" t="inlineStr">
        <is>
          <t>Payment Frequency</t>
        </is>
      </c>
      <c r="H3" s="10" t="inlineStr">
        <is>
          <t>Start Date</t>
        </is>
      </c>
      <c r="I3" s="10" t="inlineStr">
        <is>
          <t>Expected End Date</t>
        </is>
      </c>
      <c r="J3" s="10" t="inlineStr">
        <is>
          <t>Status</t>
        </is>
      </c>
      <c r="K3" s="10" t="inlineStr">
        <is>
          <t>Contract Status</t>
        </is>
      </c>
      <c r="L3" s="10" t="inlineStr">
        <is>
          <t>Live-in/Live-out</t>
        </is>
      </c>
      <c r="M3" s="10" t="inlineStr">
        <is>
          <t>Working Hours</t>
        </is>
      </c>
      <c r="N3" s="10" t="inlineStr">
        <is>
          <t>Accommodation</t>
        </is>
      </c>
      <c r="O3" s="10" t="inlineStr">
        <is>
          <t>Meals</t>
        </is>
      </c>
      <c r="P3" s="10" t="inlineStr">
        <is>
          <t>Agency Fee</t>
        </is>
      </c>
      <c r="Q3" s="10" t="inlineStr">
        <is>
          <t>Notes</t>
        </is>
      </c>
    </row>
    <row r="4">
      <c r="A4" s="5" t="n"/>
      <c r="B4" s="5" t="n"/>
      <c r="C4" s="5" t="n"/>
      <c r="D4" s="5" t="n"/>
      <c r="E4" s="5" t="n"/>
      <c r="F4" s="8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8" t="n"/>
      <c r="Q4" s="5" t="n"/>
    </row>
    <row r="5">
      <c r="A5" s="5" t="n"/>
      <c r="B5" s="5" t="n"/>
      <c r="C5" s="5" t="n"/>
      <c r="D5" s="5" t="n"/>
      <c r="E5" s="5" t="n"/>
      <c r="F5" s="8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8" t="n"/>
      <c r="Q5" s="5" t="n"/>
    </row>
    <row r="6">
      <c r="A6" s="5" t="n"/>
      <c r="B6" s="5" t="n"/>
      <c r="C6" s="5" t="n"/>
      <c r="D6" s="5" t="n"/>
      <c r="E6" s="5" t="n"/>
      <c r="F6" s="8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8" t="n"/>
      <c r="Q6" s="5" t="n"/>
    </row>
    <row r="7">
      <c r="A7" s="5" t="n"/>
      <c r="B7" s="5" t="n"/>
      <c r="C7" s="5" t="n"/>
      <c r="D7" s="5" t="n"/>
      <c r="E7" s="5" t="n"/>
      <c r="F7" s="8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8" t="n"/>
      <c r="Q7" s="5" t="n"/>
    </row>
    <row r="8">
      <c r="A8" s="5" t="n"/>
      <c r="B8" s="5" t="n"/>
      <c r="C8" s="5" t="n"/>
      <c r="D8" s="5" t="n"/>
      <c r="E8" s="5" t="n"/>
      <c r="F8" s="8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8" t="n"/>
      <c r="Q8" s="5" t="n"/>
    </row>
    <row r="9">
      <c r="A9" s="5" t="n"/>
      <c r="B9" s="5" t="n"/>
      <c r="C9" s="5" t="n"/>
      <c r="D9" s="5" t="n"/>
      <c r="E9" s="5" t="n"/>
      <c r="F9" s="8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8" t="n"/>
      <c r="Q9" s="5" t="n"/>
    </row>
    <row r="10">
      <c r="A10" s="5" t="n"/>
      <c r="B10" s="5" t="n"/>
      <c r="C10" s="5" t="n"/>
      <c r="D10" s="5" t="n"/>
      <c r="E10" s="5" t="n"/>
      <c r="F10" s="8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8" t="n"/>
      <c r="Q10" s="5" t="n"/>
    </row>
    <row r="11">
      <c r="A11" s="5" t="n"/>
      <c r="B11" s="5" t="n"/>
      <c r="C11" s="5" t="n"/>
      <c r="D11" s="5" t="n"/>
      <c r="E11" s="5" t="n"/>
      <c r="F11" s="8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8" t="n"/>
      <c r="Q11" s="5" t="n"/>
    </row>
    <row r="12">
      <c r="A12" s="5" t="n"/>
      <c r="B12" s="5" t="n"/>
      <c r="C12" s="5" t="n"/>
      <c r="D12" s="5" t="n"/>
      <c r="E12" s="5" t="n"/>
      <c r="F12" s="8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8" t="n"/>
      <c r="Q12" s="5" t="n"/>
    </row>
    <row r="13">
      <c r="A13" s="5" t="n"/>
      <c r="B13" s="5" t="n"/>
      <c r="C13" s="5" t="n"/>
      <c r="D13" s="5" t="n"/>
      <c r="E13" s="5" t="n"/>
      <c r="F13" s="8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8" t="n"/>
      <c r="Q13" s="5" t="n"/>
    </row>
    <row r="14">
      <c r="A14" s="5" t="n"/>
      <c r="B14" s="5" t="n"/>
      <c r="C14" s="5" t="n"/>
      <c r="D14" s="5" t="n"/>
      <c r="E14" s="5" t="n"/>
      <c r="F14" s="8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8" t="n"/>
      <c r="Q14" s="5" t="n"/>
    </row>
    <row r="15">
      <c r="A15" s="5" t="n"/>
      <c r="B15" s="5" t="n"/>
      <c r="C15" s="5" t="n"/>
      <c r="D15" s="5" t="n"/>
      <c r="E15" s="5" t="n"/>
      <c r="F15" s="8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8" t="n"/>
      <c r="Q15" s="5" t="n"/>
    </row>
    <row r="16">
      <c r="A16" s="5" t="n"/>
      <c r="B16" s="5" t="n"/>
      <c r="C16" s="5" t="n"/>
      <c r="D16" s="5" t="n"/>
      <c r="E16" s="5" t="n"/>
      <c r="F16" s="8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8" t="n"/>
      <c r="Q16" s="5" t="n"/>
    </row>
    <row r="17">
      <c r="A17" s="5" t="n"/>
      <c r="B17" s="5" t="n"/>
      <c r="C17" s="5" t="n"/>
      <c r="D17" s="5" t="n"/>
      <c r="E17" s="5" t="n"/>
      <c r="F17" s="8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8" t="n"/>
      <c r="Q17" s="5" t="n"/>
    </row>
    <row r="18">
      <c r="A18" s="5" t="n"/>
      <c r="B18" s="5" t="n"/>
      <c r="C18" s="5" t="n"/>
      <c r="D18" s="5" t="n"/>
      <c r="E18" s="5" t="n"/>
      <c r="F18" s="8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8" t="n"/>
      <c r="Q18" s="5" t="n"/>
    </row>
    <row r="19">
      <c r="A19" s="5" t="n"/>
      <c r="B19" s="5" t="n"/>
      <c r="C19" s="5" t="n"/>
      <c r="D19" s="5" t="n"/>
      <c r="E19" s="5" t="n"/>
      <c r="F19" s="8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8" t="n"/>
      <c r="Q19" s="5" t="n"/>
    </row>
    <row r="20">
      <c r="A20" s="5" t="n"/>
      <c r="B20" s="5" t="n"/>
      <c r="C20" s="5" t="n"/>
      <c r="D20" s="5" t="n"/>
      <c r="E20" s="5" t="n"/>
      <c r="F20" s="8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8" t="n"/>
      <c r="Q20" s="5" t="n"/>
    </row>
    <row r="21">
      <c r="A21" s="5" t="n"/>
      <c r="B21" s="5" t="n"/>
      <c r="C21" s="5" t="n"/>
      <c r="D21" s="5" t="n"/>
      <c r="E21" s="5" t="n"/>
      <c r="F21" s="8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8" t="n"/>
      <c r="Q21" s="5" t="n"/>
    </row>
    <row r="22">
      <c r="A22" s="5" t="n"/>
      <c r="B22" s="5" t="n"/>
      <c r="C22" s="5" t="n"/>
      <c r="D22" s="5" t="n"/>
      <c r="E22" s="5" t="n"/>
      <c r="F22" s="8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8" t="n"/>
      <c r="Q22" s="5" t="n"/>
    </row>
    <row r="23">
      <c r="A23" s="5" t="n"/>
      <c r="B23" s="5" t="n"/>
      <c r="C23" s="5" t="n"/>
      <c r="D23" s="5" t="n"/>
      <c r="E23" s="5" t="n"/>
      <c r="F23" s="8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8" t="n"/>
      <c r="Q23" s="5" t="n"/>
    </row>
    <row r="24">
      <c r="A24" s="5" t="n"/>
      <c r="B24" s="5" t="n"/>
      <c r="C24" s="5" t="n"/>
      <c r="D24" s="5" t="n"/>
      <c r="E24" s="5" t="n"/>
      <c r="F24" s="8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8" t="n"/>
      <c r="Q24" s="5" t="n"/>
    </row>
    <row r="25">
      <c r="A25" s="5" t="n"/>
      <c r="B25" s="5" t="n"/>
      <c r="C25" s="5" t="n"/>
      <c r="D25" s="5" t="n"/>
      <c r="E25" s="5" t="n"/>
      <c r="F25" s="8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8" t="n"/>
      <c r="Q25" s="5" t="n"/>
    </row>
    <row r="26">
      <c r="A26" s="5" t="n"/>
      <c r="B26" s="5" t="n"/>
      <c r="C26" s="5" t="n"/>
      <c r="D26" s="5" t="n"/>
      <c r="E26" s="5" t="n"/>
      <c r="F26" s="8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8" t="n"/>
      <c r="Q26" s="5" t="n"/>
    </row>
    <row r="27">
      <c r="A27" s="5" t="n"/>
      <c r="B27" s="5" t="n"/>
      <c r="C27" s="5" t="n"/>
      <c r="D27" s="5" t="n"/>
      <c r="E27" s="5" t="n"/>
      <c r="F27" s="8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8" t="n"/>
      <c r="Q27" s="5" t="n"/>
    </row>
    <row r="28">
      <c r="A28" s="5" t="n"/>
      <c r="B28" s="5" t="n"/>
      <c r="C28" s="5" t="n"/>
      <c r="D28" s="5" t="n"/>
      <c r="E28" s="5" t="n"/>
      <c r="F28" s="8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8" t="n"/>
      <c r="Q28" s="5" t="n"/>
    </row>
    <row r="29">
      <c r="A29" s="5" t="n"/>
      <c r="B29" s="5" t="n"/>
      <c r="C29" s="5" t="n"/>
      <c r="D29" s="5" t="n"/>
      <c r="E29" s="5" t="n"/>
      <c r="F29" s="8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8" t="n"/>
      <c r="Q29" s="5" t="n"/>
    </row>
    <row r="30">
      <c r="A30" s="5" t="n"/>
      <c r="B30" s="5" t="n"/>
      <c r="C30" s="5" t="n"/>
      <c r="D30" s="5" t="n"/>
      <c r="E30" s="5" t="n"/>
      <c r="F30" s="8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8" t="n"/>
      <c r="Q30" s="5" t="n"/>
    </row>
    <row r="31">
      <c r="A31" s="5" t="n"/>
      <c r="B31" s="5" t="n"/>
      <c r="C31" s="5" t="n"/>
      <c r="D31" s="5" t="n"/>
      <c r="E31" s="5" t="n"/>
      <c r="F31" s="8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8" t="n"/>
      <c r="Q31" s="5" t="n"/>
    </row>
    <row r="32">
      <c r="A32" s="5" t="n"/>
      <c r="B32" s="5" t="n"/>
      <c r="C32" s="5" t="n"/>
      <c r="D32" s="5" t="n"/>
      <c r="E32" s="5" t="n"/>
      <c r="F32" s="8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8" t="n"/>
      <c r="Q32" s="5" t="n"/>
    </row>
    <row r="33">
      <c r="A33" s="5" t="n"/>
      <c r="B33" s="5" t="n"/>
      <c r="C33" s="5" t="n"/>
      <c r="D33" s="5" t="n"/>
      <c r="E33" s="5" t="n"/>
      <c r="F33" s="8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8" t="n"/>
      <c r="Q33" s="5" t="n"/>
    </row>
    <row r="34">
      <c r="A34" s="5" t="n"/>
      <c r="B34" s="5" t="n"/>
      <c r="C34" s="5" t="n"/>
      <c r="D34" s="5" t="n"/>
      <c r="E34" s="5" t="n"/>
      <c r="F34" s="8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8" t="n"/>
      <c r="Q34" s="5" t="n"/>
    </row>
    <row r="35">
      <c r="A35" s="5" t="n"/>
      <c r="B35" s="5" t="n"/>
      <c r="C35" s="5" t="n"/>
      <c r="D35" s="5" t="n"/>
      <c r="E35" s="5" t="n"/>
      <c r="F35" s="8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8" t="n"/>
      <c r="Q35" s="5" t="n"/>
    </row>
    <row r="36">
      <c r="A36" s="5" t="n"/>
      <c r="B36" s="5" t="n"/>
      <c r="C36" s="5" t="n"/>
      <c r="D36" s="5" t="n"/>
      <c r="E36" s="5" t="n"/>
      <c r="F36" s="8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8" t="n"/>
      <c r="Q36" s="5" t="n"/>
    </row>
    <row r="37">
      <c r="A37" s="5" t="n"/>
      <c r="B37" s="5" t="n"/>
      <c r="C37" s="5" t="n"/>
      <c r="D37" s="5" t="n"/>
      <c r="E37" s="5" t="n"/>
      <c r="F37" s="8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8" t="n"/>
      <c r="Q37" s="5" t="n"/>
    </row>
    <row r="38">
      <c r="A38" s="5" t="n"/>
      <c r="B38" s="5" t="n"/>
      <c r="C38" s="5" t="n"/>
      <c r="D38" s="5" t="n"/>
      <c r="E38" s="5" t="n"/>
      <c r="F38" s="8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8" t="n"/>
      <c r="Q38" s="5" t="n"/>
    </row>
    <row r="39">
      <c r="A39" s="5" t="n"/>
      <c r="B39" s="5" t="n"/>
      <c r="C39" s="5" t="n"/>
      <c r="D39" s="5" t="n"/>
      <c r="E39" s="5" t="n"/>
      <c r="F39" s="8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8" t="n"/>
      <c r="Q39" s="5" t="n"/>
    </row>
    <row r="40">
      <c r="A40" s="5" t="n"/>
      <c r="B40" s="5" t="n"/>
      <c r="C40" s="5" t="n"/>
      <c r="D40" s="5" t="n"/>
      <c r="E40" s="5" t="n"/>
      <c r="F40" s="8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8" t="n"/>
      <c r="Q40" s="5" t="n"/>
    </row>
    <row r="41">
      <c r="A41" s="5" t="n"/>
      <c r="B41" s="5" t="n"/>
      <c r="C41" s="5" t="n"/>
      <c r="D41" s="5" t="n"/>
      <c r="E41" s="5" t="n"/>
      <c r="F41" s="8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8" t="n"/>
      <c r="Q41" s="5" t="n"/>
    </row>
    <row r="42">
      <c r="A42" s="5" t="n"/>
      <c r="B42" s="5" t="n"/>
      <c r="C42" s="5" t="n"/>
      <c r="D42" s="5" t="n"/>
      <c r="E42" s="5" t="n"/>
      <c r="F42" s="8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8" t="n"/>
      <c r="Q42" s="5" t="n"/>
    </row>
    <row r="43">
      <c r="A43" s="5" t="n"/>
      <c r="B43" s="5" t="n"/>
      <c r="C43" s="5" t="n"/>
      <c r="D43" s="5" t="n"/>
      <c r="E43" s="5" t="n"/>
      <c r="F43" s="8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8" t="n"/>
      <c r="Q43" s="5" t="n"/>
    </row>
    <row r="44">
      <c r="A44" s="5" t="n"/>
      <c r="B44" s="5" t="n"/>
      <c r="C44" s="5" t="n"/>
      <c r="D44" s="5" t="n"/>
      <c r="E44" s="5" t="n"/>
      <c r="F44" s="8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8" t="n"/>
      <c r="Q44" s="5" t="n"/>
    </row>
    <row r="45">
      <c r="A45" s="5" t="n"/>
      <c r="B45" s="5" t="n"/>
      <c r="C45" s="5" t="n"/>
      <c r="D45" s="5" t="n"/>
      <c r="E45" s="5" t="n"/>
      <c r="F45" s="8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8" t="n"/>
      <c r="Q45" s="5" t="n"/>
    </row>
    <row r="46">
      <c r="A46" s="5" t="n"/>
      <c r="B46" s="5" t="n"/>
      <c r="C46" s="5" t="n"/>
      <c r="D46" s="5" t="n"/>
      <c r="E46" s="5" t="n"/>
      <c r="F46" s="8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8" t="n"/>
      <c r="Q46" s="5" t="n"/>
    </row>
    <row r="47">
      <c r="A47" s="5" t="n"/>
      <c r="B47" s="5" t="n"/>
      <c r="C47" s="5" t="n"/>
      <c r="D47" s="5" t="n"/>
      <c r="E47" s="5" t="n"/>
      <c r="F47" s="8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8" t="n"/>
      <c r="Q47" s="5" t="n"/>
    </row>
    <row r="48">
      <c r="A48" s="5" t="n"/>
      <c r="B48" s="5" t="n"/>
      <c r="C48" s="5" t="n"/>
      <c r="D48" s="5" t="n"/>
      <c r="E48" s="5" t="n"/>
      <c r="F48" s="8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8" t="n"/>
      <c r="Q48" s="5" t="n"/>
    </row>
    <row r="49">
      <c r="A49" s="5" t="n"/>
      <c r="B49" s="5" t="n"/>
      <c r="C49" s="5" t="n"/>
      <c r="D49" s="5" t="n"/>
      <c r="E49" s="5" t="n"/>
      <c r="F49" s="8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8" t="n"/>
      <c r="Q49" s="5" t="n"/>
    </row>
    <row r="50">
      <c r="A50" s="5" t="n"/>
      <c r="B50" s="5" t="n"/>
      <c r="C50" s="5" t="n"/>
      <c r="D50" s="5" t="n"/>
      <c r="E50" s="5" t="n"/>
      <c r="F50" s="8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8" t="n"/>
      <c r="Q50" s="5" t="n"/>
    </row>
    <row r="51">
      <c r="A51" s="5" t="n"/>
      <c r="B51" s="5" t="n"/>
      <c r="C51" s="5" t="n"/>
      <c r="D51" s="5" t="n"/>
      <c r="E51" s="5" t="n"/>
      <c r="F51" s="8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8" t="n"/>
      <c r="Q51" s="5" t="n"/>
    </row>
    <row r="52">
      <c r="A52" s="5" t="n"/>
      <c r="B52" s="5" t="n"/>
      <c r="C52" s="5" t="n"/>
      <c r="D52" s="5" t="n"/>
      <c r="E52" s="5" t="n"/>
      <c r="F52" s="8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8" t="n"/>
      <c r="Q52" s="5" t="n"/>
    </row>
    <row r="53">
      <c r="A53" s="5" t="n"/>
      <c r="B53" s="5" t="n"/>
      <c r="C53" s="5" t="n"/>
      <c r="D53" s="5" t="n"/>
      <c r="E53" s="5" t="n"/>
      <c r="F53" s="8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8" t="n"/>
      <c r="Q53" s="5" t="n"/>
    </row>
    <row r="54">
      <c r="A54" s="5" t="n"/>
      <c r="B54" s="5" t="n"/>
      <c r="C54" s="5" t="n"/>
      <c r="D54" s="5" t="n"/>
      <c r="E54" s="5" t="n"/>
      <c r="F54" s="8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8" t="n"/>
      <c r="Q54" s="5" t="n"/>
    </row>
    <row r="55">
      <c r="A55" s="5" t="n"/>
      <c r="B55" s="5" t="n"/>
      <c r="C55" s="5" t="n"/>
      <c r="D55" s="5" t="n"/>
      <c r="E55" s="5" t="n"/>
      <c r="F55" s="8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8" t="n"/>
      <c r="Q55" s="5" t="n"/>
    </row>
    <row r="56">
      <c r="A56" s="5" t="n"/>
      <c r="B56" s="5" t="n"/>
      <c r="C56" s="5" t="n"/>
      <c r="D56" s="5" t="n"/>
      <c r="E56" s="5" t="n"/>
      <c r="F56" s="8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8" t="n"/>
      <c r="Q56" s="5" t="n"/>
    </row>
    <row r="57">
      <c r="A57" s="5" t="n"/>
      <c r="B57" s="5" t="n"/>
      <c r="C57" s="5" t="n"/>
      <c r="D57" s="5" t="n"/>
      <c r="E57" s="5" t="n"/>
      <c r="F57" s="8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8" t="n"/>
      <c r="Q57" s="5" t="n"/>
    </row>
    <row r="58">
      <c r="A58" s="5" t="n"/>
      <c r="B58" s="5" t="n"/>
      <c r="C58" s="5" t="n"/>
      <c r="D58" s="5" t="n"/>
      <c r="E58" s="5" t="n"/>
      <c r="F58" s="8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8" t="n"/>
      <c r="Q58" s="5" t="n"/>
    </row>
    <row r="59">
      <c r="A59" s="5" t="n"/>
      <c r="B59" s="5" t="n"/>
      <c r="C59" s="5" t="n"/>
      <c r="D59" s="5" t="n"/>
      <c r="E59" s="5" t="n"/>
      <c r="F59" s="8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8" t="n"/>
      <c r="Q59" s="5" t="n"/>
    </row>
    <row r="60">
      <c r="A60" s="5" t="n"/>
      <c r="B60" s="5" t="n"/>
      <c r="C60" s="5" t="n"/>
      <c r="D60" s="5" t="n"/>
      <c r="E60" s="5" t="n"/>
      <c r="F60" s="8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8" t="n"/>
      <c r="Q60" s="5" t="n"/>
    </row>
    <row r="61">
      <c r="A61" s="5" t="n"/>
      <c r="B61" s="5" t="n"/>
      <c r="C61" s="5" t="n"/>
      <c r="D61" s="5" t="n"/>
      <c r="E61" s="5" t="n"/>
      <c r="F61" s="8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8" t="n"/>
      <c r="Q61" s="5" t="n"/>
    </row>
    <row r="62">
      <c r="A62" s="5" t="n"/>
      <c r="B62" s="5" t="n"/>
      <c r="C62" s="5" t="n"/>
      <c r="D62" s="5" t="n"/>
      <c r="E62" s="5" t="n"/>
      <c r="F62" s="8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8" t="n"/>
      <c r="Q62" s="5" t="n"/>
    </row>
    <row r="63">
      <c r="A63" s="5" t="n"/>
      <c r="B63" s="5" t="n"/>
      <c r="C63" s="5" t="n"/>
      <c r="D63" s="5" t="n"/>
      <c r="E63" s="5" t="n"/>
      <c r="F63" s="8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8" t="n"/>
      <c r="Q63" s="5" t="n"/>
    </row>
    <row r="64">
      <c r="A64" s="5" t="n"/>
      <c r="B64" s="5" t="n"/>
      <c r="C64" s="5" t="n"/>
      <c r="D64" s="5" t="n"/>
      <c r="E64" s="5" t="n"/>
      <c r="F64" s="8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8" t="n"/>
      <c r="Q64" s="5" t="n"/>
    </row>
    <row r="65">
      <c r="A65" s="5" t="n"/>
      <c r="B65" s="5" t="n"/>
      <c r="C65" s="5" t="n"/>
      <c r="D65" s="5" t="n"/>
      <c r="E65" s="5" t="n"/>
      <c r="F65" s="8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8" t="n"/>
      <c r="Q65" s="5" t="n"/>
    </row>
    <row r="66">
      <c r="A66" s="5" t="n"/>
      <c r="B66" s="5" t="n"/>
      <c r="C66" s="5" t="n"/>
      <c r="D66" s="5" t="n"/>
      <c r="E66" s="5" t="n"/>
      <c r="F66" s="8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8" t="n"/>
      <c r="Q66" s="5" t="n"/>
    </row>
    <row r="67">
      <c r="A67" s="5" t="n"/>
      <c r="B67" s="5" t="n"/>
      <c r="C67" s="5" t="n"/>
      <c r="D67" s="5" t="n"/>
      <c r="E67" s="5" t="n"/>
      <c r="F67" s="8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8" t="n"/>
      <c r="Q67" s="5" t="n"/>
    </row>
    <row r="68">
      <c r="A68" s="5" t="n"/>
      <c r="B68" s="5" t="n"/>
      <c r="C68" s="5" t="n"/>
      <c r="D68" s="5" t="n"/>
      <c r="E68" s="5" t="n"/>
      <c r="F68" s="8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8" t="n"/>
      <c r="Q68" s="5" t="n"/>
    </row>
    <row r="69">
      <c r="A69" s="5" t="n"/>
      <c r="B69" s="5" t="n"/>
      <c r="C69" s="5" t="n"/>
      <c r="D69" s="5" t="n"/>
      <c r="E69" s="5" t="n"/>
      <c r="F69" s="8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8" t="n"/>
      <c r="Q69" s="5" t="n"/>
    </row>
    <row r="70">
      <c r="A70" s="5" t="n"/>
      <c r="B70" s="5" t="n"/>
      <c r="C70" s="5" t="n"/>
      <c r="D70" s="5" t="n"/>
      <c r="E70" s="5" t="n"/>
      <c r="F70" s="8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8" t="n"/>
      <c r="Q70" s="5" t="n"/>
    </row>
    <row r="71">
      <c r="A71" s="5" t="n"/>
      <c r="B71" s="5" t="n"/>
      <c r="C71" s="5" t="n"/>
      <c r="D71" s="5" t="n"/>
      <c r="E71" s="5" t="n"/>
      <c r="F71" s="8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8" t="n"/>
      <c r="Q71" s="5" t="n"/>
    </row>
    <row r="72">
      <c r="A72" s="5" t="n"/>
      <c r="B72" s="5" t="n"/>
      <c r="C72" s="5" t="n"/>
      <c r="D72" s="5" t="n"/>
      <c r="E72" s="5" t="n"/>
      <c r="F72" s="8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8" t="n"/>
      <c r="Q72" s="5" t="n"/>
    </row>
    <row r="73">
      <c r="A73" s="5" t="n"/>
      <c r="B73" s="5" t="n"/>
      <c r="C73" s="5" t="n"/>
      <c r="D73" s="5" t="n"/>
      <c r="E73" s="5" t="n"/>
      <c r="F73" s="8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8" t="n"/>
      <c r="Q73" s="5" t="n"/>
    </row>
    <row r="74">
      <c r="A74" s="5" t="n"/>
      <c r="B74" s="5" t="n"/>
      <c r="C74" s="5" t="n"/>
      <c r="D74" s="5" t="n"/>
      <c r="E74" s="5" t="n"/>
      <c r="F74" s="8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8" t="n"/>
      <c r="Q74" s="5" t="n"/>
    </row>
    <row r="75">
      <c r="A75" s="5" t="n"/>
      <c r="B75" s="5" t="n"/>
      <c r="C75" s="5" t="n"/>
      <c r="D75" s="5" t="n"/>
      <c r="E75" s="5" t="n"/>
      <c r="F75" s="8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8" t="n"/>
      <c r="Q75" s="5" t="n"/>
    </row>
    <row r="76">
      <c r="A76" s="5" t="n"/>
      <c r="B76" s="5" t="n"/>
      <c r="C76" s="5" t="n"/>
      <c r="D76" s="5" t="n"/>
      <c r="E76" s="5" t="n"/>
      <c r="F76" s="8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8" t="n"/>
      <c r="Q76" s="5" t="n"/>
    </row>
    <row r="77">
      <c r="A77" s="5" t="n"/>
      <c r="B77" s="5" t="n"/>
      <c r="C77" s="5" t="n"/>
      <c r="D77" s="5" t="n"/>
      <c r="E77" s="5" t="n"/>
      <c r="F77" s="8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8" t="n"/>
      <c r="Q77" s="5" t="n"/>
    </row>
    <row r="78">
      <c r="A78" s="5" t="n"/>
      <c r="B78" s="5" t="n"/>
      <c r="C78" s="5" t="n"/>
      <c r="D78" s="5" t="n"/>
      <c r="E78" s="5" t="n"/>
      <c r="F78" s="8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8" t="n"/>
      <c r="Q78" s="5" t="n"/>
    </row>
    <row r="79">
      <c r="A79" s="5" t="n"/>
      <c r="B79" s="5" t="n"/>
      <c r="C79" s="5" t="n"/>
      <c r="D79" s="5" t="n"/>
      <c r="E79" s="5" t="n"/>
      <c r="F79" s="8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8" t="n"/>
      <c r="Q79" s="5" t="n"/>
    </row>
    <row r="80">
      <c r="A80" s="5" t="n"/>
      <c r="B80" s="5" t="n"/>
      <c r="C80" s="5" t="n"/>
      <c r="D80" s="5" t="n"/>
      <c r="E80" s="5" t="n"/>
      <c r="F80" s="8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8" t="n"/>
      <c r="Q80" s="5" t="n"/>
    </row>
    <row r="81">
      <c r="A81" s="5" t="n"/>
      <c r="B81" s="5" t="n"/>
      <c r="C81" s="5" t="n"/>
      <c r="D81" s="5" t="n"/>
      <c r="E81" s="5" t="n"/>
      <c r="F81" s="8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8" t="n"/>
      <c r="Q81" s="5" t="n"/>
    </row>
    <row r="82">
      <c r="A82" s="5" t="n"/>
      <c r="B82" s="5" t="n"/>
      <c r="C82" s="5" t="n"/>
      <c r="D82" s="5" t="n"/>
      <c r="E82" s="5" t="n"/>
      <c r="F82" s="8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8" t="n"/>
      <c r="Q82" s="5" t="n"/>
    </row>
    <row r="83">
      <c r="A83" s="5" t="n"/>
      <c r="B83" s="5" t="n"/>
      <c r="C83" s="5" t="n"/>
      <c r="D83" s="5" t="n"/>
      <c r="E83" s="5" t="n"/>
      <c r="F83" s="8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8" t="n"/>
      <c r="Q83" s="5" t="n"/>
    </row>
    <row r="84">
      <c r="A84" s="5" t="n"/>
      <c r="B84" s="5" t="n"/>
      <c r="C84" s="5" t="n"/>
      <c r="D84" s="5" t="n"/>
      <c r="E84" s="5" t="n"/>
      <c r="F84" s="8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8" t="n"/>
      <c r="Q84" s="5" t="n"/>
    </row>
    <row r="85">
      <c r="A85" s="5" t="n"/>
      <c r="B85" s="5" t="n"/>
      <c r="C85" s="5" t="n"/>
      <c r="D85" s="5" t="n"/>
      <c r="E85" s="5" t="n"/>
      <c r="F85" s="8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8" t="n"/>
      <c r="Q85" s="5" t="n"/>
    </row>
    <row r="86">
      <c r="A86" s="5" t="n"/>
      <c r="B86" s="5" t="n"/>
      <c r="C86" s="5" t="n"/>
      <c r="D86" s="5" t="n"/>
      <c r="E86" s="5" t="n"/>
      <c r="F86" s="8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8" t="n"/>
      <c r="Q86" s="5" t="n"/>
    </row>
    <row r="87">
      <c r="A87" s="5" t="n"/>
      <c r="B87" s="5" t="n"/>
      <c r="C87" s="5" t="n"/>
      <c r="D87" s="5" t="n"/>
      <c r="E87" s="5" t="n"/>
      <c r="F87" s="8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8" t="n"/>
      <c r="Q87" s="5" t="n"/>
    </row>
    <row r="88">
      <c r="A88" s="5" t="n"/>
      <c r="B88" s="5" t="n"/>
      <c r="C88" s="5" t="n"/>
      <c r="D88" s="5" t="n"/>
      <c r="E88" s="5" t="n"/>
      <c r="F88" s="8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8" t="n"/>
      <c r="Q88" s="5" t="n"/>
    </row>
    <row r="89">
      <c r="A89" s="5" t="n"/>
      <c r="B89" s="5" t="n"/>
      <c r="C89" s="5" t="n"/>
      <c r="D89" s="5" t="n"/>
      <c r="E89" s="5" t="n"/>
      <c r="F89" s="8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8" t="n"/>
      <c r="Q89" s="5" t="n"/>
    </row>
    <row r="90">
      <c r="A90" s="5" t="n"/>
      <c r="B90" s="5" t="n"/>
      <c r="C90" s="5" t="n"/>
      <c r="D90" s="5" t="n"/>
      <c r="E90" s="5" t="n"/>
      <c r="F90" s="8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8" t="n"/>
      <c r="Q90" s="5" t="n"/>
    </row>
    <row r="91">
      <c r="A91" s="5" t="n"/>
      <c r="B91" s="5" t="n"/>
      <c r="C91" s="5" t="n"/>
      <c r="D91" s="5" t="n"/>
      <c r="E91" s="5" t="n"/>
      <c r="F91" s="8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8" t="n"/>
      <c r="Q91" s="5" t="n"/>
    </row>
    <row r="92">
      <c r="A92" s="5" t="n"/>
      <c r="B92" s="5" t="n"/>
      <c r="C92" s="5" t="n"/>
      <c r="D92" s="5" t="n"/>
      <c r="E92" s="5" t="n"/>
      <c r="F92" s="8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8" t="n"/>
      <c r="Q92" s="5" t="n"/>
    </row>
    <row r="93">
      <c r="A93" s="5" t="n"/>
      <c r="B93" s="5" t="n"/>
      <c r="C93" s="5" t="n"/>
      <c r="D93" s="5" t="n"/>
      <c r="E93" s="5" t="n"/>
      <c r="F93" s="8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8" t="n"/>
      <c r="Q93" s="5" t="n"/>
    </row>
    <row r="94">
      <c r="A94" s="5" t="n"/>
      <c r="B94" s="5" t="n"/>
      <c r="C94" s="5" t="n"/>
      <c r="D94" s="5" t="n"/>
      <c r="E94" s="5" t="n"/>
      <c r="F94" s="8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8" t="n"/>
      <c r="Q94" s="5" t="n"/>
    </row>
    <row r="95">
      <c r="A95" s="5" t="n"/>
      <c r="B95" s="5" t="n"/>
      <c r="C95" s="5" t="n"/>
      <c r="D95" s="5" t="n"/>
      <c r="E95" s="5" t="n"/>
      <c r="F95" s="8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8" t="n"/>
      <c r="Q95" s="5" t="n"/>
    </row>
    <row r="96">
      <c r="A96" s="5" t="n"/>
      <c r="B96" s="5" t="n"/>
      <c r="C96" s="5" t="n"/>
      <c r="D96" s="5" t="n"/>
      <c r="E96" s="5" t="n"/>
      <c r="F96" s="8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8" t="n"/>
      <c r="Q96" s="5" t="n"/>
    </row>
    <row r="97">
      <c r="A97" s="5" t="n"/>
      <c r="B97" s="5" t="n"/>
      <c r="C97" s="5" t="n"/>
      <c r="D97" s="5" t="n"/>
      <c r="E97" s="5" t="n"/>
      <c r="F97" s="8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8" t="n"/>
      <c r="Q97" s="5" t="n"/>
    </row>
    <row r="98">
      <c r="A98" s="5" t="n"/>
      <c r="B98" s="5" t="n"/>
      <c r="C98" s="5" t="n"/>
      <c r="D98" s="5" t="n"/>
      <c r="E98" s="5" t="n"/>
      <c r="F98" s="8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8" t="n"/>
      <c r="Q98" s="5" t="n"/>
    </row>
    <row r="99">
      <c r="A99" s="5" t="n"/>
      <c r="B99" s="5" t="n"/>
      <c r="C99" s="5" t="n"/>
      <c r="D99" s="5" t="n"/>
      <c r="E99" s="5" t="n"/>
      <c r="F99" s="8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8" t="n"/>
      <c r="Q99" s="5" t="n"/>
    </row>
    <row r="100">
      <c r="A100" s="5" t="n"/>
      <c r="B100" s="5" t="n"/>
      <c r="C100" s="5" t="n"/>
      <c r="D100" s="5" t="n"/>
      <c r="E100" s="5" t="n"/>
      <c r="F100" s="8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8" t="n"/>
      <c r="Q100" s="5" t="n"/>
    </row>
    <row r="101">
      <c r="A101" s="5" t="n"/>
      <c r="B101" s="5" t="n"/>
      <c r="C101" s="5" t="n"/>
      <c r="D101" s="5" t="n"/>
      <c r="E101" s="5" t="n"/>
      <c r="F101" s="8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8" t="n"/>
      <c r="Q101" s="5" t="n"/>
    </row>
    <row r="102">
      <c r="A102" s="5" t="n"/>
      <c r="B102" s="5" t="n"/>
      <c r="C102" s="5" t="n"/>
      <c r="D102" s="5" t="n"/>
      <c r="E102" s="5" t="n"/>
      <c r="F102" s="8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8" t="n"/>
      <c r="Q102" s="5" t="n"/>
    </row>
    <row r="103">
      <c r="A103" s="5" t="n"/>
      <c r="B103" s="5" t="n"/>
      <c r="C103" s="5" t="n"/>
      <c r="D103" s="5" t="n"/>
      <c r="E103" s="5" t="n"/>
      <c r="F103" s="8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8" t="n"/>
      <c r="Q103" s="5" t="n"/>
    </row>
    <row r="104">
      <c r="A104" s="5" t="n"/>
      <c r="B104" s="5" t="n"/>
      <c r="C104" s="5" t="n"/>
      <c r="D104" s="5" t="n"/>
      <c r="E104" s="5" t="n"/>
      <c r="F104" s="8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8" t="n"/>
      <c r="Q104" s="5" t="n"/>
    </row>
    <row r="105">
      <c r="A105" s="5" t="n"/>
      <c r="B105" s="5" t="n"/>
      <c r="C105" s="5" t="n"/>
      <c r="D105" s="5" t="n"/>
      <c r="E105" s="5" t="n"/>
      <c r="F105" s="8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8" t="n"/>
      <c r="Q105" s="5" t="n"/>
    </row>
    <row r="106">
      <c r="A106" s="5" t="n"/>
      <c r="B106" s="5" t="n"/>
      <c r="C106" s="5" t="n"/>
      <c r="D106" s="5" t="n"/>
      <c r="E106" s="5" t="n"/>
      <c r="F106" s="8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8" t="n"/>
      <c r="Q106" s="5" t="n"/>
    </row>
    <row r="107">
      <c r="A107" s="5" t="n"/>
      <c r="B107" s="5" t="n"/>
      <c r="C107" s="5" t="n"/>
      <c r="D107" s="5" t="n"/>
      <c r="E107" s="5" t="n"/>
      <c r="F107" s="8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8" t="n"/>
      <c r="Q107" s="5" t="n"/>
    </row>
    <row r="108">
      <c r="A108" s="5" t="n"/>
      <c r="B108" s="5" t="n"/>
      <c r="C108" s="5" t="n"/>
      <c r="D108" s="5" t="n"/>
      <c r="E108" s="5" t="n"/>
      <c r="F108" s="8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8" t="n"/>
      <c r="Q108" s="5" t="n"/>
    </row>
    <row r="109">
      <c r="A109" s="5" t="n"/>
      <c r="B109" s="5" t="n"/>
      <c r="C109" s="5" t="n"/>
      <c r="D109" s="5" t="n"/>
      <c r="E109" s="5" t="n"/>
      <c r="F109" s="8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8" t="n"/>
      <c r="Q109" s="5" t="n"/>
    </row>
    <row r="110">
      <c r="A110" s="5" t="n"/>
      <c r="B110" s="5" t="n"/>
      <c r="C110" s="5" t="n"/>
      <c r="D110" s="5" t="n"/>
      <c r="E110" s="5" t="n"/>
      <c r="F110" s="8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8" t="n"/>
      <c r="Q110" s="5" t="n"/>
    </row>
    <row r="111">
      <c r="A111" s="5" t="n"/>
      <c r="B111" s="5" t="n"/>
      <c r="C111" s="5" t="n"/>
      <c r="D111" s="5" t="n"/>
      <c r="E111" s="5" t="n"/>
      <c r="F111" s="8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8" t="n"/>
      <c r="Q111" s="5" t="n"/>
    </row>
    <row r="112">
      <c r="A112" s="5" t="n"/>
      <c r="B112" s="5" t="n"/>
      <c r="C112" s="5" t="n"/>
      <c r="D112" s="5" t="n"/>
      <c r="E112" s="5" t="n"/>
      <c r="F112" s="8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8" t="n"/>
      <c r="Q112" s="5" t="n"/>
    </row>
    <row r="113">
      <c r="A113" s="5" t="n"/>
      <c r="B113" s="5" t="n"/>
      <c r="C113" s="5" t="n"/>
      <c r="D113" s="5" t="n"/>
      <c r="E113" s="5" t="n"/>
      <c r="F113" s="8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8" t="n"/>
      <c r="Q113" s="5" t="n"/>
    </row>
    <row r="114">
      <c r="A114" s="5" t="n"/>
      <c r="B114" s="5" t="n"/>
      <c r="C114" s="5" t="n"/>
      <c r="D114" s="5" t="n"/>
      <c r="E114" s="5" t="n"/>
      <c r="F114" s="8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8" t="n"/>
      <c r="Q114" s="5" t="n"/>
    </row>
    <row r="115">
      <c r="A115" s="5" t="n"/>
      <c r="B115" s="5" t="n"/>
      <c r="C115" s="5" t="n"/>
      <c r="D115" s="5" t="n"/>
      <c r="E115" s="5" t="n"/>
      <c r="F115" s="8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8" t="n"/>
      <c r="Q115" s="5" t="n"/>
    </row>
    <row r="116">
      <c r="A116" s="5" t="n"/>
      <c r="B116" s="5" t="n"/>
      <c r="C116" s="5" t="n"/>
      <c r="D116" s="5" t="n"/>
      <c r="E116" s="5" t="n"/>
      <c r="F116" s="8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8" t="n"/>
      <c r="Q116" s="5" t="n"/>
    </row>
    <row r="117">
      <c r="A117" s="5" t="n"/>
      <c r="B117" s="5" t="n"/>
      <c r="C117" s="5" t="n"/>
      <c r="D117" s="5" t="n"/>
      <c r="E117" s="5" t="n"/>
      <c r="F117" s="8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8" t="n"/>
      <c r="Q117" s="5" t="n"/>
    </row>
    <row r="118">
      <c r="A118" s="5" t="n"/>
      <c r="B118" s="5" t="n"/>
      <c r="C118" s="5" t="n"/>
      <c r="D118" s="5" t="n"/>
      <c r="E118" s="5" t="n"/>
      <c r="F118" s="8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8" t="n"/>
      <c r="Q118" s="5" t="n"/>
    </row>
    <row r="119">
      <c r="A119" s="5" t="n"/>
      <c r="B119" s="5" t="n"/>
      <c r="C119" s="5" t="n"/>
      <c r="D119" s="5" t="n"/>
      <c r="E119" s="5" t="n"/>
      <c r="F119" s="8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8" t="n"/>
      <c r="Q119" s="5" t="n"/>
    </row>
    <row r="120">
      <c r="A120" s="5" t="n"/>
      <c r="B120" s="5" t="n"/>
      <c r="C120" s="5" t="n"/>
      <c r="D120" s="5" t="n"/>
      <c r="E120" s="5" t="n"/>
      <c r="F120" s="8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8" t="n"/>
      <c r="Q120" s="5" t="n"/>
    </row>
    <row r="121">
      <c r="A121" s="5" t="n"/>
      <c r="B121" s="5" t="n"/>
      <c r="C121" s="5" t="n"/>
      <c r="D121" s="5" t="n"/>
      <c r="E121" s="5" t="n"/>
      <c r="F121" s="8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8" t="n"/>
      <c r="Q121" s="5" t="n"/>
    </row>
    <row r="122">
      <c r="A122" s="5" t="n"/>
      <c r="B122" s="5" t="n"/>
      <c r="C122" s="5" t="n"/>
      <c r="D122" s="5" t="n"/>
      <c r="E122" s="5" t="n"/>
      <c r="F122" s="8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8" t="n"/>
      <c r="Q122" s="5" t="n"/>
    </row>
    <row r="123">
      <c r="A123" s="5" t="n"/>
      <c r="B123" s="5" t="n"/>
      <c r="C123" s="5" t="n"/>
      <c r="D123" s="5" t="n"/>
      <c r="E123" s="5" t="n"/>
      <c r="F123" s="8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8" t="n"/>
      <c r="Q123" s="5" t="n"/>
    </row>
    <row r="124">
      <c r="A124" s="5" t="n"/>
      <c r="B124" s="5" t="n"/>
      <c r="C124" s="5" t="n"/>
      <c r="D124" s="5" t="n"/>
      <c r="E124" s="5" t="n"/>
      <c r="F124" s="8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8" t="n"/>
      <c r="Q124" s="5" t="n"/>
    </row>
    <row r="125">
      <c r="A125" s="5" t="n"/>
      <c r="B125" s="5" t="n"/>
      <c r="C125" s="5" t="n"/>
      <c r="D125" s="5" t="n"/>
      <c r="E125" s="5" t="n"/>
      <c r="F125" s="8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8" t="n"/>
      <c r="Q125" s="5" t="n"/>
    </row>
    <row r="126">
      <c r="A126" s="5" t="n"/>
      <c r="B126" s="5" t="n"/>
      <c r="C126" s="5" t="n"/>
      <c r="D126" s="5" t="n"/>
      <c r="E126" s="5" t="n"/>
      <c r="F126" s="8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8" t="n"/>
      <c r="Q126" s="5" t="n"/>
    </row>
    <row r="127">
      <c r="A127" s="5" t="n"/>
      <c r="B127" s="5" t="n"/>
      <c r="C127" s="5" t="n"/>
      <c r="D127" s="5" t="n"/>
      <c r="E127" s="5" t="n"/>
      <c r="F127" s="8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8" t="n"/>
      <c r="Q127" s="5" t="n"/>
    </row>
    <row r="128">
      <c r="A128" s="5" t="n"/>
      <c r="B128" s="5" t="n"/>
      <c r="C128" s="5" t="n"/>
      <c r="D128" s="5" t="n"/>
      <c r="E128" s="5" t="n"/>
      <c r="F128" s="8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8" t="n"/>
      <c r="Q128" s="5" t="n"/>
    </row>
    <row r="129">
      <c r="A129" s="5" t="n"/>
      <c r="B129" s="5" t="n"/>
      <c r="C129" s="5" t="n"/>
      <c r="D129" s="5" t="n"/>
      <c r="E129" s="5" t="n"/>
      <c r="F129" s="8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8" t="n"/>
      <c r="Q129" s="5" t="n"/>
    </row>
    <row r="130">
      <c r="A130" s="5" t="n"/>
      <c r="B130" s="5" t="n"/>
      <c r="C130" s="5" t="n"/>
      <c r="D130" s="5" t="n"/>
      <c r="E130" s="5" t="n"/>
      <c r="F130" s="8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8" t="n"/>
      <c r="Q130" s="5" t="n"/>
    </row>
    <row r="131">
      <c r="A131" s="5" t="n"/>
      <c r="B131" s="5" t="n"/>
      <c r="C131" s="5" t="n"/>
      <c r="D131" s="5" t="n"/>
      <c r="E131" s="5" t="n"/>
      <c r="F131" s="8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8" t="n"/>
      <c r="Q131" s="5" t="n"/>
    </row>
    <row r="132">
      <c r="A132" s="5" t="n"/>
      <c r="B132" s="5" t="n"/>
      <c r="C132" s="5" t="n"/>
      <c r="D132" s="5" t="n"/>
      <c r="E132" s="5" t="n"/>
      <c r="F132" s="8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8" t="n"/>
      <c r="Q132" s="5" t="n"/>
    </row>
    <row r="133">
      <c r="A133" s="5" t="n"/>
      <c r="B133" s="5" t="n"/>
      <c r="C133" s="5" t="n"/>
      <c r="D133" s="5" t="n"/>
      <c r="E133" s="5" t="n"/>
      <c r="F133" s="8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8" t="n"/>
      <c r="Q133" s="5" t="n"/>
    </row>
    <row r="134">
      <c r="A134" s="5" t="n"/>
      <c r="B134" s="5" t="n"/>
      <c r="C134" s="5" t="n"/>
      <c r="D134" s="5" t="n"/>
      <c r="E134" s="5" t="n"/>
      <c r="F134" s="8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8" t="n"/>
      <c r="Q134" s="5" t="n"/>
    </row>
    <row r="135">
      <c r="A135" s="5" t="n"/>
      <c r="B135" s="5" t="n"/>
      <c r="C135" s="5" t="n"/>
      <c r="D135" s="5" t="n"/>
      <c r="E135" s="5" t="n"/>
      <c r="F135" s="8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8" t="n"/>
      <c r="Q135" s="5" t="n"/>
    </row>
    <row r="136">
      <c r="A136" s="5" t="n"/>
      <c r="B136" s="5" t="n"/>
      <c r="C136" s="5" t="n"/>
      <c r="D136" s="5" t="n"/>
      <c r="E136" s="5" t="n"/>
      <c r="F136" s="8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8" t="n"/>
      <c r="Q136" s="5" t="n"/>
    </row>
    <row r="137">
      <c r="A137" s="5" t="n"/>
      <c r="B137" s="5" t="n"/>
      <c r="C137" s="5" t="n"/>
      <c r="D137" s="5" t="n"/>
      <c r="E137" s="5" t="n"/>
      <c r="F137" s="8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8" t="n"/>
      <c r="Q137" s="5" t="n"/>
    </row>
    <row r="138">
      <c r="A138" s="5" t="n"/>
      <c r="B138" s="5" t="n"/>
      <c r="C138" s="5" t="n"/>
      <c r="D138" s="5" t="n"/>
      <c r="E138" s="5" t="n"/>
      <c r="F138" s="8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8" t="n"/>
      <c r="Q138" s="5" t="n"/>
    </row>
    <row r="139">
      <c r="A139" s="5" t="n"/>
      <c r="B139" s="5" t="n"/>
      <c r="C139" s="5" t="n"/>
      <c r="D139" s="5" t="n"/>
      <c r="E139" s="5" t="n"/>
      <c r="F139" s="8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8" t="n"/>
      <c r="Q139" s="5" t="n"/>
    </row>
    <row r="140">
      <c r="A140" s="5" t="n"/>
      <c r="B140" s="5" t="n"/>
      <c r="C140" s="5" t="n"/>
      <c r="D140" s="5" t="n"/>
      <c r="E140" s="5" t="n"/>
      <c r="F140" s="8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8" t="n"/>
      <c r="Q140" s="5" t="n"/>
    </row>
    <row r="141">
      <c r="A141" s="5" t="n"/>
      <c r="B141" s="5" t="n"/>
      <c r="C141" s="5" t="n"/>
      <c r="D141" s="5" t="n"/>
      <c r="E141" s="5" t="n"/>
      <c r="F141" s="8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8" t="n"/>
      <c r="Q141" s="5" t="n"/>
    </row>
    <row r="142">
      <c r="A142" s="5" t="n"/>
      <c r="B142" s="5" t="n"/>
      <c r="C142" s="5" t="n"/>
      <c r="D142" s="5" t="n"/>
      <c r="E142" s="5" t="n"/>
      <c r="F142" s="8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8" t="n"/>
      <c r="Q142" s="5" t="n"/>
    </row>
    <row r="143">
      <c r="A143" s="5" t="n"/>
      <c r="B143" s="5" t="n"/>
      <c r="C143" s="5" t="n"/>
      <c r="D143" s="5" t="n"/>
      <c r="E143" s="5" t="n"/>
      <c r="F143" s="8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8" t="n"/>
      <c r="Q143" s="5" t="n"/>
    </row>
    <row r="144">
      <c r="A144" s="5" t="n"/>
      <c r="B144" s="5" t="n"/>
      <c r="C144" s="5" t="n"/>
      <c r="D144" s="5" t="n"/>
      <c r="E144" s="5" t="n"/>
      <c r="F144" s="8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8" t="n"/>
      <c r="Q144" s="5" t="n"/>
    </row>
    <row r="145">
      <c r="A145" s="5" t="n"/>
      <c r="B145" s="5" t="n"/>
      <c r="C145" s="5" t="n"/>
      <c r="D145" s="5" t="n"/>
      <c r="E145" s="5" t="n"/>
      <c r="F145" s="8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8" t="n"/>
      <c r="Q145" s="5" t="n"/>
    </row>
    <row r="146">
      <c r="A146" s="5" t="n"/>
      <c r="B146" s="5" t="n"/>
      <c r="C146" s="5" t="n"/>
      <c r="D146" s="5" t="n"/>
      <c r="E146" s="5" t="n"/>
      <c r="F146" s="8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8" t="n"/>
      <c r="Q146" s="5" t="n"/>
    </row>
    <row r="147">
      <c r="A147" s="5" t="n"/>
      <c r="B147" s="5" t="n"/>
      <c r="C147" s="5" t="n"/>
      <c r="D147" s="5" t="n"/>
      <c r="E147" s="5" t="n"/>
      <c r="F147" s="8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8" t="n"/>
      <c r="Q147" s="5" t="n"/>
    </row>
    <row r="148">
      <c r="A148" s="5" t="n"/>
      <c r="B148" s="5" t="n"/>
      <c r="C148" s="5" t="n"/>
      <c r="D148" s="5" t="n"/>
      <c r="E148" s="5" t="n"/>
      <c r="F148" s="8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8" t="n"/>
      <c r="Q148" s="5" t="n"/>
    </row>
    <row r="149">
      <c r="A149" s="5" t="n"/>
      <c r="B149" s="5" t="n"/>
      <c r="C149" s="5" t="n"/>
      <c r="D149" s="5" t="n"/>
      <c r="E149" s="5" t="n"/>
      <c r="F149" s="8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8" t="n"/>
      <c r="Q149" s="5" t="n"/>
    </row>
    <row r="150">
      <c r="A150" s="5" t="n"/>
      <c r="B150" s="5" t="n"/>
      <c r="C150" s="5" t="n"/>
      <c r="D150" s="5" t="n"/>
      <c r="E150" s="5" t="n"/>
      <c r="F150" s="8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8" t="n"/>
      <c r="Q150" s="5" t="n"/>
    </row>
    <row r="151">
      <c r="A151" s="5" t="n"/>
      <c r="B151" s="5" t="n"/>
      <c r="C151" s="5" t="n"/>
      <c r="D151" s="5" t="n"/>
      <c r="E151" s="5" t="n"/>
      <c r="F151" s="8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8" t="n"/>
      <c r="Q151" s="5" t="n"/>
    </row>
    <row r="152">
      <c r="A152" s="5" t="n"/>
      <c r="B152" s="5" t="n"/>
      <c r="C152" s="5" t="n"/>
      <c r="D152" s="5" t="n"/>
      <c r="E152" s="5" t="n"/>
      <c r="F152" s="8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8" t="n"/>
      <c r="Q152" s="5" t="n"/>
    </row>
    <row r="153">
      <c r="A153" s="5" t="n"/>
      <c r="B153" s="5" t="n"/>
      <c r="C153" s="5" t="n"/>
      <c r="D153" s="5" t="n"/>
      <c r="E153" s="5" t="n"/>
      <c r="F153" s="8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8" t="n"/>
      <c r="Q153" s="5" t="n"/>
    </row>
    <row r="154">
      <c r="A154" s="5" t="n"/>
      <c r="B154" s="5" t="n"/>
      <c r="C154" s="5" t="n"/>
      <c r="D154" s="5" t="n"/>
      <c r="E154" s="5" t="n"/>
      <c r="F154" s="8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8" t="n"/>
      <c r="Q154" s="5" t="n"/>
    </row>
    <row r="155">
      <c r="A155" s="5" t="n"/>
      <c r="B155" s="5" t="n"/>
      <c r="C155" s="5" t="n"/>
      <c r="D155" s="5" t="n"/>
      <c r="E155" s="5" t="n"/>
      <c r="F155" s="8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8" t="n"/>
      <c r="Q155" s="5" t="n"/>
    </row>
    <row r="156">
      <c r="A156" s="5" t="n"/>
      <c r="B156" s="5" t="n"/>
      <c r="C156" s="5" t="n"/>
      <c r="D156" s="5" t="n"/>
      <c r="E156" s="5" t="n"/>
      <c r="F156" s="8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8" t="n"/>
      <c r="Q156" s="5" t="n"/>
    </row>
    <row r="157">
      <c r="A157" s="5" t="n"/>
      <c r="B157" s="5" t="n"/>
      <c r="C157" s="5" t="n"/>
      <c r="D157" s="5" t="n"/>
      <c r="E157" s="5" t="n"/>
      <c r="F157" s="8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8" t="n"/>
      <c r="Q157" s="5" t="n"/>
    </row>
    <row r="158">
      <c r="A158" s="5" t="n"/>
      <c r="B158" s="5" t="n"/>
      <c r="C158" s="5" t="n"/>
      <c r="D158" s="5" t="n"/>
      <c r="E158" s="5" t="n"/>
      <c r="F158" s="8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8" t="n"/>
      <c r="Q158" s="5" t="n"/>
    </row>
    <row r="159">
      <c r="A159" s="5" t="n"/>
      <c r="B159" s="5" t="n"/>
      <c r="C159" s="5" t="n"/>
      <c r="D159" s="5" t="n"/>
      <c r="E159" s="5" t="n"/>
      <c r="F159" s="8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8" t="n"/>
      <c r="Q159" s="5" t="n"/>
    </row>
    <row r="160">
      <c r="A160" s="5" t="n"/>
      <c r="B160" s="5" t="n"/>
      <c r="C160" s="5" t="n"/>
      <c r="D160" s="5" t="n"/>
      <c r="E160" s="5" t="n"/>
      <c r="F160" s="8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8" t="n"/>
      <c r="Q160" s="5" t="n"/>
    </row>
    <row r="161">
      <c r="A161" s="5" t="n"/>
      <c r="B161" s="5" t="n"/>
      <c r="C161" s="5" t="n"/>
      <c r="D161" s="5" t="n"/>
      <c r="E161" s="5" t="n"/>
      <c r="F161" s="8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8" t="n"/>
      <c r="Q161" s="5" t="n"/>
    </row>
    <row r="162">
      <c r="A162" s="5" t="n"/>
      <c r="B162" s="5" t="n"/>
      <c r="C162" s="5" t="n"/>
      <c r="D162" s="5" t="n"/>
      <c r="E162" s="5" t="n"/>
      <c r="F162" s="8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8" t="n"/>
      <c r="Q162" s="5" t="n"/>
    </row>
    <row r="163">
      <c r="A163" s="5" t="n"/>
      <c r="B163" s="5" t="n"/>
      <c r="C163" s="5" t="n"/>
      <c r="D163" s="5" t="n"/>
      <c r="E163" s="5" t="n"/>
      <c r="F163" s="8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8" t="n"/>
      <c r="Q163" s="5" t="n"/>
    </row>
    <row r="164">
      <c r="A164" s="5" t="n"/>
      <c r="B164" s="5" t="n"/>
      <c r="C164" s="5" t="n"/>
      <c r="D164" s="5" t="n"/>
      <c r="E164" s="5" t="n"/>
      <c r="F164" s="8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8" t="n"/>
      <c r="Q164" s="5" t="n"/>
    </row>
    <row r="165">
      <c r="A165" s="5" t="n"/>
      <c r="B165" s="5" t="n"/>
      <c r="C165" s="5" t="n"/>
      <c r="D165" s="5" t="n"/>
      <c r="E165" s="5" t="n"/>
      <c r="F165" s="8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8" t="n"/>
      <c r="Q165" s="5" t="n"/>
    </row>
    <row r="166">
      <c r="A166" s="5" t="n"/>
      <c r="B166" s="5" t="n"/>
      <c r="C166" s="5" t="n"/>
      <c r="D166" s="5" t="n"/>
      <c r="E166" s="5" t="n"/>
      <c r="F166" s="8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8" t="n"/>
      <c r="Q166" s="5" t="n"/>
    </row>
    <row r="167">
      <c r="A167" s="5" t="n"/>
      <c r="B167" s="5" t="n"/>
      <c r="C167" s="5" t="n"/>
      <c r="D167" s="5" t="n"/>
      <c r="E167" s="5" t="n"/>
      <c r="F167" s="8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8" t="n"/>
      <c r="Q167" s="5" t="n"/>
    </row>
    <row r="168">
      <c r="A168" s="5" t="n"/>
      <c r="B168" s="5" t="n"/>
      <c r="C168" s="5" t="n"/>
      <c r="D168" s="5" t="n"/>
      <c r="E168" s="5" t="n"/>
      <c r="F168" s="8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8" t="n"/>
      <c r="Q168" s="5" t="n"/>
    </row>
    <row r="169">
      <c r="A169" s="5" t="n"/>
      <c r="B169" s="5" t="n"/>
      <c r="C169" s="5" t="n"/>
      <c r="D169" s="5" t="n"/>
      <c r="E169" s="5" t="n"/>
      <c r="F169" s="8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8" t="n"/>
      <c r="Q169" s="5" t="n"/>
    </row>
    <row r="170">
      <c r="A170" s="5" t="n"/>
      <c r="B170" s="5" t="n"/>
      <c r="C170" s="5" t="n"/>
      <c r="D170" s="5" t="n"/>
      <c r="E170" s="5" t="n"/>
      <c r="F170" s="8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8" t="n"/>
      <c r="Q170" s="5" t="n"/>
    </row>
    <row r="171">
      <c r="A171" s="5" t="n"/>
      <c r="B171" s="5" t="n"/>
      <c r="C171" s="5" t="n"/>
      <c r="D171" s="5" t="n"/>
      <c r="E171" s="5" t="n"/>
      <c r="F171" s="8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8" t="n"/>
      <c r="Q171" s="5" t="n"/>
    </row>
    <row r="172">
      <c r="A172" s="5" t="n"/>
      <c r="B172" s="5" t="n"/>
      <c r="C172" s="5" t="n"/>
      <c r="D172" s="5" t="n"/>
      <c r="E172" s="5" t="n"/>
      <c r="F172" s="8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8" t="n"/>
      <c r="Q172" s="5" t="n"/>
    </row>
    <row r="173">
      <c r="A173" s="5" t="n"/>
      <c r="B173" s="5" t="n"/>
      <c r="C173" s="5" t="n"/>
      <c r="D173" s="5" t="n"/>
      <c r="E173" s="5" t="n"/>
      <c r="F173" s="8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8" t="n"/>
      <c r="Q173" s="5" t="n"/>
    </row>
    <row r="174">
      <c r="A174" s="5" t="n"/>
      <c r="B174" s="5" t="n"/>
      <c r="C174" s="5" t="n"/>
      <c r="D174" s="5" t="n"/>
      <c r="E174" s="5" t="n"/>
      <c r="F174" s="8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8" t="n"/>
      <c r="Q174" s="5" t="n"/>
    </row>
    <row r="175">
      <c r="A175" s="5" t="n"/>
      <c r="B175" s="5" t="n"/>
      <c r="C175" s="5" t="n"/>
      <c r="D175" s="5" t="n"/>
      <c r="E175" s="5" t="n"/>
      <c r="F175" s="8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8" t="n"/>
      <c r="Q175" s="5" t="n"/>
    </row>
    <row r="176">
      <c r="A176" s="5" t="n"/>
      <c r="B176" s="5" t="n"/>
      <c r="C176" s="5" t="n"/>
      <c r="D176" s="5" t="n"/>
      <c r="E176" s="5" t="n"/>
      <c r="F176" s="8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8" t="n"/>
      <c r="Q176" s="5" t="n"/>
    </row>
    <row r="177">
      <c r="A177" s="5" t="n"/>
      <c r="B177" s="5" t="n"/>
      <c r="C177" s="5" t="n"/>
      <c r="D177" s="5" t="n"/>
      <c r="E177" s="5" t="n"/>
      <c r="F177" s="8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8" t="n"/>
      <c r="Q177" s="5" t="n"/>
    </row>
    <row r="178">
      <c r="A178" s="5" t="n"/>
      <c r="B178" s="5" t="n"/>
      <c r="C178" s="5" t="n"/>
      <c r="D178" s="5" t="n"/>
      <c r="E178" s="5" t="n"/>
      <c r="F178" s="8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8" t="n"/>
      <c r="Q178" s="5" t="n"/>
    </row>
    <row r="179">
      <c r="A179" s="5" t="n"/>
      <c r="B179" s="5" t="n"/>
      <c r="C179" s="5" t="n"/>
      <c r="D179" s="5" t="n"/>
      <c r="E179" s="5" t="n"/>
      <c r="F179" s="8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8" t="n"/>
      <c r="Q179" s="5" t="n"/>
    </row>
    <row r="180">
      <c r="A180" s="5" t="n"/>
      <c r="B180" s="5" t="n"/>
      <c r="C180" s="5" t="n"/>
      <c r="D180" s="5" t="n"/>
      <c r="E180" s="5" t="n"/>
      <c r="F180" s="8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8" t="n"/>
      <c r="Q180" s="5" t="n"/>
    </row>
    <row r="181">
      <c r="A181" s="5" t="n"/>
      <c r="B181" s="5" t="n"/>
      <c r="C181" s="5" t="n"/>
      <c r="D181" s="5" t="n"/>
      <c r="E181" s="5" t="n"/>
      <c r="F181" s="8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8" t="n"/>
      <c r="Q181" s="5" t="n"/>
    </row>
    <row r="182">
      <c r="A182" s="5" t="n"/>
      <c r="B182" s="5" t="n"/>
      <c r="C182" s="5" t="n"/>
      <c r="D182" s="5" t="n"/>
      <c r="E182" s="5" t="n"/>
      <c r="F182" s="8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8" t="n"/>
      <c r="Q182" s="5" t="n"/>
    </row>
    <row r="183">
      <c r="A183" s="5" t="n"/>
      <c r="B183" s="5" t="n"/>
      <c r="C183" s="5" t="n"/>
      <c r="D183" s="5" t="n"/>
      <c r="E183" s="5" t="n"/>
      <c r="F183" s="8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8" t="n"/>
      <c r="Q183" s="5" t="n"/>
    </row>
    <row r="184">
      <c r="A184" s="5" t="n"/>
      <c r="B184" s="5" t="n"/>
      <c r="C184" s="5" t="n"/>
      <c r="D184" s="5" t="n"/>
      <c r="E184" s="5" t="n"/>
      <c r="F184" s="8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8" t="n"/>
      <c r="Q184" s="5" t="n"/>
    </row>
    <row r="185">
      <c r="A185" s="5" t="n"/>
      <c r="B185" s="5" t="n"/>
      <c r="C185" s="5" t="n"/>
      <c r="D185" s="5" t="n"/>
      <c r="E185" s="5" t="n"/>
      <c r="F185" s="8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8" t="n"/>
      <c r="Q185" s="5" t="n"/>
    </row>
    <row r="186">
      <c r="A186" s="5" t="n"/>
      <c r="B186" s="5" t="n"/>
      <c r="C186" s="5" t="n"/>
      <c r="D186" s="5" t="n"/>
      <c r="E186" s="5" t="n"/>
      <c r="F186" s="8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8" t="n"/>
      <c r="Q186" s="5" t="n"/>
    </row>
    <row r="187">
      <c r="A187" s="5" t="n"/>
      <c r="B187" s="5" t="n"/>
      <c r="C187" s="5" t="n"/>
      <c r="D187" s="5" t="n"/>
      <c r="E187" s="5" t="n"/>
      <c r="F187" s="8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8" t="n"/>
      <c r="Q187" s="5" t="n"/>
    </row>
    <row r="188">
      <c r="A188" s="5" t="n"/>
      <c r="B188" s="5" t="n"/>
      <c r="C188" s="5" t="n"/>
      <c r="D188" s="5" t="n"/>
      <c r="E188" s="5" t="n"/>
      <c r="F188" s="8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8" t="n"/>
      <c r="Q188" s="5" t="n"/>
    </row>
    <row r="189">
      <c r="A189" s="5" t="n"/>
      <c r="B189" s="5" t="n"/>
      <c r="C189" s="5" t="n"/>
      <c r="D189" s="5" t="n"/>
      <c r="E189" s="5" t="n"/>
      <c r="F189" s="8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8" t="n"/>
      <c r="Q189" s="5" t="n"/>
    </row>
    <row r="190">
      <c r="A190" s="5" t="n"/>
      <c r="B190" s="5" t="n"/>
      <c r="C190" s="5" t="n"/>
      <c r="D190" s="5" t="n"/>
      <c r="E190" s="5" t="n"/>
      <c r="F190" s="8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8" t="n"/>
      <c r="Q190" s="5" t="n"/>
    </row>
    <row r="191">
      <c r="A191" s="5" t="n"/>
      <c r="B191" s="5" t="n"/>
      <c r="C191" s="5" t="n"/>
      <c r="D191" s="5" t="n"/>
      <c r="E191" s="5" t="n"/>
      <c r="F191" s="8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8" t="n"/>
      <c r="Q191" s="5" t="n"/>
    </row>
    <row r="192">
      <c r="A192" s="5" t="n"/>
      <c r="B192" s="5" t="n"/>
      <c r="C192" s="5" t="n"/>
      <c r="D192" s="5" t="n"/>
      <c r="E192" s="5" t="n"/>
      <c r="F192" s="8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8" t="n"/>
      <c r="Q192" s="5" t="n"/>
    </row>
    <row r="193">
      <c r="A193" s="5" t="n"/>
      <c r="B193" s="5" t="n"/>
      <c r="C193" s="5" t="n"/>
      <c r="D193" s="5" t="n"/>
      <c r="E193" s="5" t="n"/>
      <c r="F193" s="8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8" t="n"/>
      <c r="Q193" s="5" t="n"/>
    </row>
    <row r="194">
      <c r="A194" s="5" t="n"/>
      <c r="B194" s="5" t="n"/>
      <c r="C194" s="5" t="n"/>
      <c r="D194" s="5" t="n"/>
      <c r="E194" s="5" t="n"/>
      <c r="F194" s="8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8" t="n"/>
      <c r="Q194" s="5" t="n"/>
    </row>
    <row r="195">
      <c r="A195" s="5" t="n"/>
      <c r="B195" s="5" t="n"/>
      <c r="C195" s="5" t="n"/>
      <c r="D195" s="5" t="n"/>
      <c r="E195" s="5" t="n"/>
      <c r="F195" s="8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8" t="n"/>
      <c r="Q195" s="5" t="n"/>
    </row>
    <row r="196">
      <c r="A196" s="5" t="n"/>
      <c r="B196" s="5" t="n"/>
      <c r="C196" s="5" t="n"/>
      <c r="D196" s="5" t="n"/>
      <c r="E196" s="5" t="n"/>
      <c r="F196" s="8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8" t="n"/>
      <c r="Q196" s="5" t="n"/>
    </row>
    <row r="197">
      <c r="A197" s="5" t="n"/>
      <c r="B197" s="5" t="n"/>
      <c r="C197" s="5" t="n"/>
      <c r="D197" s="5" t="n"/>
      <c r="E197" s="5" t="n"/>
      <c r="F197" s="8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8" t="n"/>
      <c r="Q197" s="5" t="n"/>
    </row>
    <row r="198">
      <c r="A198" s="5" t="n"/>
      <c r="B198" s="5" t="n"/>
      <c r="C198" s="5" t="n"/>
      <c r="D198" s="5" t="n"/>
      <c r="E198" s="5" t="n"/>
      <c r="F198" s="8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8" t="n"/>
      <c r="Q198" s="5" t="n"/>
    </row>
    <row r="199">
      <c r="A199" s="5" t="n"/>
      <c r="B199" s="5" t="n"/>
      <c r="C199" s="5" t="n"/>
      <c r="D199" s="5" t="n"/>
      <c r="E199" s="5" t="n"/>
      <c r="F199" s="8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8" t="n"/>
      <c r="Q199" s="5" t="n"/>
    </row>
    <row r="200">
      <c r="A200" s="5" t="n"/>
      <c r="B200" s="5" t="n"/>
      <c r="C200" s="5" t="n"/>
      <c r="D200" s="5" t="n"/>
      <c r="E200" s="5" t="n"/>
      <c r="F200" s="8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8" t="n"/>
      <c r="Q200" s="5" t="n"/>
    </row>
    <row r="201">
      <c r="A201" s="5" t="n"/>
      <c r="B201" s="5" t="n"/>
      <c r="C201" s="5" t="n"/>
      <c r="D201" s="5" t="n"/>
      <c r="E201" s="5" t="n"/>
      <c r="F201" s="8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8" t="n"/>
      <c r="Q201" s="5" t="n"/>
    </row>
    <row r="202">
      <c r="A202" s="5" t="n"/>
      <c r="B202" s="5" t="n"/>
      <c r="C202" s="5" t="n"/>
      <c r="D202" s="5" t="n"/>
      <c r="E202" s="5" t="n"/>
      <c r="F202" s="8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8" t="n"/>
      <c r="Q202" s="5" t="n"/>
    </row>
    <row r="203">
      <c r="A203" s="5" t="n"/>
      <c r="B203" s="5" t="n"/>
      <c r="C203" s="5" t="n"/>
      <c r="D203" s="5" t="n"/>
      <c r="E203" s="5" t="n"/>
      <c r="F203" s="8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8" t="n"/>
      <c r="Q203" s="5" t="n"/>
    </row>
    <row r="204">
      <c r="A204" s="5" t="n"/>
      <c r="B204" s="5" t="n"/>
      <c r="C204" s="5" t="n"/>
      <c r="D204" s="5" t="n"/>
      <c r="E204" s="5" t="n"/>
      <c r="F204" s="8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8" t="n"/>
      <c r="Q204" s="5" t="n"/>
    </row>
    <row r="205">
      <c r="A205" s="5" t="n"/>
      <c r="B205" s="5" t="n"/>
      <c r="C205" s="5" t="n"/>
      <c r="D205" s="5" t="n"/>
      <c r="E205" s="5" t="n"/>
      <c r="F205" s="8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8" t="n"/>
      <c r="Q205" s="5" t="n"/>
    </row>
    <row r="206">
      <c r="A206" s="5" t="n"/>
      <c r="B206" s="5" t="n"/>
      <c r="C206" s="5" t="n"/>
      <c r="D206" s="5" t="n"/>
      <c r="E206" s="5" t="n"/>
      <c r="F206" s="8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8" t="n"/>
      <c r="Q206" s="5" t="n"/>
    </row>
    <row r="207">
      <c r="A207" s="5" t="n"/>
      <c r="B207" s="5" t="n"/>
      <c r="C207" s="5" t="n"/>
      <c r="D207" s="5" t="n"/>
      <c r="E207" s="5" t="n"/>
      <c r="F207" s="8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8" t="n"/>
      <c r="Q207" s="5" t="n"/>
    </row>
    <row r="208">
      <c r="A208" s="5" t="n"/>
      <c r="B208" s="5" t="n"/>
      <c r="C208" s="5" t="n"/>
      <c r="D208" s="5" t="n"/>
      <c r="E208" s="5" t="n"/>
      <c r="F208" s="8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8" t="n"/>
      <c r="Q208" s="5" t="n"/>
    </row>
    <row r="209">
      <c r="A209" s="5" t="n"/>
      <c r="B209" s="5" t="n"/>
      <c r="C209" s="5" t="n"/>
      <c r="D209" s="5" t="n"/>
      <c r="E209" s="5" t="n"/>
      <c r="F209" s="8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8" t="n"/>
      <c r="Q209" s="5" t="n"/>
    </row>
    <row r="210">
      <c r="A210" s="5" t="n"/>
      <c r="B210" s="5" t="n"/>
      <c r="C210" s="5" t="n"/>
      <c r="D210" s="5" t="n"/>
      <c r="E210" s="5" t="n"/>
      <c r="F210" s="8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8" t="n"/>
      <c r="Q210" s="5" t="n"/>
    </row>
    <row r="211">
      <c r="A211" s="5" t="n"/>
      <c r="B211" s="5" t="n"/>
      <c r="C211" s="5" t="n"/>
      <c r="D211" s="5" t="n"/>
      <c r="E211" s="5" t="n"/>
      <c r="F211" s="8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8" t="n"/>
      <c r="Q211" s="5" t="n"/>
    </row>
    <row r="212">
      <c r="A212" s="5" t="n"/>
      <c r="B212" s="5" t="n"/>
      <c r="C212" s="5" t="n"/>
      <c r="D212" s="5" t="n"/>
      <c r="E212" s="5" t="n"/>
      <c r="F212" s="8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8" t="n"/>
      <c r="Q212" s="5" t="n"/>
    </row>
    <row r="213">
      <c r="A213" s="5" t="n"/>
      <c r="B213" s="5" t="n"/>
      <c r="C213" s="5" t="n"/>
      <c r="D213" s="5" t="n"/>
      <c r="E213" s="5" t="n"/>
      <c r="F213" s="8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8" t="n"/>
      <c r="Q213" s="5" t="n"/>
    </row>
    <row r="214">
      <c r="A214" s="5" t="n"/>
      <c r="B214" s="5" t="n"/>
      <c r="C214" s="5" t="n"/>
      <c r="D214" s="5" t="n"/>
      <c r="E214" s="5" t="n"/>
      <c r="F214" s="8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8" t="n"/>
      <c r="Q214" s="5" t="n"/>
    </row>
    <row r="215">
      <c r="A215" s="5" t="n"/>
      <c r="B215" s="5" t="n"/>
      <c r="C215" s="5" t="n"/>
      <c r="D215" s="5" t="n"/>
      <c r="E215" s="5" t="n"/>
      <c r="F215" s="8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8" t="n"/>
      <c r="Q215" s="5" t="n"/>
    </row>
    <row r="216">
      <c r="A216" s="5" t="n"/>
      <c r="B216" s="5" t="n"/>
      <c r="C216" s="5" t="n"/>
      <c r="D216" s="5" t="n"/>
      <c r="E216" s="5" t="n"/>
      <c r="F216" s="8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8" t="n"/>
      <c r="Q216" s="5" t="n"/>
    </row>
    <row r="217">
      <c r="A217" s="5" t="n"/>
      <c r="B217" s="5" t="n"/>
      <c r="C217" s="5" t="n"/>
      <c r="D217" s="5" t="n"/>
      <c r="E217" s="5" t="n"/>
      <c r="F217" s="8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8" t="n"/>
      <c r="Q217" s="5" t="n"/>
    </row>
    <row r="218">
      <c r="A218" s="5" t="n"/>
      <c r="B218" s="5" t="n"/>
      <c r="C218" s="5" t="n"/>
      <c r="D218" s="5" t="n"/>
      <c r="E218" s="5" t="n"/>
      <c r="F218" s="8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8" t="n"/>
      <c r="Q218" s="5" t="n"/>
    </row>
    <row r="219">
      <c r="A219" s="5" t="n"/>
      <c r="B219" s="5" t="n"/>
      <c r="C219" s="5" t="n"/>
      <c r="D219" s="5" t="n"/>
      <c r="E219" s="5" t="n"/>
      <c r="F219" s="8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8" t="n"/>
      <c r="Q219" s="5" t="n"/>
    </row>
    <row r="220">
      <c r="A220" s="5" t="n"/>
      <c r="B220" s="5" t="n"/>
      <c r="C220" s="5" t="n"/>
      <c r="D220" s="5" t="n"/>
      <c r="E220" s="5" t="n"/>
      <c r="F220" s="8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8" t="n"/>
      <c r="Q220" s="5" t="n"/>
    </row>
    <row r="221">
      <c r="A221" s="5" t="n"/>
      <c r="B221" s="5" t="n"/>
      <c r="C221" s="5" t="n"/>
      <c r="D221" s="5" t="n"/>
      <c r="E221" s="5" t="n"/>
      <c r="F221" s="8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8" t="n"/>
      <c r="Q221" s="5" t="n"/>
    </row>
    <row r="222">
      <c r="A222" s="5" t="n"/>
      <c r="B222" s="5" t="n"/>
      <c r="C222" s="5" t="n"/>
      <c r="D222" s="5" t="n"/>
      <c r="E222" s="5" t="n"/>
      <c r="F222" s="8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8" t="n"/>
      <c r="Q222" s="5" t="n"/>
    </row>
    <row r="223">
      <c r="A223" s="5" t="n"/>
      <c r="B223" s="5" t="n"/>
      <c r="C223" s="5" t="n"/>
      <c r="D223" s="5" t="n"/>
      <c r="E223" s="5" t="n"/>
      <c r="F223" s="8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8" t="n"/>
      <c r="Q223" s="5" t="n"/>
    </row>
    <row r="224">
      <c r="A224" s="5" t="n"/>
      <c r="B224" s="5" t="n"/>
      <c r="C224" s="5" t="n"/>
      <c r="D224" s="5" t="n"/>
      <c r="E224" s="5" t="n"/>
      <c r="F224" s="8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8" t="n"/>
      <c r="Q224" s="5" t="n"/>
    </row>
    <row r="225">
      <c r="A225" s="5" t="n"/>
      <c r="B225" s="5" t="n"/>
      <c r="C225" s="5" t="n"/>
      <c r="D225" s="5" t="n"/>
      <c r="E225" s="5" t="n"/>
      <c r="F225" s="8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8" t="n"/>
      <c r="Q225" s="5" t="n"/>
    </row>
    <row r="226">
      <c r="A226" s="5" t="n"/>
      <c r="B226" s="5" t="n"/>
      <c r="C226" s="5" t="n"/>
      <c r="D226" s="5" t="n"/>
      <c r="E226" s="5" t="n"/>
      <c r="F226" s="8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8" t="n"/>
      <c r="Q226" s="5" t="n"/>
    </row>
    <row r="227">
      <c r="A227" s="5" t="n"/>
      <c r="B227" s="5" t="n"/>
      <c r="C227" s="5" t="n"/>
      <c r="D227" s="5" t="n"/>
      <c r="E227" s="5" t="n"/>
      <c r="F227" s="8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8" t="n"/>
      <c r="Q227" s="5" t="n"/>
    </row>
    <row r="228">
      <c r="A228" s="5" t="n"/>
      <c r="B228" s="5" t="n"/>
      <c r="C228" s="5" t="n"/>
      <c r="D228" s="5" t="n"/>
      <c r="E228" s="5" t="n"/>
      <c r="F228" s="8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8" t="n"/>
      <c r="Q228" s="5" t="n"/>
    </row>
    <row r="229">
      <c r="A229" s="5" t="n"/>
      <c r="B229" s="5" t="n"/>
      <c r="C229" s="5" t="n"/>
      <c r="D229" s="5" t="n"/>
      <c r="E229" s="5" t="n"/>
      <c r="F229" s="8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8" t="n"/>
      <c r="Q229" s="5" t="n"/>
    </row>
    <row r="230">
      <c r="A230" s="5" t="n"/>
      <c r="B230" s="5" t="n"/>
      <c r="C230" s="5" t="n"/>
      <c r="D230" s="5" t="n"/>
      <c r="E230" s="5" t="n"/>
      <c r="F230" s="8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8" t="n"/>
      <c r="Q230" s="5" t="n"/>
    </row>
    <row r="231">
      <c r="A231" s="5" t="n"/>
      <c r="B231" s="5" t="n"/>
      <c r="C231" s="5" t="n"/>
      <c r="D231" s="5" t="n"/>
      <c r="E231" s="5" t="n"/>
      <c r="F231" s="8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8" t="n"/>
      <c r="Q231" s="5" t="n"/>
    </row>
    <row r="232">
      <c r="A232" s="5" t="n"/>
      <c r="B232" s="5" t="n"/>
      <c r="C232" s="5" t="n"/>
      <c r="D232" s="5" t="n"/>
      <c r="E232" s="5" t="n"/>
      <c r="F232" s="8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8" t="n"/>
      <c r="Q232" s="5" t="n"/>
    </row>
    <row r="233">
      <c r="A233" s="5" t="n"/>
      <c r="B233" s="5" t="n"/>
      <c r="C233" s="5" t="n"/>
      <c r="D233" s="5" t="n"/>
      <c r="E233" s="5" t="n"/>
      <c r="F233" s="8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8" t="n"/>
      <c r="Q233" s="5" t="n"/>
    </row>
    <row r="234">
      <c r="A234" s="5" t="n"/>
      <c r="B234" s="5" t="n"/>
      <c r="C234" s="5" t="n"/>
      <c r="D234" s="5" t="n"/>
      <c r="E234" s="5" t="n"/>
      <c r="F234" s="8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8" t="n"/>
      <c r="Q234" s="5" t="n"/>
    </row>
    <row r="235">
      <c r="A235" s="5" t="n"/>
      <c r="B235" s="5" t="n"/>
      <c r="C235" s="5" t="n"/>
      <c r="D235" s="5" t="n"/>
      <c r="E235" s="5" t="n"/>
      <c r="F235" s="8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8" t="n"/>
      <c r="Q235" s="5" t="n"/>
    </row>
    <row r="236">
      <c r="A236" s="5" t="n"/>
      <c r="B236" s="5" t="n"/>
      <c r="C236" s="5" t="n"/>
      <c r="D236" s="5" t="n"/>
      <c r="E236" s="5" t="n"/>
      <c r="F236" s="8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8" t="n"/>
      <c r="Q236" s="5" t="n"/>
    </row>
    <row r="237">
      <c r="A237" s="5" t="n"/>
      <c r="B237" s="5" t="n"/>
      <c r="C237" s="5" t="n"/>
      <c r="D237" s="5" t="n"/>
      <c r="E237" s="5" t="n"/>
      <c r="F237" s="8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8" t="n"/>
      <c r="Q237" s="5" t="n"/>
    </row>
    <row r="238">
      <c r="A238" s="5" t="n"/>
      <c r="B238" s="5" t="n"/>
      <c r="C238" s="5" t="n"/>
      <c r="D238" s="5" t="n"/>
      <c r="E238" s="5" t="n"/>
      <c r="F238" s="8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8" t="n"/>
      <c r="Q238" s="5" t="n"/>
    </row>
    <row r="239">
      <c r="A239" s="5" t="n"/>
      <c r="B239" s="5" t="n"/>
      <c r="C239" s="5" t="n"/>
      <c r="D239" s="5" t="n"/>
      <c r="E239" s="5" t="n"/>
      <c r="F239" s="8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8" t="n"/>
      <c r="Q239" s="5" t="n"/>
    </row>
    <row r="240">
      <c r="A240" s="5" t="n"/>
      <c r="B240" s="5" t="n"/>
      <c r="C240" s="5" t="n"/>
      <c r="D240" s="5" t="n"/>
      <c r="E240" s="5" t="n"/>
      <c r="F240" s="8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8" t="n"/>
      <c r="Q240" s="5" t="n"/>
    </row>
    <row r="241">
      <c r="A241" s="5" t="n"/>
      <c r="B241" s="5" t="n"/>
      <c r="C241" s="5" t="n"/>
      <c r="D241" s="5" t="n"/>
      <c r="E241" s="5" t="n"/>
      <c r="F241" s="8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8" t="n"/>
      <c r="Q241" s="5" t="n"/>
    </row>
    <row r="242">
      <c r="A242" s="5" t="n"/>
      <c r="B242" s="5" t="n"/>
      <c r="C242" s="5" t="n"/>
      <c r="D242" s="5" t="n"/>
      <c r="E242" s="5" t="n"/>
      <c r="F242" s="8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8" t="n"/>
      <c r="Q242" s="5" t="n"/>
    </row>
    <row r="243">
      <c r="A243" s="5" t="n"/>
      <c r="B243" s="5" t="n"/>
      <c r="C243" s="5" t="n"/>
      <c r="D243" s="5" t="n"/>
      <c r="E243" s="5" t="n"/>
      <c r="F243" s="8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8" t="n"/>
      <c r="Q243" s="5" t="n"/>
    </row>
    <row r="244">
      <c r="A244" s="5" t="n"/>
      <c r="B244" s="5" t="n"/>
      <c r="C244" s="5" t="n"/>
      <c r="D244" s="5" t="n"/>
      <c r="E244" s="5" t="n"/>
      <c r="F244" s="8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8" t="n"/>
      <c r="Q244" s="5" t="n"/>
    </row>
    <row r="245">
      <c r="A245" s="5" t="n"/>
      <c r="B245" s="5" t="n"/>
      <c r="C245" s="5" t="n"/>
      <c r="D245" s="5" t="n"/>
      <c r="E245" s="5" t="n"/>
      <c r="F245" s="8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8" t="n"/>
      <c r="Q245" s="5" t="n"/>
    </row>
    <row r="246">
      <c r="A246" s="5" t="n"/>
      <c r="B246" s="5" t="n"/>
      <c r="C246" s="5" t="n"/>
      <c r="D246" s="5" t="n"/>
      <c r="E246" s="5" t="n"/>
      <c r="F246" s="8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8" t="n"/>
      <c r="Q246" s="5" t="n"/>
    </row>
    <row r="247">
      <c r="A247" s="5" t="n"/>
      <c r="B247" s="5" t="n"/>
      <c r="C247" s="5" t="n"/>
      <c r="D247" s="5" t="n"/>
      <c r="E247" s="5" t="n"/>
      <c r="F247" s="8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8" t="n"/>
      <c r="Q247" s="5" t="n"/>
    </row>
    <row r="248">
      <c r="A248" s="5" t="n"/>
      <c r="B248" s="5" t="n"/>
      <c r="C248" s="5" t="n"/>
      <c r="D248" s="5" t="n"/>
      <c r="E248" s="5" t="n"/>
      <c r="F248" s="8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8" t="n"/>
      <c r="Q248" s="5" t="n"/>
    </row>
    <row r="249">
      <c r="A249" s="5" t="n"/>
      <c r="B249" s="5" t="n"/>
      <c r="C249" s="5" t="n"/>
      <c r="D249" s="5" t="n"/>
      <c r="E249" s="5" t="n"/>
      <c r="F249" s="8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8" t="n"/>
      <c r="Q249" s="5" t="n"/>
    </row>
    <row r="250">
      <c r="A250" s="5" t="n"/>
      <c r="B250" s="5" t="n"/>
      <c r="C250" s="5" t="n"/>
      <c r="D250" s="5" t="n"/>
      <c r="E250" s="5" t="n"/>
      <c r="F250" s="8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8" t="n"/>
      <c r="Q250" s="5" t="n"/>
    </row>
    <row r="251">
      <c r="A251" s="5" t="n"/>
      <c r="B251" s="5" t="n"/>
      <c r="C251" s="5" t="n"/>
      <c r="D251" s="5" t="n"/>
      <c r="E251" s="5" t="n"/>
      <c r="F251" s="8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8" t="n"/>
      <c r="Q251" s="5" t="n"/>
    </row>
    <row r="252">
      <c r="A252" s="5" t="n"/>
      <c r="B252" s="5" t="n"/>
      <c r="C252" s="5" t="n"/>
      <c r="D252" s="5" t="n"/>
      <c r="E252" s="5" t="n"/>
      <c r="F252" s="8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8" t="n"/>
      <c r="Q252" s="5" t="n"/>
    </row>
    <row r="253">
      <c r="A253" s="5" t="n"/>
      <c r="B253" s="5" t="n"/>
      <c r="C253" s="5" t="n"/>
      <c r="D253" s="5" t="n"/>
      <c r="E253" s="5" t="n"/>
      <c r="F253" s="8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8" t="n"/>
      <c r="Q253" s="5" t="n"/>
    </row>
    <row r="254">
      <c r="A254" s="5" t="n"/>
      <c r="B254" s="5" t="n"/>
      <c r="C254" s="5" t="n"/>
      <c r="D254" s="5" t="n"/>
      <c r="E254" s="5" t="n"/>
      <c r="F254" s="8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8" t="n"/>
      <c r="Q254" s="5" t="n"/>
    </row>
    <row r="255">
      <c r="A255" s="5" t="n"/>
      <c r="B255" s="5" t="n"/>
      <c r="C255" s="5" t="n"/>
      <c r="D255" s="5" t="n"/>
      <c r="E255" s="5" t="n"/>
      <c r="F255" s="8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8" t="n"/>
      <c r="Q255" s="5" t="n"/>
    </row>
    <row r="256">
      <c r="A256" s="5" t="n"/>
      <c r="B256" s="5" t="n"/>
      <c r="C256" s="5" t="n"/>
      <c r="D256" s="5" t="n"/>
      <c r="E256" s="5" t="n"/>
      <c r="F256" s="8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8" t="n"/>
      <c r="Q256" s="5" t="n"/>
    </row>
    <row r="257">
      <c r="A257" s="5" t="n"/>
      <c r="B257" s="5" t="n"/>
      <c r="C257" s="5" t="n"/>
      <c r="D257" s="5" t="n"/>
      <c r="E257" s="5" t="n"/>
      <c r="F257" s="8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8" t="n"/>
      <c r="Q257" s="5" t="n"/>
    </row>
    <row r="258">
      <c r="A258" s="5" t="n"/>
      <c r="B258" s="5" t="n"/>
      <c r="C258" s="5" t="n"/>
      <c r="D258" s="5" t="n"/>
      <c r="E258" s="5" t="n"/>
      <c r="F258" s="8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8" t="n"/>
      <c r="Q258" s="5" t="n"/>
    </row>
    <row r="259">
      <c r="A259" s="5" t="n"/>
      <c r="B259" s="5" t="n"/>
      <c r="C259" s="5" t="n"/>
      <c r="D259" s="5" t="n"/>
      <c r="E259" s="5" t="n"/>
      <c r="F259" s="8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8" t="n"/>
      <c r="Q259" s="5" t="n"/>
    </row>
    <row r="260">
      <c r="A260" s="5" t="n"/>
      <c r="B260" s="5" t="n"/>
      <c r="C260" s="5" t="n"/>
      <c r="D260" s="5" t="n"/>
      <c r="E260" s="5" t="n"/>
      <c r="F260" s="8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8" t="n"/>
      <c r="Q260" s="5" t="n"/>
    </row>
    <row r="261">
      <c r="A261" s="5" t="n"/>
      <c r="B261" s="5" t="n"/>
      <c r="C261" s="5" t="n"/>
      <c r="D261" s="5" t="n"/>
      <c r="E261" s="5" t="n"/>
      <c r="F261" s="8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8" t="n"/>
      <c r="Q261" s="5" t="n"/>
    </row>
    <row r="262">
      <c r="A262" s="5" t="n"/>
      <c r="B262" s="5" t="n"/>
      <c r="C262" s="5" t="n"/>
      <c r="D262" s="5" t="n"/>
      <c r="E262" s="5" t="n"/>
      <c r="F262" s="8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8" t="n"/>
      <c r="Q262" s="5" t="n"/>
    </row>
    <row r="263">
      <c r="A263" s="5" t="n"/>
      <c r="B263" s="5" t="n"/>
      <c r="C263" s="5" t="n"/>
      <c r="D263" s="5" t="n"/>
      <c r="E263" s="5" t="n"/>
      <c r="F263" s="8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8" t="n"/>
      <c r="Q263" s="5" t="n"/>
    </row>
    <row r="264">
      <c r="A264" s="5" t="n"/>
      <c r="B264" s="5" t="n"/>
      <c r="C264" s="5" t="n"/>
      <c r="D264" s="5" t="n"/>
      <c r="E264" s="5" t="n"/>
      <c r="F264" s="8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8" t="n"/>
      <c r="Q264" s="5" t="n"/>
    </row>
    <row r="265">
      <c r="A265" s="5" t="n"/>
      <c r="B265" s="5" t="n"/>
      <c r="C265" s="5" t="n"/>
      <c r="D265" s="5" t="n"/>
      <c r="E265" s="5" t="n"/>
      <c r="F265" s="8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8" t="n"/>
      <c r="Q265" s="5" t="n"/>
    </row>
    <row r="266">
      <c r="A266" s="5" t="n"/>
      <c r="B266" s="5" t="n"/>
      <c r="C266" s="5" t="n"/>
      <c r="D266" s="5" t="n"/>
      <c r="E266" s="5" t="n"/>
      <c r="F266" s="8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8" t="n"/>
      <c r="Q266" s="5" t="n"/>
    </row>
    <row r="267">
      <c r="A267" s="5" t="n"/>
      <c r="B267" s="5" t="n"/>
      <c r="C267" s="5" t="n"/>
      <c r="D267" s="5" t="n"/>
      <c r="E267" s="5" t="n"/>
      <c r="F267" s="8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8" t="n"/>
      <c r="Q267" s="5" t="n"/>
    </row>
    <row r="268">
      <c r="A268" s="5" t="n"/>
      <c r="B268" s="5" t="n"/>
      <c r="C268" s="5" t="n"/>
      <c r="D268" s="5" t="n"/>
      <c r="E268" s="5" t="n"/>
      <c r="F268" s="8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8" t="n"/>
      <c r="Q268" s="5" t="n"/>
    </row>
    <row r="269">
      <c r="A269" s="5" t="n"/>
      <c r="B269" s="5" t="n"/>
      <c r="C269" s="5" t="n"/>
      <c r="D269" s="5" t="n"/>
      <c r="E269" s="5" t="n"/>
      <c r="F269" s="8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8" t="n"/>
      <c r="Q269" s="5" t="n"/>
    </row>
    <row r="270">
      <c r="A270" s="5" t="n"/>
      <c r="B270" s="5" t="n"/>
      <c r="C270" s="5" t="n"/>
      <c r="D270" s="5" t="n"/>
      <c r="E270" s="5" t="n"/>
      <c r="F270" s="8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8" t="n"/>
      <c r="Q270" s="5" t="n"/>
    </row>
    <row r="271">
      <c r="A271" s="5" t="n"/>
      <c r="B271" s="5" t="n"/>
      <c r="C271" s="5" t="n"/>
      <c r="D271" s="5" t="n"/>
      <c r="E271" s="5" t="n"/>
      <c r="F271" s="8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8" t="n"/>
      <c r="Q271" s="5" t="n"/>
    </row>
    <row r="272">
      <c r="A272" s="5" t="n"/>
      <c r="B272" s="5" t="n"/>
      <c r="C272" s="5" t="n"/>
      <c r="D272" s="5" t="n"/>
      <c r="E272" s="5" t="n"/>
      <c r="F272" s="8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8" t="n"/>
      <c r="Q272" s="5" t="n"/>
    </row>
    <row r="273">
      <c r="A273" s="5" t="n"/>
      <c r="B273" s="5" t="n"/>
      <c r="C273" s="5" t="n"/>
      <c r="D273" s="5" t="n"/>
      <c r="E273" s="5" t="n"/>
      <c r="F273" s="8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8" t="n"/>
      <c r="Q273" s="5" t="n"/>
    </row>
    <row r="274">
      <c r="A274" s="5" t="n"/>
      <c r="B274" s="5" t="n"/>
      <c r="C274" s="5" t="n"/>
      <c r="D274" s="5" t="n"/>
      <c r="E274" s="5" t="n"/>
      <c r="F274" s="8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8" t="n"/>
      <c r="Q274" s="5" t="n"/>
    </row>
    <row r="275">
      <c r="A275" s="5" t="n"/>
      <c r="B275" s="5" t="n"/>
      <c r="C275" s="5" t="n"/>
      <c r="D275" s="5" t="n"/>
      <c r="E275" s="5" t="n"/>
      <c r="F275" s="8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8" t="n"/>
      <c r="Q275" s="5" t="n"/>
    </row>
    <row r="276">
      <c r="A276" s="5" t="n"/>
      <c r="B276" s="5" t="n"/>
      <c r="C276" s="5" t="n"/>
      <c r="D276" s="5" t="n"/>
      <c r="E276" s="5" t="n"/>
      <c r="F276" s="8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8" t="n"/>
      <c r="Q276" s="5" t="n"/>
    </row>
    <row r="277">
      <c r="A277" s="5" t="n"/>
      <c r="B277" s="5" t="n"/>
      <c r="C277" s="5" t="n"/>
      <c r="D277" s="5" t="n"/>
      <c r="E277" s="5" t="n"/>
      <c r="F277" s="8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8" t="n"/>
      <c r="Q277" s="5" t="n"/>
    </row>
    <row r="278">
      <c r="A278" s="5" t="n"/>
      <c r="B278" s="5" t="n"/>
      <c r="C278" s="5" t="n"/>
      <c r="D278" s="5" t="n"/>
      <c r="E278" s="5" t="n"/>
      <c r="F278" s="8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8" t="n"/>
      <c r="Q278" s="5" t="n"/>
    </row>
    <row r="279">
      <c r="A279" s="5" t="n"/>
      <c r="B279" s="5" t="n"/>
      <c r="C279" s="5" t="n"/>
      <c r="D279" s="5" t="n"/>
      <c r="E279" s="5" t="n"/>
      <c r="F279" s="8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8" t="n"/>
      <c r="Q279" s="5" t="n"/>
    </row>
    <row r="280">
      <c r="A280" s="5" t="n"/>
      <c r="B280" s="5" t="n"/>
      <c r="C280" s="5" t="n"/>
      <c r="D280" s="5" t="n"/>
      <c r="E280" s="5" t="n"/>
      <c r="F280" s="8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8" t="n"/>
      <c r="Q280" s="5" t="n"/>
    </row>
    <row r="281">
      <c r="A281" s="5" t="n"/>
      <c r="B281" s="5" t="n"/>
      <c r="C281" s="5" t="n"/>
      <c r="D281" s="5" t="n"/>
      <c r="E281" s="5" t="n"/>
      <c r="F281" s="8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8" t="n"/>
      <c r="Q281" s="5" t="n"/>
    </row>
    <row r="282">
      <c r="A282" s="5" t="n"/>
      <c r="B282" s="5" t="n"/>
      <c r="C282" s="5" t="n"/>
      <c r="D282" s="5" t="n"/>
      <c r="E282" s="5" t="n"/>
      <c r="F282" s="8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8" t="n"/>
      <c r="Q282" s="5" t="n"/>
    </row>
    <row r="283">
      <c r="A283" s="5" t="n"/>
      <c r="B283" s="5" t="n"/>
      <c r="C283" s="5" t="n"/>
      <c r="D283" s="5" t="n"/>
      <c r="E283" s="5" t="n"/>
      <c r="F283" s="8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8" t="n"/>
      <c r="Q283" s="5" t="n"/>
    </row>
    <row r="284">
      <c r="A284" s="5" t="n"/>
      <c r="B284" s="5" t="n"/>
      <c r="C284" s="5" t="n"/>
      <c r="D284" s="5" t="n"/>
      <c r="E284" s="5" t="n"/>
      <c r="F284" s="8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8" t="n"/>
      <c r="Q284" s="5" t="n"/>
    </row>
    <row r="285">
      <c r="A285" s="5" t="n"/>
      <c r="B285" s="5" t="n"/>
      <c r="C285" s="5" t="n"/>
      <c r="D285" s="5" t="n"/>
      <c r="E285" s="5" t="n"/>
      <c r="F285" s="8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8" t="n"/>
      <c r="Q285" s="5" t="n"/>
    </row>
    <row r="286">
      <c r="A286" s="5" t="n"/>
      <c r="B286" s="5" t="n"/>
      <c r="C286" s="5" t="n"/>
      <c r="D286" s="5" t="n"/>
      <c r="E286" s="5" t="n"/>
      <c r="F286" s="8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8" t="n"/>
      <c r="Q286" s="5" t="n"/>
    </row>
    <row r="287">
      <c r="A287" s="5" t="n"/>
      <c r="B287" s="5" t="n"/>
      <c r="C287" s="5" t="n"/>
      <c r="D287" s="5" t="n"/>
      <c r="E287" s="5" t="n"/>
      <c r="F287" s="8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8" t="n"/>
      <c r="Q287" s="5" t="n"/>
    </row>
    <row r="288">
      <c r="A288" s="5" t="n"/>
      <c r="B288" s="5" t="n"/>
      <c r="C288" s="5" t="n"/>
      <c r="D288" s="5" t="n"/>
      <c r="E288" s="5" t="n"/>
      <c r="F288" s="8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8" t="n"/>
      <c r="Q288" s="5" t="n"/>
    </row>
    <row r="289">
      <c r="A289" s="5" t="n"/>
      <c r="B289" s="5" t="n"/>
      <c r="C289" s="5" t="n"/>
      <c r="D289" s="5" t="n"/>
      <c r="E289" s="5" t="n"/>
      <c r="F289" s="8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8" t="n"/>
      <c r="Q289" s="5" t="n"/>
    </row>
    <row r="290">
      <c r="A290" s="5" t="n"/>
      <c r="B290" s="5" t="n"/>
      <c r="C290" s="5" t="n"/>
      <c r="D290" s="5" t="n"/>
      <c r="E290" s="5" t="n"/>
      <c r="F290" s="8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8" t="n"/>
      <c r="Q290" s="5" t="n"/>
    </row>
    <row r="291">
      <c r="A291" s="5" t="n"/>
      <c r="B291" s="5" t="n"/>
      <c r="C291" s="5" t="n"/>
      <c r="D291" s="5" t="n"/>
      <c r="E291" s="5" t="n"/>
      <c r="F291" s="8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8" t="n"/>
      <c r="Q291" s="5" t="n"/>
    </row>
    <row r="292">
      <c r="A292" s="5" t="n"/>
      <c r="B292" s="5" t="n"/>
      <c r="C292" s="5" t="n"/>
      <c r="D292" s="5" t="n"/>
      <c r="E292" s="5" t="n"/>
      <c r="F292" s="8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8" t="n"/>
      <c r="Q292" s="5" t="n"/>
    </row>
    <row r="293">
      <c r="A293" s="5" t="n"/>
      <c r="B293" s="5" t="n"/>
      <c r="C293" s="5" t="n"/>
      <c r="D293" s="5" t="n"/>
      <c r="E293" s="5" t="n"/>
      <c r="F293" s="8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8" t="n"/>
      <c r="Q293" s="5" t="n"/>
    </row>
    <row r="294">
      <c r="A294" s="5" t="n"/>
      <c r="B294" s="5" t="n"/>
      <c r="C294" s="5" t="n"/>
      <c r="D294" s="5" t="n"/>
      <c r="E294" s="5" t="n"/>
      <c r="F294" s="8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8" t="n"/>
      <c r="Q294" s="5" t="n"/>
    </row>
    <row r="295">
      <c r="A295" s="5" t="n"/>
      <c r="B295" s="5" t="n"/>
      <c r="C295" s="5" t="n"/>
      <c r="D295" s="5" t="n"/>
      <c r="E295" s="5" t="n"/>
      <c r="F295" s="8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8" t="n"/>
      <c r="Q295" s="5" t="n"/>
    </row>
    <row r="296">
      <c r="A296" s="5" t="n"/>
      <c r="B296" s="5" t="n"/>
      <c r="C296" s="5" t="n"/>
      <c r="D296" s="5" t="n"/>
      <c r="E296" s="5" t="n"/>
      <c r="F296" s="8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8" t="n"/>
      <c r="Q296" s="5" t="n"/>
    </row>
    <row r="297">
      <c r="A297" s="5" t="n"/>
      <c r="B297" s="5" t="n"/>
      <c r="C297" s="5" t="n"/>
      <c r="D297" s="5" t="n"/>
      <c r="E297" s="5" t="n"/>
      <c r="F297" s="8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8" t="n"/>
      <c r="Q297" s="5" t="n"/>
    </row>
    <row r="298">
      <c r="A298" s="5" t="n"/>
      <c r="B298" s="5" t="n"/>
      <c r="C298" s="5" t="n"/>
      <c r="D298" s="5" t="n"/>
      <c r="E298" s="5" t="n"/>
      <c r="F298" s="8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8" t="n"/>
      <c r="Q298" s="5" t="n"/>
    </row>
    <row r="299">
      <c r="A299" s="5" t="n"/>
      <c r="B299" s="5" t="n"/>
      <c r="C299" s="5" t="n"/>
      <c r="D299" s="5" t="n"/>
      <c r="E299" s="5" t="n"/>
      <c r="F299" s="8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8" t="n"/>
      <c r="Q299" s="5" t="n"/>
    </row>
    <row r="300">
      <c r="A300" s="5" t="n"/>
      <c r="B300" s="5" t="n"/>
      <c r="C300" s="5" t="n"/>
      <c r="D300" s="5" t="n"/>
      <c r="E300" s="5" t="n"/>
      <c r="F300" s="8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8" t="n"/>
      <c r="Q300" s="5" t="n"/>
    </row>
    <row r="301">
      <c r="A301" s="5" t="n"/>
      <c r="B301" s="5" t="n"/>
      <c r="C301" s="5" t="n"/>
      <c r="D301" s="5" t="n"/>
      <c r="E301" s="5" t="n"/>
      <c r="F301" s="8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8" t="n"/>
      <c r="Q301" s="5" t="n"/>
    </row>
    <row r="302">
      <c r="A302" s="5" t="n"/>
      <c r="B302" s="5" t="n"/>
      <c r="C302" s="5" t="n"/>
      <c r="D302" s="5" t="n"/>
      <c r="E302" s="5" t="n"/>
      <c r="F302" s="8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8" t="n"/>
      <c r="Q302" s="5" t="n"/>
    </row>
    <row r="303">
      <c r="A303" s="5" t="n"/>
      <c r="B303" s="5" t="n"/>
      <c r="C303" s="5" t="n"/>
      <c r="D303" s="5" t="n"/>
      <c r="E303" s="5" t="n"/>
      <c r="F303" s="8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8" t="n"/>
      <c r="Q303" s="5" t="n"/>
    </row>
    <row r="304">
      <c r="A304" s="5" t="n"/>
      <c r="B304" s="5" t="n"/>
      <c r="C304" s="5" t="n"/>
      <c r="D304" s="5" t="n"/>
      <c r="E304" s="5" t="n"/>
      <c r="F304" s="8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8" t="n"/>
      <c r="Q304" s="5" t="n"/>
    </row>
    <row r="305">
      <c r="A305" s="5" t="n"/>
      <c r="B305" s="5" t="n"/>
      <c r="C305" s="5" t="n"/>
      <c r="D305" s="5" t="n"/>
      <c r="E305" s="5" t="n"/>
      <c r="F305" s="8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8" t="n"/>
      <c r="Q305" s="5" t="n"/>
    </row>
    <row r="306">
      <c r="A306" s="5" t="n"/>
      <c r="B306" s="5" t="n"/>
      <c r="C306" s="5" t="n"/>
      <c r="D306" s="5" t="n"/>
      <c r="E306" s="5" t="n"/>
      <c r="F306" s="8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8" t="n"/>
      <c r="Q306" s="5" t="n"/>
    </row>
    <row r="307">
      <c r="A307" s="5" t="n"/>
      <c r="B307" s="5" t="n"/>
      <c r="C307" s="5" t="n"/>
      <c r="D307" s="5" t="n"/>
      <c r="E307" s="5" t="n"/>
      <c r="F307" s="8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8" t="n"/>
      <c r="Q307" s="5" t="n"/>
    </row>
    <row r="308">
      <c r="A308" s="5" t="n"/>
      <c r="B308" s="5" t="n"/>
      <c r="C308" s="5" t="n"/>
      <c r="D308" s="5" t="n"/>
      <c r="E308" s="5" t="n"/>
      <c r="F308" s="8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8" t="n"/>
      <c r="Q308" s="5" t="n"/>
    </row>
    <row r="309">
      <c r="A309" s="5" t="n"/>
      <c r="B309" s="5" t="n"/>
      <c r="C309" s="5" t="n"/>
      <c r="D309" s="5" t="n"/>
      <c r="E309" s="5" t="n"/>
      <c r="F309" s="8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8" t="n"/>
      <c r="Q309" s="5" t="n"/>
    </row>
    <row r="310">
      <c r="A310" s="5" t="n"/>
      <c r="B310" s="5" t="n"/>
      <c r="C310" s="5" t="n"/>
      <c r="D310" s="5" t="n"/>
      <c r="E310" s="5" t="n"/>
      <c r="F310" s="8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8" t="n"/>
      <c r="Q310" s="5" t="n"/>
    </row>
    <row r="311">
      <c r="A311" s="5" t="n"/>
      <c r="B311" s="5" t="n"/>
      <c r="C311" s="5" t="n"/>
      <c r="D311" s="5" t="n"/>
      <c r="E311" s="5" t="n"/>
      <c r="F311" s="8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8" t="n"/>
      <c r="Q311" s="5" t="n"/>
    </row>
    <row r="312">
      <c r="A312" s="5" t="n"/>
      <c r="B312" s="5" t="n"/>
      <c r="C312" s="5" t="n"/>
      <c r="D312" s="5" t="n"/>
      <c r="E312" s="5" t="n"/>
      <c r="F312" s="8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8" t="n"/>
      <c r="Q312" s="5" t="n"/>
    </row>
    <row r="313">
      <c r="A313" s="5" t="n"/>
      <c r="B313" s="5" t="n"/>
      <c r="C313" s="5" t="n"/>
      <c r="D313" s="5" t="n"/>
      <c r="E313" s="5" t="n"/>
      <c r="F313" s="8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8" t="n"/>
      <c r="Q313" s="5" t="n"/>
    </row>
    <row r="314">
      <c r="A314" s="5" t="n"/>
      <c r="B314" s="5" t="n"/>
      <c r="C314" s="5" t="n"/>
      <c r="D314" s="5" t="n"/>
      <c r="E314" s="5" t="n"/>
      <c r="F314" s="8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8" t="n"/>
      <c r="Q314" s="5" t="n"/>
    </row>
    <row r="315">
      <c r="A315" s="5" t="n"/>
      <c r="B315" s="5" t="n"/>
      <c r="C315" s="5" t="n"/>
      <c r="D315" s="5" t="n"/>
      <c r="E315" s="5" t="n"/>
      <c r="F315" s="8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8" t="n"/>
      <c r="Q315" s="5" t="n"/>
    </row>
    <row r="316">
      <c r="A316" s="5" t="n"/>
      <c r="B316" s="5" t="n"/>
      <c r="C316" s="5" t="n"/>
      <c r="D316" s="5" t="n"/>
      <c r="E316" s="5" t="n"/>
      <c r="F316" s="8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8" t="n"/>
      <c r="Q316" s="5" t="n"/>
    </row>
    <row r="317">
      <c r="A317" s="5" t="n"/>
      <c r="B317" s="5" t="n"/>
      <c r="C317" s="5" t="n"/>
      <c r="D317" s="5" t="n"/>
      <c r="E317" s="5" t="n"/>
      <c r="F317" s="8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8" t="n"/>
      <c r="Q317" s="5" t="n"/>
    </row>
    <row r="318">
      <c r="A318" s="5" t="n"/>
      <c r="B318" s="5" t="n"/>
      <c r="C318" s="5" t="n"/>
      <c r="D318" s="5" t="n"/>
      <c r="E318" s="5" t="n"/>
      <c r="F318" s="8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8" t="n"/>
      <c r="Q318" s="5" t="n"/>
    </row>
    <row r="319">
      <c r="A319" s="5" t="n"/>
      <c r="B319" s="5" t="n"/>
      <c r="C319" s="5" t="n"/>
      <c r="D319" s="5" t="n"/>
      <c r="E319" s="5" t="n"/>
      <c r="F319" s="8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8" t="n"/>
      <c r="Q319" s="5" t="n"/>
    </row>
    <row r="320">
      <c r="A320" s="5" t="n"/>
      <c r="B320" s="5" t="n"/>
      <c r="C320" s="5" t="n"/>
      <c r="D320" s="5" t="n"/>
      <c r="E320" s="5" t="n"/>
      <c r="F320" s="8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8" t="n"/>
      <c r="Q320" s="5" t="n"/>
    </row>
    <row r="321">
      <c r="A321" s="5" t="n"/>
      <c r="B321" s="5" t="n"/>
      <c r="C321" s="5" t="n"/>
      <c r="D321" s="5" t="n"/>
      <c r="E321" s="5" t="n"/>
      <c r="F321" s="8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8" t="n"/>
      <c r="Q321" s="5" t="n"/>
    </row>
    <row r="322">
      <c r="A322" s="5" t="n"/>
      <c r="B322" s="5" t="n"/>
      <c r="C322" s="5" t="n"/>
      <c r="D322" s="5" t="n"/>
      <c r="E322" s="5" t="n"/>
      <c r="F322" s="8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8" t="n"/>
      <c r="Q322" s="5" t="n"/>
    </row>
    <row r="323">
      <c r="A323" s="5" t="n"/>
      <c r="B323" s="5" t="n"/>
      <c r="C323" s="5" t="n"/>
      <c r="D323" s="5" t="n"/>
      <c r="E323" s="5" t="n"/>
      <c r="F323" s="8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8" t="n"/>
      <c r="Q323" s="5" t="n"/>
    </row>
    <row r="324">
      <c r="A324" s="5" t="n"/>
      <c r="B324" s="5" t="n"/>
      <c r="C324" s="5" t="n"/>
      <c r="D324" s="5" t="n"/>
      <c r="E324" s="5" t="n"/>
      <c r="F324" s="8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8" t="n"/>
      <c r="Q324" s="5" t="n"/>
    </row>
    <row r="325">
      <c r="A325" s="5" t="n"/>
      <c r="B325" s="5" t="n"/>
      <c r="C325" s="5" t="n"/>
      <c r="D325" s="5" t="n"/>
      <c r="E325" s="5" t="n"/>
      <c r="F325" s="8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8" t="n"/>
      <c r="Q325" s="5" t="n"/>
    </row>
    <row r="326">
      <c r="A326" s="5" t="n"/>
      <c r="B326" s="5" t="n"/>
      <c r="C326" s="5" t="n"/>
      <c r="D326" s="5" t="n"/>
      <c r="E326" s="5" t="n"/>
      <c r="F326" s="8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8" t="n"/>
      <c r="Q326" s="5" t="n"/>
    </row>
    <row r="327">
      <c r="A327" s="5" t="n"/>
      <c r="B327" s="5" t="n"/>
      <c r="C327" s="5" t="n"/>
      <c r="D327" s="5" t="n"/>
      <c r="E327" s="5" t="n"/>
      <c r="F327" s="8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8" t="n"/>
      <c r="Q327" s="5" t="n"/>
    </row>
    <row r="328">
      <c r="A328" s="5" t="n"/>
      <c r="B328" s="5" t="n"/>
      <c r="C328" s="5" t="n"/>
      <c r="D328" s="5" t="n"/>
      <c r="E328" s="5" t="n"/>
      <c r="F328" s="8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8" t="n"/>
      <c r="Q328" s="5" t="n"/>
    </row>
    <row r="329">
      <c r="A329" s="5" t="n"/>
      <c r="B329" s="5" t="n"/>
      <c r="C329" s="5" t="n"/>
      <c r="D329" s="5" t="n"/>
      <c r="E329" s="5" t="n"/>
      <c r="F329" s="8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8" t="n"/>
      <c r="Q329" s="5" t="n"/>
    </row>
    <row r="330">
      <c r="A330" s="5" t="n"/>
      <c r="B330" s="5" t="n"/>
      <c r="C330" s="5" t="n"/>
      <c r="D330" s="5" t="n"/>
      <c r="E330" s="5" t="n"/>
      <c r="F330" s="8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8" t="n"/>
      <c r="Q330" s="5" t="n"/>
    </row>
    <row r="331">
      <c r="A331" s="5" t="n"/>
      <c r="B331" s="5" t="n"/>
      <c r="C331" s="5" t="n"/>
      <c r="D331" s="5" t="n"/>
      <c r="E331" s="5" t="n"/>
      <c r="F331" s="8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8" t="n"/>
      <c r="Q331" s="5" t="n"/>
    </row>
    <row r="332">
      <c r="A332" s="5" t="n"/>
      <c r="B332" s="5" t="n"/>
      <c r="C332" s="5" t="n"/>
      <c r="D332" s="5" t="n"/>
      <c r="E332" s="5" t="n"/>
      <c r="F332" s="8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8" t="n"/>
      <c r="Q332" s="5" t="n"/>
    </row>
    <row r="333">
      <c r="A333" s="5" t="n"/>
      <c r="B333" s="5" t="n"/>
      <c r="C333" s="5" t="n"/>
      <c r="D333" s="5" t="n"/>
      <c r="E333" s="5" t="n"/>
      <c r="F333" s="8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8" t="n"/>
      <c r="Q333" s="5" t="n"/>
    </row>
    <row r="334">
      <c r="A334" s="5" t="n"/>
      <c r="B334" s="5" t="n"/>
      <c r="C334" s="5" t="n"/>
      <c r="D334" s="5" t="n"/>
      <c r="E334" s="5" t="n"/>
      <c r="F334" s="8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8" t="n"/>
      <c r="Q334" s="5" t="n"/>
    </row>
    <row r="335">
      <c r="A335" s="5" t="n"/>
      <c r="B335" s="5" t="n"/>
      <c r="C335" s="5" t="n"/>
      <c r="D335" s="5" t="n"/>
      <c r="E335" s="5" t="n"/>
      <c r="F335" s="8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8" t="n"/>
      <c r="Q335" s="5" t="n"/>
    </row>
    <row r="336">
      <c r="A336" s="5" t="n"/>
      <c r="B336" s="5" t="n"/>
      <c r="C336" s="5" t="n"/>
      <c r="D336" s="5" t="n"/>
      <c r="E336" s="5" t="n"/>
      <c r="F336" s="8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8" t="n"/>
      <c r="Q336" s="5" t="n"/>
    </row>
    <row r="337">
      <c r="A337" s="5" t="n"/>
      <c r="B337" s="5" t="n"/>
      <c r="C337" s="5" t="n"/>
      <c r="D337" s="5" t="n"/>
      <c r="E337" s="5" t="n"/>
      <c r="F337" s="8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8" t="n"/>
      <c r="Q337" s="5" t="n"/>
    </row>
    <row r="338">
      <c r="A338" s="5" t="n"/>
      <c r="B338" s="5" t="n"/>
      <c r="C338" s="5" t="n"/>
      <c r="D338" s="5" t="n"/>
      <c r="E338" s="5" t="n"/>
      <c r="F338" s="8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8" t="n"/>
      <c r="Q338" s="5" t="n"/>
    </row>
    <row r="339">
      <c r="A339" s="5" t="n"/>
      <c r="B339" s="5" t="n"/>
      <c r="C339" s="5" t="n"/>
      <c r="D339" s="5" t="n"/>
      <c r="E339" s="5" t="n"/>
      <c r="F339" s="8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8" t="n"/>
      <c r="Q339" s="5" t="n"/>
    </row>
    <row r="340">
      <c r="A340" s="5" t="n"/>
      <c r="B340" s="5" t="n"/>
      <c r="C340" s="5" t="n"/>
      <c r="D340" s="5" t="n"/>
      <c r="E340" s="5" t="n"/>
      <c r="F340" s="8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8" t="n"/>
      <c r="Q340" s="5" t="n"/>
    </row>
    <row r="341">
      <c r="A341" s="5" t="n"/>
      <c r="B341" s="5" t="n"/>
      <c r="C341" s="5" t="n"/>
      <c r="D341" s="5" t="n"/>
      <c r="E341" s="5" t="n"/>
      <c r="F341" s="8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8" t="n"/>
      <c r="Q341" s="5" t="n"/>
    </row>
    <row r="342">
      <c r="A342" s="5" t="n"/>
      <c r="B342" s="5" t="n"/>
      <c r="C342" s="5" t="n"/>
      <c r="D342" s="5" t="n"/>
      <c r="E342" s="5" t="n"/>
      <c r="F342" s="8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8" t="n"/>
      <c r="Q342" s="5" t="n"/>
    </row>
    <row r="343">
      <c r="A343" s="5" t="n"/>
      <c r="B343" s="5" t="n"/>
      <c r="C343" s="5" t="n"/>
      <c r="D343" s="5" t="n"/>
      <c r="E343" s="5" t="n"/>
      <c r="F343" s="8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8" t="n"/>
      <c r="Q343" s="5" t="n"/>
    </row>
    <row r="344">
      <c r="A344" s="5" t="n"/>
      <c r="B344" s="5" t="n"/>
      <c r="C344" s="5" t="n"/>
      <c r="D344" s="5" t="n"/>
      <c r="E344" s="5" t="n"/>
      <c r="F344" s="8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8" t="n"/>
      <c r="Q344" s="5" t="n"/>
    </row>
    <row r="345">
      <c r="A345" s="5" t="n"/>
      <c r="B345" s="5" t="n"/>
      <c r="C345" s="5" t="n"/>
      <c r="D345" s="5" t="n"/>
      <c r="E345" s="5" t="n"/>
      <c r="F345" s="8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8" t="n"/>
      <c r="Q345" s="5" t="n"/>
    </row>
    <row r="346">
      <c r="A346" s="5" t="n"/>
      <c r="B346" s="5" t="n"/>
      <c r="C346" s="5" t="n"/>
      <c r="D346" s="5" t="n"/>
      <c r="E346" s="5" t="n"/>
      <c r="F346" s="8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8" t="n"/>
      <c r="Q346" s="5" t="n"/>
    </row>
    <row r="347">
      <c r="A347" s="5" t="n"/>
      <c r="B347" s="5" t="n"/>
      <c r="C347" s="5" t="n"/>
      <c r="D347" s="5" t="n"/>
      <c r="E347" s="5" t="n"/>
      <c r="F347" s="8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8" t="n"/>
      <c r="Q347" s="5" t="n"/>
    </row>
    <row r="348">
      <c r="A348" s="5" t="n"/>
      <c r="B348" s="5" t="n"/>
      <c r="C348" s="5" t="n"/>
      <c r="D348" s="5" t="n"/>
      <c r="E348" s="5" t="n"/>
      <c r="F348" s="8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8" t="n"/>
      <c r="Q348" s="5" t="n"/>
    </row>
    <row r="349">
      <c r="A349" s="5" t="n"/>
      <c r="B349" s="5" t="n"/>
      <c r="C349" s="5" t="n"/>
      <c r="D349" s="5" t="n"/>
      <c r="E349" s="5" t="n"/>
      <c r="F349" s="8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8" t="n"/>
      <c r="Q349" s="5" t="n"/>
    </row>
    <row r="350">
      <c r="A350" s="5" t="n"/>
      <c r="B350" s="5" t="n"/>
      <c r="C350" s="5" t="n"/>
      <c r="D350" s="5" t="n"/>
      <c r="E350" s="5" t="n"/>
      <c r="F350" s="8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8" t="n"/>
      <c r="Q350" s="5" t="n"/>
    </row>
    <row r="351">
      <c r="A351" s="5" t="n"/>
      <c r="B351" s="5" t="n"/>
      <c r="C351" s="5" t="n"/>
      <c r="D351" s="5" t="n"/>
      <c r="E351" s="5" t="n"/>
      <c r="F351" s="8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8" t="n"/>
      <c r="Q351" s="5" t="n"/>
    </row>
    <row r="352">
      <c r="A352" s="5" t="n"/>
      <c r="B352" s="5" t="n"/>
      <c r="C352" s="5" t="n"/>
      <c r="D352" s="5" t="n"/>
      <c r="E352" s="5" t="n"/>
      <c r="F352" s="8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8" t="n"/>
      <c r="Q352" s="5" t="n"/>
    </row>
    <row r="353">
      <c r="A353" s="5" t="n"/>
      <c r="B353" s="5" t="n"/>
      <c r="C353" s="5" t="n"/>
      <c r="D353" s="5" t="n"/>
      <c r="E353" s="5" t="n"/>
      <c r="F353" s="8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8" t="n"/>
      <c r="Q353" s="5" t="n"/>
    </row>
    <row r="354">
      <c r="A354" s="5" t="n"/>
      <c r="B354" s="5" t="n"/>
      <c r="C354" s="5" t="n"/>
      <c r="D354" s="5" t="n"/>
      <c r="E354" s="5" t="n"/>
      <c r="F354" s="8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8" t="n"/>
      <c r="Q354" s="5" t="n"/>
    </row>
    <row r="355">
      <c r="A355" s="5" t="n"/>
      <c r="B355" s="5" t="n"/>
      <c r="C355" s="5" t="n"/>
      <c r="D355" s="5" t="n"/>
      <c r="E355" s="5" t="n"/>
      <c r="F355" s="8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8" t="n"/>
      <c r="Q355" s="5" t="n"/>
    </row>
    <row r="356">
      <c r="A356" s="5" t="n"/>
      <c r="B356" s="5" t="n"/>
      <c r="C356" s="5" t="n"/>
      <c r="D356" s="5" t="n"/>
      <c r="E356" s="5" t="n"/>
      <c r="F356" s="8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8" t="n"/>
      <c r="Q356" s="5" t="n"/>
    </row>
    <row r="357">
      <c r="A357" s="5" t="n"/>
      <c r="B357" s="5" t="n"/>
      <c r="C357" s="5" t="n"/>
      <c r="D357" s="5" t="n"/>
      <c r="E357" s="5" t="n"/>
      <c r="F357" s="8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8" t="n"/>
      <c r="Q357" s="5" t="n"/>
    </row>
    <row r="358">
      <c r="A358" s="5" t="n"/>
      <c r="B358" s="5" t="n"/>
      <c r="C358" s="5" t="n"/>
      <c r="D358" s="5" t="n"/>
      <c r="E358" s="5" t="n"/>
      <c r="F358" s="8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8" t="n"/>
      <c r="Q358" s="5" t="n"/>
    </row>
    <row r="359">
      <c r="A359" s="5" t="n"/>
      <c r="B359" s="5" t="n"/>
      <c r="C359" s="5" t="n"/>
      <c r="D359" s="5" t="n"/>
      <c r="E359" s="5" t="n"/>
      <c r="F359" s="8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8" t="n"/>
      <c r="Q359" s="5" t="n"/>
    </row>
    <row r="360">
      <c r="A360" s="5" t="n"/>
      <c r="B360" s="5" t="n"/>
      <c r="C360" s="5" t="n"/>
      <c r="D360" s="5" t="n"/>
      <c r="E360" s="5" t="n"/>
      <c r="F360" s="8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8" t="n"/>
      <c r="Q360" s="5" t="n"/>
    </row>
    <row r="361">
      <c r="A361" s="5" t="n"/>
      <c r="B361" s="5" t="n"/>
      <c r="C361" s="5" t="n"/>
      <c r="D361" s="5" t="n"/>
      <c r="E361" s="5" t="n"/>
      <c r="F361" s="8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8" t="n"/>
      <c r="Q361" s="5" t="n"/>
    </row>
    <row r="362">
      <c r="A362" s="5" t="n"/>
      <c r="B362" s="5" t="n"/>
      <c r="C362" s="5" t="n"/>
      <c r="D362" s="5" t="n"/>
      <c r="E362" s="5" t="n"/>
      <c r="F362" s="8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8" t="n"/>
      <c r="Q362" s="5" t="n"/>
    </row>
    <row r="363">
      <c r="A363" s="5" t="n"/>
      <c r="B363" s="5" t="n"/>
      <c r="C363" s="5" t="n"/>
      <c r="D363" s="5" t="n"/>
      <c r="E363" s="5" t="n"/>
      <c r="F363" s="8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8" t="n"/>
      <c r="Q363" s="5" t="n"/>
    </row>
    <row r="364">
      <c r="A364" s="5" t="n"/>
      <c r="B364" s="5" t="n"/>
      <c r="C364" s="5" t="n"/>
      <c r="D364" s="5" t="n"/>
      <c r="E364" s="5" t="n"/>
      <c r="F364" s="8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8" t="n"/>
      <c r="Q364" s="5" t="n"/>
    </row>
    <row r="365">
      <c r="A365" s="5" t="n"/>
      <c r="B365" s="5" t="n"/>
      <c r="C365" s="5" t="n"/>
      <c r="D365" s="5" t="n"/>
      <c r="E365" s="5" t="n"/>
      <c r="F365" s="8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8" t="n"/>
      <c r="Q365" s="5" t="n"/>
    </row>
    <row r="366">
      <c r="A366" s="5" t="n"/>
      <c r="B366" s="5" t="n"/>
      <c r="C366" s="5" t="n"/>
      <c r="D366" s="5" t="n"/>
      <c r="E366" s="5" t="n"/>
      <c r="F366" s="8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8" t="n"/>
      <c r="Q366" s="5" t="n"/>
    </row>
    <row r="367">
      <c r="A367" s="5" t="n"/>
      <c r="B367" s="5" t="n"/>
      <c r="C367" s="5" t="n"/>
      <c r="D367" s="5" t="n"/>
      <c r="E367" s="5" t="n"/>
      <c r="F367" s="8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8" t="n"/>
      <c r="Q367" s="5" t="n"/>
    </row>
    <row r="368">
      <c r="A368" s="5" t="n"/>
      <c r="B368" s="5" t="n"/>
      <c r="C368" s="5" t="n"/>
      <c r="D368" s="5" t="n"/>
      <c r="E368" s="5" t="n"/>
      <c r="F368" s="8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8" t="n"/>
      <c r="Q368" s="5" t="n"/>
    </row>
    <row r="369">
      <c r="A369" s="5" t="n"/>
      <c r="B369" s="5" t="n"/>
      <c r="C369" s="5" t="n"/>
      <c r="D369" s="5" t="n"/>
      <c r="E369" s="5" t="n"/>
      <c r="F369" s="8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8" t="n"/>
      <c r="Q369" s="5" t="n"/>
    </row>
    <row r="370">
      <c r="A370" s="5" t="n"/>
      <c r="B370" s="5" t="n"/>
      <c r="C370" s="5" t="n"/>
      <c r="D370" s="5" t="n"/>
      <c r="E370" s="5" t="n"/>
      <c r="F370" s="8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8" t="n"/>
      <c r="Q370" s="5" t="n"/>
    </row>
    <row r="371">
      <c r="A371" s="5" t="n"/>
      <c r="B371" s="5" t="n"/>
      <c r="C371" s="5" t="n"/>
      <c r="D371" s="5" t="n"/>
      <c r="E371" s="5" t="n"/>
      <c r="F371" s="8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8" t="n"/>
      <c r="Q371" s="5" t="n"/>
    </row>
    <row r="372">
      <c r="A372" s="5" t="n"/>
      <c r="B372" s="5" t="n"/>
      <c r="C372" s="5" t="n"/>
      <c r="D372" s="5" t="n"/>
      <c r="E372" s="5" t="n"/>
      <c r="F372" s="8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8" t="n"/>
      <c r="Q372" s="5" t="n"/>
    </row>
    <row r="373">
      <c r="A373" s="5" t="n"/>
      <c r="B373" s="5" t="n"/>
      <c r="C373" s="5" t="n"/>
      <c r="D373" s="5" t="n"/>
      <c r="E373" s="5" t="n"/>
      <c r="F373" s="8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8" t="n"/>
      <c r="Q373" s="5" t="n"/>
    </row>
    <row r="374">
      <c r="A374" s="5" t="n"/>
      <c r="B374" s="5" t="n"/>
      <c r="C374" s="5" t="n"/>
      <c r="D374" s="5" t="n"/>
      <c r="E374" s="5" t="n"/>
      <c r="F374" s="8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8" t="n"/>
      <c r="Q374" s="5" t="n"/>
    </row>
    <row r="375">
      <c r="A375" s="5" t="n"/>
      <c r="B375" s="5" t="n"/>
      <c r="C375" s="5" t="n"/>
      <c r="D375" s="5" t="n"/>
      <c r="E375" s="5" t="n"/>
      <c r="F375" s="8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8" t="n"/>
      <c r="Q375" s="5" t="n"/>
    </row>
    <row r="376">
      <c r="A376" s="5" t="n"/>
      <c r="B376" s="5" t="n"/>
      <c r="C376" s="5" t="n"/>
      <c r="D376" s="5" t="n"/>
      <c r="E376" s="5" t="n"/>
      <c r="F376" s="8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8" t="n"/>
      <c r="Q376" s="5" t="n"/>
    </row>
    <row r="377">
      <c r="A377" s="5" t="n"/>
      <c r="B377" s="5" t="n"/>
      <c r="C377" s="5" t="n"/>
      <c r="D377" s="5" t="n"/>
      <c r="E377" s="5" t="n"/>
      <c r="F377" s="8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8" t="n"/>
      <c r="Q377" s="5" t="n"/>
    </row>
    <row r="378">
      <c r="A378" s="5" t="n"/>
      <c r="B378" s="5" t="n"/>
      <c r="C378" s="5" t="n"/>
      <c r="D378" s="5" t="n"/>
      <c r="E378" s="5" t="n"/>
      <c r="F378" s="8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8" t="n"/>
      <c r="Q378" s="5" t="n"/>
    </row>
    <row r="379">
      <c r="A379" s="5" t="n"/>
      <c r="B379" s="5" t="n"/>
      <c r="C379" s="5" t="n"/>
      <c r="D379" s="5" t="n"/>
      <c r="E379" s="5" t="n"/>
      <c r="F379" s="8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8" t="n"/>
      <c r="Q379" s="5" t="n"/>
    </row>
    <row r="380">
      <c r="A380" s="5" t="n"/>
      <c r="B380" s="5" t="n"/>
      <c r="C380" s="5" t="n"/>
      <c r="D380" s="5" t="n"/>
      <c r="E380" s="5" t="n"/>
      <c r="F380" s="8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8" t="n"/>
      <c r="Q380" s="5" t="n"/>
    </row>
    <row r="381">
      <c r="A381" s="5" t="n"/>
      <c r="B381" s="5" t="n"/>
      <c r="C381" s="5" t="n"/>
      <c r="D381" s="5" t="n"/>
      <c r="E381" s="5" t="n"/>
      <c r="F381" s="8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8" t="n"/>
      <c r="Q381" s="5" t="n"/>
    </row>
    <row r="382">
      <c r="A382" s="5" t="n"/>
      <c r="B382" s="5" t="n"/>
      <c r="C382" s="5" t="n"/>
      <c r="D382" s="5" t="n"/>
      <c r="E382" s="5" t="n"/>
      <c r="F382" s="8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8" t="n"/>
      <c r="Q382" s="5" t="n"/>
    </row>
    <row r="383">
      <c r="A383" s="5" t="n"/>
      <c r="B383" s="5" t="n"/>
      <c r="C383" s="5" t="n"/>
      <c r="D383" s="5" t="n"/>
      <c r="E383" s="5" t="n"/>
      <c r="F383" s="8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8" t="n"/>
      <c r="Q383" s="5" t="n"/>
    </row>
    <row r="384">
      <c r="A384" s="5" t="n"/>
      <c r="B384" s="5" t="n"/>
      <c r="C384" s="5" t="n"/>
      <c r="D384" s="5" t="n"/>
      <c r="E384" s="5" t="n"/>
      <c r="F384" s="8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8" t="n"/>
      <c r="Q384" s="5" t="n"/>
    </row>
    <row r="385">
      <c r="A385" s="5" t="n"/>
      <c r="B385" s="5" t="n"/>
      <c r="C385" s="5" t="n"/>
      <c r="D385" s="5" t="n"/>
      <c r="E385" s="5" t="n"/>
      <c r="F385" s="8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8" t="n"/>
      <c r="Q385" s="5" t="n"/>
    </row>
    <row r="386">
      <c r="A386" s="5" t="n"/>
      <c r="B386" s="5" t="n"/>
      <c r="C386" s="5" t="n"/>
      <c r="D386" s="5" t="n"/>
      <c r="E386" s="5" t="n"/>
      <c r="F386" s="8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8" t="n"/>
      <c r="Q386" s="5" t="n"/>
    </row>
    <row r="387">
      <c r="A387" s="5" t="n"/>
      <c r="B387" s="5" t="n"/>
      <c r="C387" s="5" t="n"/>
      <c r="D387" s="5" t="n"/>
      <c r="E387" s="5" t="n"/>
      <c r="F387" s="8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8" t="n"/>
      <c r="Q387" s="5" t="n"/>
    </row>
    <row r="388">
      <c r="A388" s="5" t="n"/>
      <c r="B388" s="5" t="n"/>
      <c r="C388" s="5" t="n"/>
      <c r="D388" s="5" t="n"/>
      <c r="E388" s="5" t="n"/>
      <c r="F388" s="8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8" t="n"/>
      <c r="Q388" s="5" t="n"/>
    </row>
    <row r="389">
      <c r="A389" s="5" t="n"/>
      <c r="B389" s="5" t="n"/>
      <c r="C389" s="5" t="n"/>
      <c r="D389" s="5" t="n"/>
      <c r="E389" s="5" t="n"/>
      <c r="F389" s="8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8" t="n"/>
      <c r="Q389" s="5" t="n"/>
    </row>
    <row r="390">
      <c r="A390" s="5" t="n"/>
      <c r="B390" s="5" t="n"/>
      <c r="C390" s="5" t="n"/>
      <c r="D390" s="5" t="n"/>
      <c r="E390" s="5" t="n"/>
      <c r="F390" s="8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8" t="n"/>
      <c r="Q390" s="5" t="n"/>
    </row>
    <row r="391">
      <c r="A391" s="5" t="n"/>
      <c r="B391" s="5" t="n"/>
      <c r="C391" s="5" t="n"/>
      <c r="D391" s="5" t="n"/>
      <c r="E391" s="5" t="n"/>
      <c r="F391" s="8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8" t="n"/>
      <c r="Q391" s="5" t="n"/>
    </row>
    <row r="392">
      <c r="A392" s="5" t="n"/>
      <c r="B392" s="5" t="n"/>
      <c r="C392" s="5" t="n"/>
      <c r="D392" s="5" t="n"/>
      <c r="E392" s="5" t="n"/>
      <c r="F392" s="8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8" t="n"/>
      <c r="Q392" s="5" t="n"/>
    </row>
    <row r="393">
      <c r="A393" s="5" t="n"/>
      <c r="B393" s="5" t="n"/>
      <c r="C393" s="5" t="n"/>
      <c r="D393" s="5" t="n"/>
      <c r="E393" s="5" t="n"/>
      <c r="F393" s="8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8" t="n"/>
      <c r="Q393" s="5" t="n"/>
    </row>
    <row r="394">
      <c r="A394" s="5" t="n"/>
      <c r="B394" s="5" t="n"/>
      <c r="C394" s="5" t="n"/>
      <c r="D394" s="5" t="n"/>
      <c r="E394" s="5" t="n"/>
      <c r="F394" s="8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8" t="n"/>
      <c r="Q394" s="5" t="n"/>
    </row>
    <row r="395">
      <c r="A395" s="5" t="n"/>
      <c r="B395" s="5" t="n"/>
      <c r="C395" s="5" t="n"/>
      <c r="D395" s="5" t="n"/>
      <c r="E395" s="5" t="n"/>
      <c r="F395" s="8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8" t="n"/>
      <c r="Q395" s="5" t="n"/>
    </row>
    <row r="396">
      <c r="A396" s="5" t="n"/>
      <c r="B396" s="5" t="n"/>
      <c r="C396" s="5" t="n"/>
      <c r="D396" s="5" t="n"/>
      <c r="E396" s="5" t="n"/>
      <c r="F396" s="8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8" t="n"/>
      <c r="Q396" s="5" t="n"/>
    </row>
    <row r="397">
      <c r="A397" s="5" t="n"/>
      <c r="B397" s="5" t="n"/>
      <c r="C397" s="5" t="n"/>
      <c r="D397" s="5" t="n"/>
      <c r="E397" s="5" t="n"/>
      <c r="F397" s="8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8" t="n"/>
      <c r="Q397" s="5" t="n"/>
    </row>
    <row r="398">
      <c r="A398" s="5" t="n"/>
      <c r="B398" s="5" t="n"/>
      <c r="C398" s="5" t="n"/>
      <c r="D398" s="5" t="n"/>
      <c r="E398" s="5" t="n"/>
      <c r="F398" s="8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8" t="n"/>
      <c r="Q398" s="5" t="n"/>
    </row>
    <row r="399">
      <c r="A399" s="5" t="n"/>
      <c r="B399" s="5" t="n"/>
      <c r="C399" s="5" t="n"/>
      <c r="D399" s="5" t="n"/>
      <c r="E399" s="5" t="n"/>
      <c r="F399" s="8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8" t="n"/>
      <c r="Q399" s="5" t="n"/>
    </row>
    <row r="400">
      <c r="A400" s="5" t="n"/>
      <c r="B400" s="5" t="n"/>
      <c r="C400" s="5" t="n"/>
      <c r="D400" s="5" t="n"/>
      <c r="E400" s="5" t="n"/>
      <c r="F400" s="8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8" t="n"/>
      <c r="Q400" s="5" t="n"/>
    </row>
    <row r="401">
      <c r="A401" s="5" t="n"/>
      <c r="B401" s="5" t="n"/>
      <c r="C401" s="5" t="n"/>
      <c r="D401" s="5" t="n"/>
      <c r="E401" s="5" t="n"/>
      <c r="F401" s="8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8" t="n"/>
      <c r="Q401" s="5" t="n"/>
    </row>
    <row r="402">
      <c r="A402" s="5" t="n"/>
      <c r="B402" s="5" t="n"/>
      <c r="C402" s="5" t="n"/>
      <c r="D402" s="5" t="n"/>
      <c r="E402" s="5" t="n"/>
      <c r="F402" s="8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8" t="n"/>
      <c r="Q402" s="5" t="n"/>
    </row>
    <row r="403">
      <c r="A403" s="5" t="n"/>
      <c r="B403" s="5" t="n"/>
      <c r="C403" s="5" t="n"/>
      <c r="D403" s="5" t="n"/>
      <c r="E403" s="5" t="n"/>
      <c r="F403" s="8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8" t="n"/>
      <c r="Q403" s="5" t="n"/>
    </row>
    <row r="404">
      <c r="A404" s="5" t="n"/>
      <c r="B404" s="5" t="n"/>
      <c r="C404" s="5" t="n"/>
      <c r="D404" s="5" t="n"/>
      <c r="E404" s="5" t="n"/>
      <c r="F404" s="8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8" t="n"/>
      <c r="Q404" s="5" t="n"/>
    </row>
    <row r="405">
      <c r="A405" s="5" t="n"/>
      <c r="B405" s="5" t="n"/>
      <c r="C405" s="5" t="n"/>
      <c r="D405" s="5" t="n"/>
      <c r="E405" s="5" t="n"/>
      <c r="F405" s="8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8" t="n"/>
      <c r="Q405" s="5" t="n"/>
    </row>
    <row r="406">
      <c r="A406" s="5" t="n"/>
      <c r="B406" s="5" t="n"/>
      <c r="C406" s="5" t="n"/>
      <c r="D406" s="5" t="n"/>
      <c r="E406" s="5" t="n"/>
      <c r="F406" s="8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8" t="n"/>
      <c r="Q406" s="5" t="n"/>
    </row>
    <row r="407">
      <c r="A407" s="5" t="n"/>
      <c r="B407" s="5" t="n"/>
      <c r="C407" s="5" t="n"/>
      <c r="D407" s="5" t="n"/>
      <c r="E407" s="5" t="n"/>
      <c r="F407" s="8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8" t="n"/>
      <c r="Q407" s="5" t="n"/>
    </row>
    <row r="408">
      <c r="A408" s="5" t="n"/>
      <c r="B408" s="5" t="n"/>
      <c r="C408" s="5" t="n"/>
      <c r="D408" s="5" t="n"/>
      <c r="E408" s="5" t="n"/>
      <c r="F408" s="8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8" t="n"/>
      <c r="Q408" s="5" t="n"/>
    </row>
    <row r="409">
      <c r="A409" s="5" t="n"/>
      <c r="B409" s="5" t="n"/>
      <c r="C409" s="5" t="n"/>
      <c r="D409" s="5" t="n"/>
      <c r="E409" s="5" t="n"/>
      <c r="F409" s="8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8" t="n"/>
      <c r="Q409" s="5" t="n"/>
    </row>
    <row r="410">
      <c r="A410" s="5" t="n"/>
      <c r="B410" s="5" t="n"/>
      <c r="C410" s="5" t="n"/>
      <c r="D410" s="5" t="n"/>
      <c r="E410" s="5" t="n"/>
      <c r="F410" s="8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8" t="n"/>
      <c r="Q410" s="5" t="n"/>
    </row>
    <row r="411">
      <c r="A411" s="5" t="n"/>
      <c r="B411" s="5" t="n"/>
      <c r="C411" s="5" t="n"/>
      <c r="D411" s="5" t="n"/>
      <c r="E411" s="5" t="n"/>
      <c r="F411" s="8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8" t="n"/>
      <c r="Q411" s="5" t="n"/>
    </row>
    <row r="412">
      <c r="A412" s="5" t="n"/>
      <c r="B412" s="5" t="n"/>
      <c r="C412" s="5" t="n"/>
      <c r="D412" s="5" t="n"/>
      <c r="E412" s="5" t="n"/>
      <c r="F412" s="8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8" t="n"/>
      <c r="Q412" s="5" t="n"/>
    </row>
    <row r="413">
      <c r="A413" s="5" t="n"/>
      <c r="B413" s="5" t="n"/>
      <c r="C413" s="5" t="n"/>
      <c r="D413" s="5" t="n"/>
      <c r="E413" s="5" t="n"/>
      <c r="F413" s="8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8" t="n"/>
      <c r="Q413" s="5" t="n"/>
    </row>
    <row r="414">
      <c r="A414" s="5" t="n"/>
      <c r="B414" s="5" t="n"/>
      <c r="C414" s="5" t="n"/>
      <c r="D414" s="5" t="n"/>
      <c r="E414" s="5" t="n"/>
      <c r="F414" s="8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8" t="n"/>
      <c r="Q414" s="5" t="n"/>
    </row>
    <row r="415">
      <c r="A415" s="5" t="n"/>
      <c r="B415" s="5" t="n"/>
      <c r="C415" s="5" t="n"/>
      <c r="D415" s="5" t="n"/>
      <c r="E415" s="5" t="n"/>
      <c r="F415" s="8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8" t="n"/>
      <c r="Q415" s="5" t="n"/>
    </row>
    <row r="416">
      <c r="A416" s="5" t="n"/>
      <c r="B416" s="5" t="n"/>
      <c r="C416" s="5" t="n"/>
      <c r="D416" s="5" t="n"/>
      <c r="E416" s="5" t="n"/>
      <c r="F416" s="8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8" t="n"/>
      <c r="Q416" s="5" t="n"/>
    </row>
    <row r="417">
      <c r="A417" s="5" t="n"/>
      <c r="B417" s="5" t="n"/>
      <c r="C417" s="5" t="n"/>
      <c r="D417" s="5" t="n"/>
      <c r="E417" s="5" t="n"/>
      <c r="F417" s="8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8" t="n"/>
      <c r="Q417" s="5" t="n"/>
    </row>
    <row r="418">
      <c r="A418" s="5" t="n"/>
      <c r="B418" s="5" t="n"/>
      <c r="C418" s="5" t="n"/>
      <c r="D418" s="5" t="n"/>
      <c r="E418" s="5" t="n"/>
      <c r="F418" s="8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8" t="n"/>
      <c r="Q418" s="5" t="n"/>
    </row>
    <row r="419">
      <c r="A419" s="5" t="n"/>
      <c r="B419" s="5" t="n"/>
      <c r="C419" s="5" t="n"/>
      <c r="D419" s="5" t="n"/>
      <c r="E419" s="5" t="n"/>
      <c r="F419" s="8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8" t="n"/>
      <c r="Q419" s="5" t="n"/>
    </row>
    <row r="420">
      <c r="A420" s="5" t="n"/>
      <c r="B420" s="5" t="n"/>
      <c r="C420" s="5" t="n"/>
      <c r="D420" s="5" t="n"/>
      <c r="E420" s="5" t="n"/>
      <c r="F420" s="8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8" t="n"/>
      <c r="Q420" s="5" t="n"/>
    </row>
    <row r="421">
      <c r="A421" s="5" t="n"/>
      <c r="B421" s="5" t="n"/>
      <c r="C421" s="5" t="n"/>
      <c r="D421" s="5" t="n"/>
      <c r="E421" s="5" t="n"/>
      <c r="F421" s="8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8" t="n"/>
      <c r="Q421" s="5" t="n"/>
    </row>
    <row r="422">
      <c r="A422" s="5" t="n"/>
      <c r="B422" s="5" t="n"/>
      <c r="C422" s="5" t="n"/>
      <c r="D422" s="5" t="n"/>
      <c r="E422" s="5" t="n"/>
      <c r="F422" s="8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8" t="n"/>
      <c r="Q422" s="5" t="n"/>
    </row>
    <row r="423">
      <c r="A423" s="5" t="n"/>
      <c r="B423" s="5" t="n"/>
      <c r="C423" s="5" t="n"/>
      <c r="D423" s="5" t="n"/>
      <c r="E423" s="5" t="n"/>
      <c r="F423" s="8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8" t="n"/>
      <c r="Q423" s="5" t="n"/>
    </row>
    <row r="424">
      <c r="A424" s="5" t="n"/>
      <c r="B424" s="5" t="n"/>
      <c r="C424" s="5" t="n"/>
      <c r="D424" s="5" t="n"/>
      <c r="E424" s="5" t="n"/>
      <c r="F424" s="8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8" t="n"/>
      <c r="Q424" s="5" t="n"/>
    </row>
    <row r="425">
      <c r="A425" s="5" t="n"/>
      <c r="B425" s="5" t="n"/>
      <c r="C425" s="5" t="n"/>
      <c r="D425" s="5" t="n"/>
      <c r="E425" s="5" t="n"/>
      <c r="F425" s="8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8" t="n"/>
      <c r="Q425" s="5" t="n"/>
    </row>
    <row r="426">
      <c r="A426" s="5" t="n"/>
      <c r="B426" s="5" t="n"/>
      <c r="C426" s="5" t="n"/>
      <c r="D426" s="5" t="n"/>
      <c r="E426" s="5" t="n"/>
      <c r="F426" s="8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8" t="n"/>
      <c r="Q426" s="5" t="n"/>
    </row>
    <row r="427">
      <c r="A427" s="5" t="n"/>
      <c r="B427" s="5" t="n"/>
      <c r="C427" s="5" t="n"/>
      <c r="D427" s="5" t="n"/>
      <c r="E427" s="5" t="n"/>
      <c r="F427" s="8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8" t="n"/>
      <c r="Q427" s="5" t="n"/>
    </row>
    <row r="428">
      <c r="A428" s="5" t="n"/>
      <c r="B428" s="5" t="n"/>
      <c r="C428" s="5" t="n"/>
      <c r="D428" s="5" t="n"/>
      <c r="E428" s="5" t="n"/>
      <c r="F428" s="8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8" t="n"/>
      <c r="Q428" s="5" t="n"/>
    </row>
    <row r="429">
      <c r="A429" s="5" t="n"/>
      <c r="B429" s="5" t="n"/>
      <c r="C429" s="5" t="n"/>
      <c r="D429" s="5" t="n"/>
      <c r="E429" s="5" t="n"/>
      <c r="F429" s="8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8" t="n"/>
      <c r="Q429" s="5" t="n"/>
    </row>
    <row r="430">
      <c r="A430" s="5" t="n"/>
      <c r="B430" s="5" t="n"/>
      <c r="C430" s="5" t="n"/>
      <c r="D430" s="5" t="n"/>
      <c r="E430" s="5" t="n"/>
      <c r="F430" s="8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8" t="n"/>
      <c r="Q430" s="5" t="n"/>
    </row>
    <row r="431">
      <c r="A431" s="5" t="n"/>
      <c r="B431" s="5" t="n"/>
      <c r="C431" s="5" t="n"/>
      <c r="D431" s="5" t="n"/>
      <c r="E431" s="5" t="n"/>
      <c r="F431" s="8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8" t="n"/>
      <c r="Q431" s="5" t="n"/>
    </row>
    <row r="432">
      <c r="A432" s="5" t="n"/>
      <c r="B432" s="5" t="n"/>
      <c r="C432" s="5" t="n"/>
      <c r="D432" s="5" t="n"/>
      <c r="E432" s="5" t="n"/>
      <c r="F432" s="8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8" t="n"/>
      <c r="Q432" s="5" t="n"/>
    </row>
    <row r="433">
      <c r="A433" s="5" t="n"/>
      <c r="B433" s="5" t="n"/>
      <c r="C433" s="5" t="n"/>
      <c r="D433" s="5" t="n"/>
      <c r="E433" s="5" t="n"/>
      <c r="F433" s="8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8" t="n"/>
      <c r="Q433" s="5" t="n"/>
    </row>
    <row r="434">
      <c r="A434" s="5" t="n"/>
      <c r="B434" s="5" t="n"/>
      <c r="C434" s="5" t="n"/>
      <c r="D434" s="5" t="n"/>
      <c r="E434" s="5" t="n"/>
      <c r="F434" s="8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8" t="n"/>
      <c r="Q434" s="5" t="n"/>
    </row>
    <row r="435">
      <c r="A435" s="5" t="n"/>
      <c r="B435" s="5" t="n"/>
      <c r="C435" s="5" t="n"/>
      <c r="D435" s="5" t="n"/>
      <c r="E435" s="5" t="n"/>
      <c r="F435" s="8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8" t="n"/>
      <c r="Q435" s="5" t="n"/>
    </row>
    <row r="436">
      <c r="A436" s="5" t="n"/>
      <c r="B436" s="5" t="n"/>
      <c r="C436" s="5" t="n"/>
      <c r="D436" s="5" t="n"/>
      <c r="E436" s="5" t="n"/>
      <c r="F436" s="8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8" t="n"/>
      <c r="Q436" s="5" t="n"/>
    </row>
    <row r="437">
      <c r="A437" s="5" t="n"/>
      <c r="B437" s="5" t="n"/>
      <c r="C437" s="5" t="n"/>
      <c r="D437" s="5" t="n"/>
      <c r="E437" s="5" t="n"/>
      <c r="F437" s="8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8" t="n"/>
      <c r="Q437" s="5" t="n"/>
    </row>
    <row r="438">
      <c r="A438" s="5" t="n"/>
      <c r="B438" s="5" t="n"/>
      <c r="C438" s="5" t="n"/>
      <c r="D438" s="5" t="n"/>
      <c r="E438" s="5" t="n"/>
      <c r="F438" s="8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8" t="n"/>
      <c r="Q438" s="5" t="n"/>
    </row>
    <row r="439">
      <c r="A439" s="5" t="n"/>
      <c r="B439" s="5" t="n"/>
      <c r="C439" s="5" t="n"/>
      <c r="D439" s="5" t="n"/>
      <c r="E439" s="5" t="n"/>
      <c r="F439" s="8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8" t="n"/>
      <c r="Q439" s="5" t="n"/>
    </row>
    <row r="440">
      <c r="A440" s="5" t="n"/>
      <c r="B440" s="5" t="n"/>
      <c r="C440" s="5" t="n"/>
      <c r="D440" s="5" t="n"/>
      <c r="E440" s="5" t="n"/>
      <c r="F440" s="8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8" t="n"/>
      <c r="Q440" s="5" t="n"/>
    </row>
    <row r="441">
      <c r="A441" s="5" t="n"/>
      <c r="B441" s="5" t="n"/>
      <c r="C441" s="5" t="n"/>
      <c r="D441" s="5" t="n"/>
      <c r="E441" s="5" t="n"/>
      <c r="F441" s="8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8" t="n"/>
      <c r="Q441" s="5" t="n"/>
    </row>
    <row r="442">
      <c r="A442" s="5" t="n"/>
      <c r="B442" s="5" t="n"/>
      <c r="C442" s="5" t="n"/>
      <c r="D442" s="5" t="n"/>
      <c r="E442" s="5" t="n"/>
      <c r="F442" s="8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8" t="n"/>
      <c r="Q442" s="5" t="n"/>
    </row>
    <row r="443">
      <c r="A443" s="5" t="n"/>
      <c r="B443" s="5" t="n"/>
      <c r="C443" s="5" t="n"/>
      <c r="D443" s="5" t="n"/>
      <c r="E443" s="5" t="n"/>
      <c r="F443" s="8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8" t="n"/>
      <c r="Q443" s="5" t="n"/>
    </row>
    <row r="444">
      <c r="A444" s="5" t="n"/>
      <c r="B444" s="5" t="n"/>
      <c r="C444" s="5" t="n"/>
      <c r="D444" s="5" t="n"/>
      <c r="E444" s="5" t="n"/>
      <c r="F444" s="8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8" t="n"/>
      <c r="Q444" s="5" t="n"/>
    </row>
    <row r="445">
      <c r="A445" s="5" t="n"/>
      <c r="B445" s="5" t="n"/>
      <c r="C445" s="5" t="n"/>
      <c r="D445" s="5" t="n"/>
      <c r="E445" s="5" t="n"/>
      <c r="F445" s="8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8" t="n"/>
      <c r="Q445" s="5" t="n"/>
    </row>
    <row r="446">
      <c r="A446" s="5" t="n"/>
      <c r="B446" s="5" t="n"/>
      <c r="C446" s="5" t="n"/>
      <c r="D446" s="5" t="n"/>
      <c r="E446" s="5" t="n"/>
      <c r="F446" s="8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8" t="n"/>
      <c r="Q446" s="5" t="n"/>
    </row>
    <row r="447">
      <c r="A447" s="5" t="n"/>
      <c r="B447" s="5" t="n"/>
      <c r="C447" s="5" t="n"/>
      <c r="D447" s="5" t="n"/>
      <c r="E447" s="5" t="n"/>
      <c r="F447" s="8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8" t="n"/>
      <c r="Q447" s="5" t="n"/>
    </row>
    <row r="448">
      <c r="A448" s="5" t="n"/>
      <c r="B448" s="5" t="n"/>
      <c r="C448" s="5" t="n"/>
      <c r="D448" s="5" t="n"/>
      <c r="E448" s="5" t="n"/>
      <c r="F448" s="8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8" t="n"/>
      <c r="Q448" s="5" t="n"/>
    </row>
    <row r="449">
      <c r="A449" s="5" t="n"/>
      <c r="B449" s="5" t="n"/>
      <c r="C449" s="5" t="n"/>
      <c r="D449" s="5" t="n"/>
      <c r="E449" s="5" t="n"/>
      <c r="F449" s="8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8" t="n"/>
      <c r="Q449" s="5" t="n"/>
    </row>
    <row r="450">
      <c r="A450" s="5" t="n"/>
      <c r="B450" s="5" t="n"/>
      <c r="C450" s="5" t="n"/>
      <c r="D450" s="5" t="n"/>
      <c r="E450" s="5" t="n"/>
      <c r="F450" s="8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8" t="n"/>
      <c r="Q450" s="5" t="n"/>
    </row>
    <row r="451">
      <c r="A451" s="5" t="n"/>
      <c r="B451" s="5" t="n"/>
      <c r="C451" s="5" t="n"/>
      <c r="D451" s="5" t="n"/>
      <c r="E451" s="5" t="n"/>
      <c r="F451" s="8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8" t="n"/>
      <c r="Q451" s="5" t="n"/>
    </row>
    <row r="452">
      <c r="A452" s="5" t="n"/>
      <c r="B452" s="5" t="n"/>
      <c r="C452" s="5" t="n"/>
      <c r="D452" s="5" t="n"/>
      <c r="E452" s="5" t="n"/>
      <c r="F452" s="8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8" t="n"/>
      <c r="Q452" s="5" t="n"/>
    </row>
    <row r="453">
      <c r="A453" s="5" t="n"/>
      <c r="B453" s="5" t="n"/>
      <c r="C453" s="5" t="n"/>
      <c r="D453" s="5" t="n"/>
      <c r="E453" s="5" t="n"/>
      <c r="F453" s="8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8" t="n"/>
      <c r="Q453" s="5" t="n"/>
    </row>
    <row r="454">
      <c r="A454" s="5" t="n"/>
      <c r="B454" s="5" t="n"/>
      <c r="C454" s="5" t="n"/>
      <c r="D454" s="5" t="n"/>
      <c r="E454" s="5" t="n"/>
      <c r="F454" s="8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8" t="n"/>
      <c r="Q454" s="5" t="n"/>
    </row>
    <row r="455">
      <c r="A455" s="5" t="n"/>
      <c r="B455" s="5" t="n"/>
      <c r="C455" s="5" t="n"/>
      <c r="D455" s="5" t="n"/>
      <c r="E455" s="5" t="n"/>
      <c r="F455" s="8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8" t="n"/>
      <c r="Q455" s="5" t="n"/>
    </row>
    <row r="456">
      <c r="A456" s="5" t="n"/>
      <c r="B456" s="5" t="n"/>
      <c r="C456" s="5" t="n"/>
      <c r="D456" s="5" t="n"/>
      <c r="E456" s="5" t="n"/>
      <c r="F456" s="8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8" t="n"/>
      <c r="Q456" s="5" t="n"/>
    </row>
    <row r="457">
      <c r="A457" s="5" t="n"/>
      <c r="B457" s="5" t="n"/>
      <c r="C457" s="5" t="n"/>
      <c r="D457" s="5" t="n"/>
      <c r="E457" s="5" t="n"/>
      <c r="F457" s="8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8" t="n"/>
      <c r="Q457" s="5" t="n"/>
    </row>
    <row r="458">
      <c r="A458" s="5" t="n"/>
      <c r="B458" s="5" t="n"/>
      <c r="C458" s="5" t="n"/>
      <c r="D458" s="5" t="n"/>
      <c r="E458" s="5" t="n"/>
      <c r="F458" s="8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8" t="n"/>
      <c r="Q458" s="5" t="n"/>
    </row>
    <row r="459">
      <c r="A459" s="5" t="n"/>
      <c r="B459" s="5" t="n"/>
      <c r="C459" s="5" t="n"/>
      <c r="D459" s="5" t="n"/>
      <c r="E459" s="5" t="n"/>
      <c r="F459" s="8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8" t="n"/>
      <c r="Q459" s="5" t="n"/>
    </row>
    <row r="460">
      <c r="A460" s="5" t="n"/>
      <c r="B460" s="5" t="n"/>
      <c r="C460" s="5" t="n"/>
      <c r="D460" s="5" t="n"/>
      <c r="E460" s="5" t="n"/>
      <c r="F460" s="8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8" t="n"/>
      <c r="Q460" s="5" t="n"/>
    </row>
    <row r="461">
      <c r="A461" s="5" t="n"/>
      <c r="B461" s="5" t="n"/>
      <c r="C461" s="5" t="n"/>
      <c r="D461" s="5" t="n"/>
      <c r="E461" s="5" t="n"/>
      <c r="F461" s="8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8" t="n"/>
      <c r="Q461" s="5" t="n"/>
    </row>
    <row r="462">
      <c r="A462" s="5" t="n"/>
      <c r="B462" s="5" t="n"/>
      <c r="C462" s="5" t="n"/>
      <c r="D462" s="5" t="n"/>
      <c r="E462" s="5" t="n"/>
      <c r="F462" s="8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8" t="n"/>
      <c r="Q462" s="5" t="n"/>
    </row>
    <row r="463">
      <c r="A463" s="5" t="n"/>
      <c r="B463" s="5" t="n"/>
      <c r="C463" s="5" t="n"/>
      <c r="D463" s="5" t="n"/>
      <c r="E463" s="5" t="n"/>
      <c r="F463" s="8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8" t="n"/>
      <c r="Q463" s="5" t="n"/>
    </row>
    <row r="464">
      <c r="A464" s="5" t="n"/>
      <c r="B464" s="5" t="n"/>
      <c r="C464" s="5" t="n"/>
      <c r="D464" s="5" t="n"/>
      <c r="E464" s="5" t="n"/>
      <c r="F464" s="8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8" t="n"/>
      <c r="Q464" s="5" t="n"/>
    </row>
    <row r="465">
      <c r="A465" s="5" t="n"/>
      <c r="B465" s="5" t="n"/>
      <c r="C465" s="5" t="n"/>
      <c r="D465" s="5" t="n"/>
      <c r="E465" s="5" t="n"/>
      <c r="F465" s="8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8" t="n"/>
      <c r="Q465" s="5" t="n"/>
    </row>
    <row r="466">
      <c r="A466" s="5" t="n"/>
      <c r="B466" s="5" t="n"/>
      <c r="C466" s="5" t="n"/>
      <c r="D466" s="5" t="n"/>
      <c r="E466" s="5" t="n"/>
      <c r="F466" s="8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8" t="n"/>
      <c r="Q466" s="5" t="n"/>
    </row>
    <row r="467">
      <c r="A467" s="5" t="n"/>
      <c r="B467" s="5" t="n"/>
      <c r="C467" s="5" t="n"/>
      <c r="D467" s="5" t="n"/>
      <c r="E467" s="5" t="n"/>
      <c r="F467" s="8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8" t="n"/>
      <c r="Q467" s="5" t="n"/>
    </row>
    <row r="468">
      <c r="A468" s="5" t="n"/>
      <c r="B468" s="5" t="n"/>
      <c r="C468" s="5" t="n"/>
      <c r="D468" s="5" t="n"/>
      <c r="E468" s="5" t="n"/>
      <c r="F468" s="8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8" t="n"/>
      <c r="Q468" s="5" t="n"/>
    </row>
    <row r="469">
      <c r="A469" s="5" t="n"/>
      <c r="B469" s="5" t="n"/>
      <c r="C469" s="5" t="n"/>
      <c r="D469" s="5" t="n"/>
      <c r="E469" s="5" t="n"/>
      <c r="F469" s="8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8" t="n"/>
      <c r="Q469" s="5" t="n"/>
    </row>
    <row r="470">
      <c r="A470" s="5" t="n"/>
      <c r="B470" s="5" t="n"/>
      <c r="C470" s="5" t="n"/>
      <c r="D470" s="5" t="n"/>
      <c r="E470" s="5" t="n"/>
      <c r="F470" s="8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8" t="n"/>
      <c r="Q470" s="5" t="n"/>
    </row>
    <row r="471">
      <c r="A471" s="5" t="n"/>
      <c r="B471" s="5" t="n"/>
      <c r="C471" s="5" t="n"/>
      <c r="D471" s="5" t="n"/>
      <c r="E471" s="5" t="n"/>
      <c r="F471" s="8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8" t="n"/>
      <c r="Q471" s="5" t="n"/>
    </row>
    <row r="472">
      <c r="A472" s="5" t="n"/>
      <c r="B472" s="5" t="n"/>
      <c r="C472" s="5" t="n"/>
      <c r="D472" s="5" t="n"/>
      <c r="E472" s="5" t="n"/>
      <c r="F472" s="8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8" t="n"/>
      <c r="Q472" s="5" t="n"/>
    </row>
    <row r="473">
      <c r="A473" s="5" t="n"/>
      <c r="B473" s="5" t="n"/>
      <c r="C473" s="5" t="n"/>
      <c r="D473" s="5" t="n"/>
      <c r="E473" s="5" t="n"/>
      <c r="F473" s="8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8" t="n"/>
      <c r="Q473" s="5" t="n"/>
    </row>
    <row r="474">
      <c r="A474" s="5" t="n"/>
      <c r="B474" s="5" t="n"/>
      <c r="C474" s="5" t="n"/>
      <c r="D474" s="5" t="n"/>
      <c r="E474" s="5" t="n"/>
      <c r="F474" s="8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8" t="n"/>
      <c r="Q474" s="5" t="n"/>
    </row>
    <row r="475">
      <c r="A475" s="5" t="n"/>
      <c r="B475" s="5" t="n"/>
      <c r="C475" s="5" t="n"/>
      <c r="D475" s="5" t="n"/>
      <c r="E475" s="5" t="n"/>
      <c r="F475" s="8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8" t="n"/>
      <c r="Q475" s="5" t="n"/>
    </row>
    <row r="476">
      <c r="A476" s="5" t="n"/>
      <c r="B476" s="5" t="n"/>
      <c r="C476" s="5" t="n"/>
      <c r="D476" s="5" t="n"/>
      <c r="E476" s="5" t="n"/>
      <c r="F476" s="8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8" t="n"/>
      <c r="Q476" s="5" t="n"/>
    </row>
    <row r="477">
      <c r="A477" s="5" t="n"/>
      <c r="B477" s="5" t="n"/>
      <c r="C477" s="5" t="n"/>
      <c r="D477" s="5" t="n"/>
      <c r="E477" s="5" t="n"/>
      <c r="F477" s="8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8" t="n"/>
      <c r="Q477" s="5" t="n"/>
    </row>
    <row r="478">
      <c r="A478" s="5" t="n"/>
      <c r="B478" s="5" t="n"/>
      <c r="C478" s="5" t="n"/>
      <c r="D478" s="5" t="n"/>
      <c r="E478" s="5" t="n"/>
      <c r="F478" s="8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8" t="n"/>
      <c r="Q478" s="5" t="n"/>
    </row>
    <row r="479">
      <c r="A479" s="5" t="n"/>
      <c r="B479" s="5" t="n"/>
      <c r="C479" s="5" t="n"/>
      <c r="D479" s="5" t="n"/>
      <c r="E479" s="5" t="n"/>
      <c r="F479" s="8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8" t="n"/>
      <c r="Q479" s="5" t="n"/>
    </row>
    <row r="480">
      <c r="A480" s="5" t="n"/>
      <c r="B480" s="5" t="n"/>
      <c r="C480" s="5" t="n"/>
      <c r="D480" s="5" t="n"/>
      <c r="E480" s="5" t="n"/>
      <c r="F480" s="8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8" t="n"/>
      <c r="Q480" s="5" t="n"/>
    </row>
    <row r="481">
      <c r="A481" s="5" t="n"/>
      <c r="B481" s="5" t="n"/>
      <c r="C481" s="5" t="n"/>
      <c r="D481" s="5" t="n"/>
      <c r="E481" s="5" t="n"/>
      <c r="F481" s="8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8" t="n"/>
      <c r="Q481" s="5" t="n"/>
    </row>
    <row r="482">
      <c r="A482" s="5" t="n"/>
      <c r="B482" s="5" t="n"/>
      <c r="C482" s="5" t="n"/>
      <c r="D482" s="5" t="n"/>
      <c r="E482" s="5" t="n"/>
      <c r="F482" s="8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8" t="n"/>
      <c r="Q482" s="5" t="n"/>
    </row>
    <row r="483">
      <c r="A483" s="5" t="n"/>
      <c r="B483" s="5" t="n"/>
      <c r="C483" s="5" t="n"/>
      <c r="D483" s="5" t="n"/>
      <c r="E483" s="5" t="n"/>
      <c r="F483" s="8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8" t="n"/>
      <c r="Q483" s="5" t="n"/>
    </row>
    <row r="484">
      <c r="A484" s="5" t="n"/>
      <c r="B484" s="5" t="n"/>
      <c r="C484" s="5" t="n"/>
      <c r="D484" s="5" t="n"/>
      <c r="E484" s="5" t="n"/>
      <c r="F484" s="8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8" t="n"/>
      <c r="Q484" s="5" t="n"/>
    </row>
    <row r="485">
      <c r="A485" s="5" t="n"/>
      <c r="B485" s="5" t="n"/>
      <c r="C485" s="5" t="n"/>
      <c r="D485" s="5" t="n"/>
      <c r="E485" s="5" t="n"/>
      <c r="F485" s="8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8" t="n"/>
      <c r="Q485" s="5" t="n"/>
    </row>
    <row r="486">
      <c r="A486" s="5" t="n"/>
      <c r="B486" s="5" t="n"/>
      <c r="C486" s="5" t="n"/>
      <c r="D486" s="5" t="n"/>
      <c r="E486" s="5" t="n"/>
      <c r="F486" s="8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8" t="n"/>
      <c r="Q486" s="5" t="n"/>
    </row>
    <row r="487">
      <c r="A487" s="5" t="n"/>
      <c r="B487" s="5" t="n"/>
      <c r="C487" s="5" t="n"/>
      <c r="D487" s="5" t="n"/>
      <c r="E487" s="5" t="n"/>
      <c r="F487" s="8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8" t="n"/>
      <c r="Q487" s="5" t="n"/>
    </row>
    <row r="488">
      <c r="A488" s="5" t="n"/>
      <c r="B488" s="5" t="n"/>
      <c r="C488" s="5" t="n"/>
      <c r="D488" s="5" t="n"/>
      <c r="E488" s="5" t="n"/>
      <c r="F488" s="8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8" t="n"/>
      <c r="Q488" s="5" t="n"/>
    </row>
    <row r="489">
      <c r="A489" s="5" t="n"/>
      <c r="B489" s="5" t="n"/>
      <c r="C489" s="5" t="n"/>
      <c r="D489" s="5" t="n"/>
      <c r="E489" s="5" t="n"/>
      <c r="F489" s="8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8" t="n"/>
      <c r="Q489" s="5" t="n"/>
    </row>
    <row r="490">
      <c r="A490" s="5" t="n"/>
      <c r="B490" s="5" t="n"/>
      <c r="C490" s="5" t="n"/>
      <c r="D490" s="5" t="n"/>
      <c r="E490" s="5" t="n"/>
      <c r="F490" s="8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8" t="n"/>
      <c r="Q490" s="5" t="n"/>
    </row>
    <row r="491">
      <c r="A491" s="5" t="n"/>
      <c r="B491" s="5" t="n"/>
      <c r="C491" s="5" t="n"/>
      <c r="D491" s="5" t="n"/>
      <c r="E491" s="5" t="n"/>
      <c r="F491" s="8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8" t="n"/>
      <c r="Q491" s="5" t="n"/>
    </row>
    <row r="492">
      <c r="A492" s="5" t="n"/>
      <c r="B492" s="5" t="n"/>
      <c r="C492" s="5" t="n"/>
      <c r="D492" s="5" t="n"/>
      <c r="E492" s="5" t="n"/>
      <c r="F492" s="8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8" t="n"/>
      <c r="Q492" s="5" t="n"/>
    </row>
    <row r="493">
      <c r="A493" s="5" t="n"/>
      <c r="B493" s="5" t="n"/>
      <c r="C493" s="5" t="n"/>
      <c r="D493" s="5" t="n"/>
      <c r="E493" s="5" t="n"/>
      <c r="F493" s="8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8" t="n"/>
      <c r="Q493" s="5" t="n"/>
    </row>
    <row r="494">
      <c r="A494" s="5" t="n"/>
      <c r="B494" s="5" t="n"/>
      <c r="C494" s="5" t="n"/>
      <c r="D494" s="5" t="n"/>
      <c r="E494" s="5" t="n"/>
      <c r="F494" s="8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8" t="n"/>
      <c r="Q494" s="5" t="n"/>
    </row>
    <row r="495">
      <c r="A495" s="5" t="n"/>
      <c r="B495" s="5" t="n"/>
      <c r="C495" s="5" t="n"/>
      <c r="D495" s="5" t="n"/>
      <c r="E495" s="5" t="n"/>
      <c r="F495" s="8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8" t="n"/>
      <c r="Q495" s="5" t="n"/>
    </row>
    <row r="496">
      <c r="A496" s="5" t="n"/>
      <c r="B496" s="5" t="n"/>
      <c r="C496" s="5" t="n"/>
      <c r="D496" s="5" t="n"/>
      <c r="E496" s="5" t="n"/>
      <c r="F496" s="8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8" t="n"/>
      <c r="Q496" s="5" t="n"/>
    </row>
    <row r="497">
      <c r="A497" s="5" t="n"/>
      <c r="B497" s="5" t="n"/>
      <c r="C497" s="5" t="n"/>
      <c r="D497" s="5" t="n"/>
      <c r="E497" s="5" t="n"/>
      <c r="F497" s="8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8" t="n"/>
      <c r="Q497" s="5" t="n"/>
    </row>
    <row r="498">
      <c r="A498" s="5" t="n"/>
      <c r="B498" s="5" t="n"/>
      <c r="C498" s="5" t="n"/>
      <c r="D498" s="5" t="n"/>
      <c r="E498" s="5" t="n"/>
      <c r="F498" s="8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8" t="n"/>
      <c r="Q498" s="5" t="n"/>
    </row>
    <row r="499">
      <c r="A499" s="5" t="n"/>
      <c r="B499" s="5" t="n"/>
      <c r="C499" s="5" t="n"/>
      <c r="D499" s="5" t="n"/>
      <c r="E499" s="5" t="n"/>
      <c r="F499" s="8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8" t="n"/>
      <c r="Q499" s="5" t="n"/>
    </row>
    <row r="500">
      <c r="A500" s="5" t="n"/>
      <c r="B500" s="5" t="n"/>
      <c r="C500" s="5" t="n"/>
      <c r="D500" s="5" t="n"/>
      <c r="E500" s="5" t="n"/>
      <c r="F500" s="8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8" t="n"/>
      <c r="Q500" s="5" t="n"/>
    </row>
    <row r="501">
      <c r="A501" s="5" t="n"/>
      <c r="B501" s="5" t="n"/>
      <c r="C501" s="5" t="n"/>
      <c r="D501" s="5" t="n"/>
      <c r="E501" s="5" t="n"/>
      <c r="F501" s="8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8" t="n"/>
      <c r="Q501" s="5" t="n"/>
    </row>
    <row r="502">
      <c r="A502" s="5" t="n"/>
      <c r="B502" s="5" t="n"/>
      <c r="C502" s="5" t="n"/>
      <c r="D502" s="5" t="n"/>
      <c r="E502" s="5" t="n"/>
      <c r="F502" s="8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8" t="n"/>
      <c r="Q502" s="5" t="n"/>
    </row>
    <row r="503">
      <c r="A503" s="5" t="n"/>
      <c r="B503" s="5" t="n"/>
      <c r="C503" s="5" t="n"/>
      <c r="D503" s="5" t="n"/>
      <c r="E503" s="5" t="n"/>
      <c r="F503" s="8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8" t="n"/>
      <c r="Q503" s="5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D9ED6"/>
    <outlinePr summaryBelow="1" summaryRight="1"/>
    <pageSetUpPr/>
  </sheetPr>
  <dimension ref="A1:K5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34" customWidth="1" min="11" max="11"/>
  </cols>
  <sheetData>
    <row r="1">
      <c r="A1" s="1" t="inlineStr">
        <is>
          <t>DEE CLEANERS — HOUSEHELP PAYMENTS</t>
        </is>
      </c>
    </row>
    <row r="2">
      <c r="A2" s="2" t="inlineStr">
        <is>
          <t>Use the app to add and edit records. IDs are assigned automatically.</t>
        </is>
      </c>
    </row>
    <row r="3">
      <c r="A3" s="10" t="inlineStr">
        <is>
          <t>Payment ID</t>
        </is>
      </c>
      <c r="B3" s="10" t="inlineStr">
        <is>
          <t>Househelp ID</t>
        </is>
      </c>
      <c r="C3" s="10" t="inlineStr">
        <is>
          <t>Employer ID</t>
        </is>
      </c>
      <c r="D3" s="10" t="inlineStr">
        <is>
          <t>Placement ID</t>
        </is>
      </c>
      <c r="E3" s="10" t="inlineStr">
        <is>
          <t>Payment Date</t>
        </is>
      </c>
      <c r="F3" s="10" t="inlineStr">
        <is>
          <t>Period</t>
        </is>
      </c>
      <c r="G3" s="10" t="inlineStr">
        <is>
          <t>Amount</t>
        </is>
      </c>
      <c r="H3" s="10" t="inlineStr">
        <is>
          <t>Payment Method</t>
        </is>
      </c>
      <c r="I3" s="10" t="inlineStr">
        <is>
          <t>Status</t>
        </is>
      </c>
      <c r="J3" s="10" t="inlineStr">
        <is>
          <t>Reference</t>
        </is>
      </c>
      <c r="K3" s="10" t="inlineStr">
        <is>
          <t>Notes</t>
        </is>
      </c>
    </row>
    <row r="4">
      <c r="A4" s="5" t="n"/>
      <c r="B4" s="5" t="n"/>
      <c r="C4" s="5" t="n"/>
      <c r="D4" s="5" t="n"/>
      <c r="E4" s="5" t="n"/>
      <c r="F4" s="5" t="n"/>
      <c r="G4" s="8" t="n"/>
      <c r="H4" s="5" t="n"/>
      <c r="I4" s="5" t="n"/>
      <c r="J4" s="5" t="n"/>
      <c r="K4" s="5" t="n"/>
    </row>
    <row r="5">
      <c r="A5" s="5" t="n"/>
      <c r="B5" s="5" t="n"/>
      <c r="C5" s="5" t="n"/>
      <c r="D5" s="5" t="n"/>
      <c r="E5" s="5" t="n"/>
      <c r="F5" s="5" t="n"/>
      <c r="G5" s="8" t="n"/>
      <c r="H5" s="5" t="n"/>
      <c r="I5" s="5" t="n"/>
      <c r="J5" s="5" t="n"/>
      <c r="K5" s="5" t="n"/>
    </row>
    <row r="6">
      <c r="A6" s="5" t="n"/>
      <c r="B6" s="5" t="n"/>
      <c r="C6" s="5" t="n"/>
      <c r="D6" s="5" t="n"/>
      <c r="E6" s="5" t="n"/>
      <c r="F6" s="5" t="n"/>
      <c r="G6" s="8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8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8" t="n"/>
      <c r="H8" s="5" t="n"/>
      <c r="I8" s="5" t="n"/>
      <c r="J8" s="5" t="n"/>
      <c r="K8" s="5" t="n"/>
    </row>
    <row r="9">
      <c r="A9" s="5" t="n"/>
      <c r="B9" s="5" t="n"/>
      <c r="C9" s="5" t="n"/>
      <c r="D9" s="5" t="n"/>
      <c r="E9" s="5" t="n"/>
      <c r="F9" s="5" t="n"/>
      <c r="G9" s="8" t="n"/>
      <c r="H9" s="5" t="n"/>
      <c r="I9" s="5" t="n"/>
      <c r="J9" s="5" t="n"/>
      <c r="K9" s="5" t="n"/>
    </row>
    <row r="10">
      <c r="A10" s="5" t="n"/>
      <c r="B10" s="5" t="n"/>
      <c r="C10" s="5" t="n"/>
      <c r="D10" s="5" t="n"/>
      <c r="E10" s="5" t="n"/>
      <c r="F10" s="5" t="n"/>
      <c r="G10" s="8" t="n"/>
      <c r="H10" s="5" t="n"/>
      <c r="I10" s="5" t="n"/>
      <c r="J10" s="5" t="n"/>
      <c r="K10" s="5" t="n"/>
    </row>
    <row r="11">
      <c r="A11" s="5" t="n"/>
      <c r="B11" s="5" t="n"/>
      <c r="C11" s="5" t="n"/>
      <c r="D11" s="5" t="n"/>
      <c r="E11" s="5" t="n"/>
      <c r="F11" s="5" t="n"/>
      <c r="G11" s="8" t="n"/>
      <c r="H11" s="5" t="n"/>
      <c r="I11" s="5" t="n"/>
      <c r="J11" s="5" t="n"/>
      <c r="K11" s="5" t="n"/>
    </row>
    <row r="12">
      <c r="A12" s="5" t="n"/>
      <c r="B12" s="5" t="n"/>
      <c r="C12" s="5" t="n"/>
      <c r="D12" s="5" t="n"/>
      <c r="E12" s="5" t="n"/>
      <c r="F12" s="5" t="n"/>
      <c r="G12" s="8" t="n"/>
      <c r="H12" s="5" t="n"/>
      <c r="I12" s="5" t="n"/>
      <c r="J12" s="5" t="n"/>
      <c r="K12" s="5" t="n"/>
    </row>
    <row r="13">
      <c r="A13" s="5" t="n"/>
      <c r="B13" s="5" t="n"/>
      <c r="C13" s="5" t="n"/>
      <c r="D13" s="5" t="n"/>
      <c r="E13" s="5" t="n"/>
      <c r="F13" s="5" t="n"/>
      <c r="G13" s="8" t="n"/>
      <c r="H13" s="5" t="n"/>
      <c r="I13" s="5" t="n"/>
      <c r="J13" s="5" t="n"/>
      <c r="K13" s="5" t="n"/>
    </row>
    <row r="14">
      <c r="A14" s="5" t="n"/>
      <c r="B14" s="5" t="n"/>
      <c r="C14" s="5" t="n"/>
      <c r="D14" s="5" t="n"/>
      <c r="E14" s="5" t="n"/>
      <c r="F14" s="5" t="n"/>
      <c r="G14" s="8" t="n"/>
      <c r="H14" s="5" t="n"/>
      <c r="I14" s="5" t="n"/>
      <c r="J14" s="5" t="n"/>
      <c r="K14" s="5" t="n"/>
    </row>
    <row r="15">
      <c r="A15" s="5" t="n"/>
      <c r="B15" s="5" t="n"/>
      <c r="C15" s="5" t="n"/>
      <c r="D15" s="5" t="n"/>
      <c r="E15" s="5" t="n"/>
      <c r="F15" s="5" t="n"/>
      <c r="G15" s="8" t="n"/>
      <c r="H15" s="5" t="n"/>
      <c r="I15" s="5" t="n"/>
      <c r="J15" s="5" t="n"/>
      <c r="K15" s="5" t="n"/>
    </row>
    <row r="16">
      <c r="A16" s="5" t="n"/>
      <c r="B16" s="5" t="n"/>
      <c r="C16" s="5" t="n"/>
      <c r="D16" s="5" t="n"/>
      <c r="E16" s="5" t="n"/>
      <c r="F16" s="5" t="n"/>
      <c r="G16" s="8" t="n"/>
      <c r="H16" s="5" t="n"/>
      <c r="I16" s="5" t="n"/>
      <c r="J16" s="5" t="n"/>
      <c r="K16" s="5" t="n"/>
    </row>
    <row r="17">
      <c r="A17" s="5" t="n"/>
      <c r="B17" s="5" t="n"/>
      <c r="C17" s="5" t="n"/>
      <c r="D17" s="5" t="n"/>
      <c r="E17" s="5" t="n"/>
      <c r="F17" s="5" t="n"/>
      <c r="G17" s="8" t="n"/>
      <c r="H17" s="5" t="n"/>
      <c r="I17" s="5" t="n"/>
      <c r="J17" s="5" t="n"/>
      <c r="K17" s="5" t="n"/>
    </row>
    <row r="18">
      <c r="A18" s="5" t="n"/>
      <c r="B18" s="5" t="n"/>
      <c r="C18" s="5" t="n"/>
      <c r="D18" s="5" t="n"/>
      <c r="E18" s="5" t="n"/>
      <c r="F18" s="5" t="n"/>
      <c r="G18" s="8" t="n"/>
      <c r="H18" s="5" t="n"/>
      <c r="I18" s="5" t="n"/>
      <c r="J18" s="5" t="n"/>
      <c r="K18" s="5" t="n"/>
    </row>
    <row r="19">
      <c r="A19" s="5" t="n"/>
      <c r="B19" s="5" t="n"/>
      <c r="C19" s="5" t="n"/>
      <c r="D19" s="5" t="n"/>
      <c r="E19" s="5" t="n"/>
      <c r="F19" s="5" t="n"/>
      <c r="G19" s="8" t="n"/>
      <c r="H19" s="5" t="n"/>
      <c r="I19" s="5" t="n"/>
      <c r="J19" s="5" t="n"/>
      <c r="K19" s="5" t="n"/>
    </row>
    <row r="20">
      <c r="A20" s="5" t="n"/>
      <c r="B20" s="5" t="n"/>
      <c r="C20" s="5" t="n"/>
      <c r="D20" s="5" t="n"/>
      <c r="E20" s="5" t="n"/>
      <c r="F20" s="5" t="n"/>
      <c r="G20" s="8" t="n"/>
      <c r="H20" s="5" t="n"/>
      <c r="I20" s="5" t="n"/>
      <c r="J20" s="5" t="n"/>
      <c r="K20" s="5" t="n"/>
    </row>
    <row r="21">
      <c r="A21" s="5" t="n"/>
      <c r="B21" s="5" t="n"/>
      <c r="C21" s="5" t="n"/>
      <c r="D21" s="5" t="n"/>
      <c r="E21" s="5" t="n"/>
      <c r="F21" s="5" t="n"/>
      <c r="G21" s="8" t="n"/>
      <c r="H21" s="5" t="n"/>
      <c r="I21" s="5" t="n"/>
      <c r="J21" s="5" t="n"/>
      <c r="K21" s="5" t="n"/>
    </row>
    <row r="22">
      <c r="A22" s="5" t="n"/>
      <c r="B22" s="5" t="n"/>
      <c r="C22" s="5" t="n"/>
      <c r="D22" s="5" t="n"/>
      <c r="E22" s="5" t="n"/>
      <c r="F22" s="5" t="n"/>
      <c r="G22" s="8" t="n"/>
      <c r="H22" s="5" t="n"/>
      <c r="I22" s="5" t="n"/>
      <c r="J22" s="5" t="n"/>
      <c r="K22" s="5" t="n"/>
    </row>
    <row r="23">
      <c r="A23" s="5" t="n"/>
      <c r="B23" s="5" t="n"/>
      <c r="C23" s="5" t="n"/>
      <c r="D23" s="5" t="n"/>
      <c r="E23" s="5" t="n"/>
      <c r="F23" s="5" t="n"/>
      <c r="G23" s="8" t="n"/>
      <c r="H23" s="5" t="n"/>
      <c r="I23" s="5" t="n"/>
      <c r="J23" s="5" t="n"/>
      <c r="K23" s="5" t="n"/>
    </row>
    <row r="24">
      <c r="A24" s="5" t="n"/>
      <c r="B24" s="5" t="n"/>
      <c r="C24" s="5" t="n"/>
      <c r="D24" s="5" t="n"/>
      <c r="E24" s="5" t="n"/>
      <c r="F24" s="5" t="n"/>
      <c r="G24" s="8" t="n"/>
      <c r="H24" s="5" t="n"/>
      <c r="I24" s="5" t="n"/>
      <c r="J24" s="5" t="n"/>
      <c r="K24" s="5" t="n"/>
    </row>
    <row r="25">
      <c r="A25" s="5" t="n"/>
      <c r="B25" s="5" t="n"/>
      <c r="C25" s="5" t="n"/>
      <c r="D25" s="5" t="n"/>
      <c r="E25" s="5" t="n"/>
      <c r="F25" s="5" t="n"/>
      <c r="G25" s="8" t="n"/>
      <c r="H25" s="5" t="n"/>
      <c r="I25" s="5" t="n"/>
      <c r="J25" s="5" t="n"/>
      <c r="K25" s="5" t="n"/>
    </row>
    <row r="26">
      <c r="A26" s="5" t="n"/>
      <c r="B26" s="5" t="n"/>
      <c r="C26" s="5" t="n"/>
      <c r="D26" s="5" t="n"/>
      <c r="E26" s="5" t="n"/>
      <c r="F26" s="5" t="n"/>
      <c r="G26" s="8" t="n"/>
      <c r="H26" s="5" t="n"/>
      <c r="I26" s="5" t="n"/>
      <c r="J26" s="5" t="n"/>
      <c r="K26" s="5" t="n"/>
    </row>
    <row r="27">
      <c r="A27" s="5" t="n"/>
      <c r="B27" s="5" t="n"/>
      <c r="C27" s="5" t="n"/>
      <c r="D27" s="5" t="n"/>
      <c r="E27" s="5" t="n"/>
      <c r="F27" s="5" t="n"/>
      <c r="G27" s="8" t="n"/>
      <c r="H27" s="5" t="n"/>
      <c r="I27" s="5" t="n"/>
      <c r="J27" s="5" t="n"/>
      <c r="K27" s="5" t="n"/>
    </row>
    <row r="28">
      <c r="A28" s="5" t="n"/>
      <c r="B28" s="5" t="n"/>
      <c r="C28" s="5" t="n"/>
      <c r="D28" s="5" t="n"/>
      <c r="E28" s="5" t="n"/>
      <c r="F28" s="5" t="n"/>
      <c r="G28" s="8" t="n"/>
      <c r="H28" s="5" t="n"/>
      <c r="I28" s="5" t="n"/>
      <c r="J28" s="5" t="n"/>
      <c r="K28" s="5" t="n"/>
    </row>
    <row r="29">
      <c r="A29" s="5" t="n"/>
      <c r="B29" s="5" t="n"/>
      <c r="C29" s="5" t="n"/>
      <c r="D29" s="5" t="n"/>
      <c r="E29" s="5" t="n"/>
      <c r="F29" s="5" t="n"/>
      <c r="G29" s="8" t="n"/>
      <c r="H29" s="5" t="n"/>
      <c r="I29" s="5" t="n"/>
      <c r="J29" s="5" t="n"/>
      <c r="K29" s="5" t="n"/>
    </row>
    <row r="30">
      <c r="A30" s="5" t="n"/>
      <c r="B30" s="5" t="n"/>
      <c r="C30" s="5" t="n"/>
      <c r="D30" s="5" t="n"/>
      <c r="E30" s="5" t="n"/>
      <c r="F30" s="5" t="n"/>
      <c r="G30" s="8" t="n"/>
      <c r="H30" s="5" t="n"/>
      <c r="I30" s="5" t="n"/>
      <c r="J30" s="5" t="n"/>
      <c r="K30" s="5" t="n"/>
    </row>
    <row r="31">
      <c r="A31" s="5" t="n"/>
      <c r="B31" s="5" t="n"/>
      <c r="C31" s="5" t="n"/>
      <c r="D31" s="5" t="n"/>
      <c r="E31" s="5" t="n"/>
      <c r="F31" s="5" t="n"/>
      <c r="G31" s="8" t="n"/>
      <c r="H31" s="5" t="n"/>
      <c r="I31" s="5" t="n"/>
      <c r="J31" s="5" t="n"/>
      <c r="K31" s="5" t="n"/>
    </row>
    <row r="32">
      <c r="A32" s="5" t="n"/>
      <c r="B32" s="5" t="n"/>
      <c r="C32" s="5" t="n"/>
      <c r="D32" s="5" t="n"/>
      <c r="E32" s="5" t="n"/>
      <c r="F32" s="5" t="n"/>
      <c r="G32" s="8" t="n"/>
      <c r="H32" s="5" t="n"/>
      <c r="I32" s="5" t="n"/>
      <c r="J32" s="5" t="n"/>
      <c r="K32" s="5" t="n"/>
    </row>
    <row r="33">
      <c r="A33" s="5" t="n"/>
      <c r="B33" s="5" t="n"/>
      <c r="C33" s="5" t="n"/>
      <c r="D33" s="5" t="n"/>
      <c r="E33" s="5" t="n"/>
      <c r="F33" s="5" t="n"/>
      <c r="G33" s="8" t="n"/>
      <c r="H33" s="5" t="n"/>
      <c r="I33" s="5" t="n"/>
      <c r="J33" s="5" t="n"/>
      <c r="K33" s="5" t="n"/>
    </row>
    <row r="34">
      <c r="A34" s="5" t="n"/>
      <c r="B34" s="5" t="n"/>
      <c r="C34" s="5" t="n"/>
      <c r="D34" s="5" t="n"/>
      <c r="E34" s="5" t="n"/>
      <c r="F34" s="5" t="n"/>
      <c r="G34" s="8" t="n"/>
      <c r="H34" s="5" t="n"/>
      <c r="I34" s="5" t="n"/>
      <c r="J34" s="5" t="n"/>
      <c r="K34" s="5" t="n"/>
    </row>
    <row r="35">
      <c r="A35" s="5" t="n"/>
      <c r="B35" s="5" t="n"/>
      <c r="C35" s="5" t="n"/>
      <c r="D35" s="5" t="n"/>
      <c r="E35" s="5" t="n"/>
      <c r="F35" s="5" t="n"/>
      <c r="G35" s="8" t="n"/>
      <c r="H35" s="5" t="n"/>
      <c r="I35" s="5" t="n"/>
      <c r="J35" s="5" t="n"/>
      <c r="K35" s="5" t="n"/>
    </row>
    <row r="36">
      <c r="A36" s="5" t="n"/>
      <c r="B36" s="5" t="n"/>
      <c r="C36" s="5" t="n"/>
      <c r="D36" s="5" t="n"/>
      <c r="E36" s="5" t="n"/>
      <c r="F36" s="5" t="n"/>
      <c r="G36" s="8" t="n"/>
      <c r="H36" s="5" t="n"/>
      <c r="I36" s="5" t="n"/>
      <c r="J36" s="5" t="n"/>
      <c r="K36" s="5" t="n"/>
    </row>
    <row r="37">
      <c r="A37" s="5" t="n"/>
      <c r="B37" s="5" t="n"/>
      <c r="C37" s="5" t="n"/>
      <c r="D37" s="5" t="n"/>
      <c r="E37" s="5" t="n"/>
      <c r="F37" s="5" t="n"/>
      <c r="G37" s="8" t="n"/>
      <c r="H37" s="5" t="n"/>
      <c r="I37" s="5" t="n"/>
      <c r="J37" s="5" t="n"/>
      <c r="K37" s="5" t="n"/>
    </row>
    <row r="38">
      <c r="A38" s="5" t="n"/>
      <c r="B38" s="5" t="n"/>
      <c r="C38" s="5" t="n"/>
      <c r="D38" s="5" t="n"/>
      <c r="E38" s="5" t="n"/>
      <c r="F38" s="5" t="n"/>
      <c r="G38" s="8" t="n"/>
      <c r="H38" s="5" t="n"/>
      <c r="I38" s="5" t="n"/>
      <c r="J38" s="5" t="n"/>
      <c r="K38" s="5" t="n"/>
    </row>
    <row r="39">
      <c r="A39" s="5" t="n"/>
      <c r="B39" s="5" t="n"/>
      <c r="C39" s="5" t="n"/>
      <c r="D39" s="5" t="n"/>
      <c r="E39" s="5" t="n"/>
      <c r="F39" s="5" t="n"/>
      <c r="G39" s="8" t="n"/>
      <c r="H39" s="5" t="n"/>
      <c r="I39" s="5" t="n"/>
      <c r="J39" s="5" t="n"/>
      <c r="K39" s="5" t="n"/>
    </row>
    <row r="40">
      <c r="A40" s="5" t="n"/>
      <c r="B40" s="5" t="n"/>
      <c r="C40" s="5" t="n"/>
      <c r="D40" s="5" t="n"/>
      <c r="E40" s="5" t="n"/>
      <c r="F40" s="5" t="n"/>
      <c r="G40" s="8" t="n"/>
      <c r="H40" s="5" t="n"/>
      <c r="I40" s="5" t="n"/>
      <c r="J40" s="5" t="n"/>
      <c r="K40" s="5" t="n"/>
    </row>
    <row r="41">
      <c r="A41" s="5" t="n"/>
      <c r="B41" s="5" t="n"/>
      <c r="C41" s="5" t="n"/>
      <c r="D41" s="5" t="n"/>
      <c r="E41" s="5" t="n"/>
      <c r="F41" s="5" t="n"/>
      <c r="G41" s="8" t="n"/>
      <c r="H41" s="5" t="n"/>
      <c r="I41" s="5" t="n"/>
      <c r="J41" s="5" t="n"/>
      <c r="K41" s="5" t="n"/>
    </row>
    <row r="42">
      <c r="A42" s="5" t="n"/>
      <c r="B42" s="5" t="n"/>
      <c r="C42" s="5" t="n"/>
      <c r="D42" s="5" t="n"/>
      <c r="E42" s="5" t="n"/>
      <c r="F42" s="5" t="n"/>
      <c r="G42" s="8" t="n"/>
      <c r="H42" s="5" t="n"/>
      <c r="I42" s="5" t="n"/>
      <c r="J42" s="5" t="n"/>
      <c r="K42" s="5" t="n"/>
    </row>
    <row r="43">
      <c r="A43" s="5" t="n"/>
      <c r="B43" s="5" t="n"/>
      <c r="C43" s="5" t="n"/>
      <c r="D43" s="5" t="n"/>
      <c r="E43" s="5" t="n"/>
      <c r="F43" s="5" t="n"/>
      <c r="G43" s="8" t="n"/>
      <c r="H43" s="5" t="n"/>
      <c r="I43" s="5" t="n"/>
      <c r="J43" s="5" t="n"/>
      <c r="K43" s="5" t="n"/>
    </row>
    <row r="44">
      <c r="A44" s="5" t="n"/>
      <c r="B44" s="5" t="n"/>
      <c r="C44" s="5" t="n"/>
      <c r="D44" s="5" t="n"/>
      <c r="E44" s="5" t="n"/>
      <c r="F44" s="5" t="n"/>
      <c r="G44" s="8" t="n"/>
      <c r="H44" s="5" t="n"/>
      <c r="I44" s="5" t="n"/>
      <c r="J44" s="5" t="n"/>
      <c r="K44" s="5" t="n"/>
    </row>
    <row r="45">
      <c r="A45" s="5" t="n"/>
      <c r="B45" s="5" t="n"/>
      <c r="C45" s="5" t="n"/>
      <c r="D45" s="5" t="n"/>
      <c r="E45" s="5" t="n"/>
      <c r="F45" s="5" t="n"/>
      <c r="G45" s="8" t="n"/>
      <c r="H45" s="5" t="n"/>
      <c r="I45" s="5" t="n"/>
      <c r="J45" s="5" t="n"/>
      <c r="K45" s="5" t="n"/>
    </row>
    <row r="46">
      <c r="A46" s="5" t="n"/>
      <c r="B46" s="5" t="n"/>
      <c r="C46" s="5" t="n"/>
      <c r="D46" s="5" t="n"/>
      <c r="E46" s="5" t="n"/>
      <c r="F46" s="5" t="n"/>
      <c r="G46" s="8" t="n"/>
      <c r="H46" s="5" t="n"/>
      <c r="I46" s="5" t="n"/>
      <c r="J46" s="5" t="n"/>
      <c r="K46" s="5" t="n"/>
    </row>
    <row r="47">
      <c r="A47" s="5" t="n"/>
      <c r="B47" s="5" t="n"/>
      <c r="C47" s="5" t="n"/>
      <c r="D47" s="5" t="n"/>
      <c r="E47" s="5" t="n"/>
      <c r="F47" s="5" t="n"/>
      <c r="G47" s="8" t="n"/>
      <c r="H47" s="5" t="n"/>
      <c r="I47" s="5" t="n"/>
      <c r="J47" s="5" t="n"/>
      <c r="K47" s="5" t="n"/>
    </row>
    <row r="48">
      <c r="A48" s="5" t="n"/>
      <c r="B48" s="5" t="n"/>
      <c r="C48" s="5" t="n"/>
      <c r="D48" s="5" t="n"/>
      <c r="E48" s="5" t="n"/>
      <c r="F48" s="5" t="n"/>
      <c r="G48" s="8" t="n"/>
      <c r="H48" s="5" t="n"/>
      <c r="I48" s="5" t="n"/>
      <c r="J48" s="5" t="n"/>
      <c r="K48" s="5" t="n"/>
    </row>
    <row r="49">
      <c r="A49" s="5" t="n"/>
      <c r="B49" s="5" t="n"/>
      <c r="C49" s="5" t="n"/>
      <c r="D49" s="5" t="n"/>
      <c r="E49" s="5" t="n"/>
      <c r="F49" s="5" t="n"/>
      <c r="G49" s="8" t="n"/>
      <c r="H49" s="5" t="n"/>
      <c r="I49" s="5" t="n"/>
      <c r="J49" s="5" t="n"/>
      <c r="K49" s="5" t="n"/>
    </row>
    <row r="50">
      <c r="A50" s="5" t="n"/>
      <c r="B50" s="5" t="n"/>
      <c r="C50" s="5" t="n"/>
      <c r="D50" s="5" t="n"/>
      <c r="E50" s="5" t="n"/>
      <c r="F50" s="5" t="n"/>
      <c r="G50" s="8" t="n"/>
      <c r="H50" s="5" t="n"/>
      <c r="I50" s="5" t="n"/>
      <c r="J50" s="5" t="n"/>
      <c r="K50" s="5" t="n"/>
    </row>
    <row r="51">
      <c r="A51" s="5" t="n"/>
      <c r="B51" s="5" t="n"/>
      <c r="C51" s="5" t="n"/>
      <c r="D51" s="5" t="n"/>
      <c r="E51" s="5" t="n"/>
      <c r="F51" s="5" t="n"/>
      <c r="G51" s="8" t="n"/>
      <c r="H51" s="5" t="n"/>
      <c r="I51" s="5" t="n"/>
      <c r="J51" s="5" t="n"/>
      <c r="K51" s="5" t="n"/>
    </row>
    <row r="52">
      <c r="A52" s="5" t="n"/>
      <c r="B52" s="5" t="n"/>
      <c r="C52" s="5" t="n"/>
      <c r="D52" s="5" t="n"/>
      <c r="E52" s="5" t="n"/>
      <c r="F52" s="5" t="n"/>
      <c r="G52" s="8" t="n"/>
      <c r="H52" s="5" t="n"/>
      <c r="I52" s="5" t="n"/>
      <c r="J52" s="5" t="n"/>
      <c r="K52" s="5" t="n"/>
    </row>
    <row r="53">
      <c r="A53" s="5" t="n"/>
      <c r="B53" s="5" t="n"/>
      <c r="C53" s="5" t="n"/>
      <c r="D53" s="5" t="n"/>
      <c r="E53" s="5" t="n"/>
      <c r="F53" s="5" t="n"/>
      <c r="G53" s="8" t="n"/>
      <c r="H53" s="5" t="n"/>
      <c r="I53" s="5" t="n"/>
      <c r="J53" s="5" t="n"/>
      <c r="K53" s="5" t="n"/>
    </row>
    <row r="54">
      <c r="A54" s="5" t="n"/>
      <c r="B54" s="5" t="n"/>
      <c r="C54" s="5" t="n"/>
      <c r="D54" s="5" t="n"/>
      <c r="E54" s="5" t="n"/>
      <c r="F54" s="5" t="n"/>
      <c r="G54" s="8" t="n"/>
      <c r="H54" s="5" t="n"/>
      <c r="I54" s="5" t="n"/>
      <c r="J54" s="5" t="n"/>
      <c r="K54" s="5" t="n"/>
    </row>
    <row r="55">
      <c r="A55" s="5" t="n"/>
      <c r="B55" s="5" t="n"/>
      <c r="C55" s="5" t="n"/>
      <c r="D55" s="5" t="n"/>
      <c r="E55" s="5" t="n"/>
      <c r="F55" s="5" t="n"/>
      <c r="G55" s="8" t="n"/>
      <c r="H55" s="5" t="n"/>
      <c r="I55" s="5" t="n"/>
      <c r="J55" s="5" t="n"/>
      <c r="K55" s="5" t="n"/>
    </row>
    <row r="56">
      <c r="A56" s="5" t="n"/>
      <c r="B56" s="5" t="n"/>
      <c r="C56" s="5" t="n"/>
      <c r="D56" s="5" t="n"/>
      <c r="E56" s="5" t="n"/>
      <c r="F56" s="5" t="n"/>
      <c r="G56" s="8" t="n"/>
      <c r="H56" s="5" t="n"/>
      <c r="I56" s="5" t="n"/>
      <c r="J56" s="5" t="n"/>
      <c r="K56" s="5" t="n"/>
    </row>
    <row r="57">
      <c r="A57" s="5" t="n"/>
      <c r="B57" s="5" t="n"/>
      <c r="C57" s="5" t="n"/>
      <c r="D57" s="5" t="n"/>
      <c r="E57" s="5" t="n"/>
      <c r="F57" s="5" t="n"/>
      <c r="G57" s="8" t="n"/>
      <c r="H57" s="5" t="n"/>
      <c r="I57" s="5" t="n"/>
      <c r="J57" s="5" t="n"/>
      <c r="K57" s="5" t="n"/>
    </row>
    <row r="58">
      <c r="A58" s="5" t="n"/>
      <c r="B58" s="5" t="n"/>
      <c r="C58" s="5" t="n"/>
      <c r="D58" s="5" t="n"/>
      <c r="E58" s="5" t="n"/>
      <c r="F58" s="5" t="n"/>
      <c r="G58" s="8" t="n"/>
      <c r="H58" s="5" t="n"/>
      <c r="I58" s="5" t="n"/>
      <c r="J58" s="5" t="n"/>
      <c r="K58" s="5" t="n"/>
    </row>
    <row r="59">
      <c r="A59" s="5" t="n"/>
      <c r="B59" s="5" t="n"/>
      <c r="C59" s="5" t="n"/>
      <c r="D59" s="5" t="n"/>
      <c r="E59" s="5" t="n"/>
      <c r="F59" s="5" t="n"/>
      <c r="G59" s="8" t="n"/>
      <c r="H59" s="5" t="n"/>
      <c r="I59" s="5" t="n"/>
      <c r="J59" s="5" t="n"/>
      <c r="K59" s="5" t="n"/>
    </row>
    <row r="60">
      <c r="A60" s="5" t="n"/>
      <c r="B60" s="5" t="n"/>
      <c r="C60" s="5" t="n"/>
      <c r="D60" s="5" t="n"/>
      <c r="E60" s="5" t="n"/>
      <c r="F60" s="5" t="n"/>
      <c r="G60" s="8" t="n"/>
      <c r="H60" s="5" t="n"/>
      <c r="I60" s="5" t="n"/>
      <c r="J60" s="5" t="n"/>
      <c r="K60" s="5" t="n"/>
    </row>
    <row r="61">
      <c r="A61" s="5" t="n"/>
      <c r="B61" s="5" t="n"/>
      <c r="C61" s="5" t="n"/>
      <c r="D61" s="5" t="n"/>
      <c r="E61" s="5" t="n"/>
      <c r="F61" s="5" t="n"/>
      <c r="G61" s="8" t="n"/>
      <c r="H61" s="5" t="n"/>
      <c r="I61" s="5" t="n"/>
      <c r="J61" s="5" t="n"/>
      <c r="K61" s="5" t="n"/>
    </row>
    <row r="62">
      <c r="A62" s="5" t="n"/>
      <c r="B62" s="5" t="n"/>
      <c r="C62" s="5" t="n"/>
      <c r="D62" s="5" t="n"/>
      <c r="E62" s="5" t="n"/>
      <c r="F62" s="5" t="n"/>
      <c r="G62" s="8" t="n"/>
      <c r="H62" s="5" t="n"/>
      <c r="I62" s="5" t="n"/>
      <c r="J62" s="5" t="n"/>
      <c r="K62" s="5" t="n"/>
    </row>
    <row r="63">
      <c r="A63" s="5" t="n"/>
      <c r="B63" s="5" t="n"/>
      <c r="C63" s="5" t="n"/>
      <c r="D63" s="5" t="n"/>
      <c r="E63" s="5" t="n"/>
      <c r="F63" s="5" t="n"/>
      <c r="G63" s="8" t="n"/>
      <c r="H63" s="5" t="n"/>
      <c r="I63" s="5" t="n"/>
      <c r="J63" s="5" t="n"/>
      <c r="K63" s="5" t="n"/>
    </row>
    <row r="64">
      <c r="A64" s="5" t="n"/>
      <c r="B64" s="5" t="n"/>
      <c r="C64" s="5" t="n"/>
      <c r="D64" s="5" t="n"/>
      <c r="E64" s="5" t="n"/>
      <c r="F64" s="5" t="n"/>
      <c r="G64" s="8" t="n"/>
      <c r="H64" s="5" t="n"/>
      <c r="I64" s="5" t="n"/>
      <c r="J64" s="5" t="n"/>
      <c r="K64" s="5" t="n"/>
    </row>
    <row r="65">
      <c r="A65" s="5" t="n"/>
      <c r="B65" s="5" t="n"/>
      <c r="C65" s="5" t="n"/>
      <c r="D65" s="5" t="n"/>
      <c r="E65" s="5" t="n"/>
      <c r="F65" s="5" t="n"/>
      <c r="G65" s="8" t="n"/>
      <c r="H65" s="5" t="n"/>
      <c r="I65" s="5" t="n"/>
      <c r="J65" s="5" t="n"/>
      <c r="K65" s="5" t="n"/>
    </row>
    <row r="66">
      <c r="A66" s="5" t="n"/>
      <c r="B66" s="5" t="n"/>
      <c r="C66" s="5" t="n"/>
      <c r="D66" s="5" t="n"/>
      <c r="E66" s="5" t="n"/>
      <c r="F66" s="5" t="n"/>
      <c r="G66" s="8" t="n"/>
      <c r="H66" s="5" t="n"/>
      <c r="I66" s="5" t="n"/>
      <c r="J66" s="5" t="n"/>
      <c r="K66" s="5" t="n"/>
    </row>
    <row r="67">
      <c r="A67" s="5" t="n"/>
      <c r="B67" s="5" t="n"/>
      <c r="C67" s="5" t="n"/>
      <c r="D67" s="5" t="n"/>
      <c r="E67" s="5" t="n"/>
      <c r="F67" s="5" t="n"/>
      <c r="G67" s="8" t="n"/>
      <c r="H67" s="5" t="n"/>
      <c r="I67" s="5" t="n"/>
      <c r="J67" s="5" t="n"/>
      <c r="K67" s="5" t="n"/>
    </row>
    <row r="68">
      <c r="A68" s="5" t="n"/>
      <c r="B68" s="5" t="n"/>
      <c r="C68" s="5" t="n"/>
      <c r="D68" s="5" t="n"/>
      <c r="E68" s="5" t="n"/>
      <c r="F68" s="5" t="n"/>
      <c r="G68" s="8" t="n"/>
      <c r="H68" s="5" t="n"/>
      <c r="I68" s="5" t="n"/>
      <c r="J68" s="5" t="n"/>
      <c r="K68" s="5" t="n"/>
    </row>
    <row r="69">
      <c r="A69" s="5" t="n"/>
      <c r="B69" s="5" t="n"/>
      <c r="C69" s="5" t="n"/>
      <c r="D69" s="5" t="n"/>
      <c r="E69" s="5" t="n"/>
      <c r="F69" s="5" t="n"/>
      <c r="G69" s="8" t="n"/>
      <c r="H69" s="5" t="n"/>
      <c r="I69" s="5" t="n"/>
      <c r="J69" s="5" t="n"/>
      <c r="K69" s="5" t="n"/>
    </row>
    <row r="70">
      <c r="A70" s="5" t="n"/>
      <c r="B70" s="5" t="n"/>
      <c r="C70" s="5" t="n"/>
      <c r="D70" s="5" t="n"/>
      <c r="E70" s="5" t="n"/>
      <c r="F70" s="5" t="n"/>
      <c r="G70" s="8" t="n"/>
      <c r="H70" s="5" t="n"/>
      <c r="I70" s="5" t="n"/>
      <c r="J70" s="5" t="n"/>
      <c r="K70" s="5" t="n"/>
    </row>
    <row r="71">
      <c r="A71" s="5" t="n"/>
      <c r="B71" s="5" t="n"/>
      <c r="C71" s="5" t="n"/>
      <c r="D71" s="5" t="n"/>
      <c r="E71" s="5" t="n"/>
      <c r="F71" s="5" t="n"/>
      <c r="G71" s="8" t="n"/>
      <c r="H71" s="5" t="n"/>
      <c r="I71" s="5" t="n"/>
      <c r="J71" s="5" t="n"/>
      <c r="K71" s="5" t="n"/>
    </row>
    <row r="72">
      <c r="A72" s="5" t="n"/>
      <c r="B72" s="5" t="n"/>
      <c r="C72" s="5" t="n"/>
      <c r="D72" s="5" t="n"/>
      <c r="E72" s="5" t="n"/>
      <c r="F72" s="5" t="n"/>
      <c r="G72" s="8" t="n"/>
      <c r="H72" s="5" t="n"/>
      <c r="I72" s="5" t="n"/>
      <c r="J72" s="5" t="n"/>
      <c r="K72" s="5" t="n"/>
    </row>
    <row r="73">
      <c r="A73" s="5" t="n"/>
      <c r="B73" s="5" t="n"/>
      <c r="C73" s="5" t="n"/>
      <c r="D73" s="5" t="n"/>
      <c r="E73" s="5" t="n"/>
      <c r="F73" s="5" t="n"/>
      <c r="G73" s="8" t="n"/>
      <c r="H73" s="5" t="n"/>
      <c r="I73" s="5" t="n"/>
      <c r="J73" s="5" t="n"/>
      <c r="K73" s="5" t="n"/>
    </row>
    <row r="74">
      <c r="A74" s="5" t="n"/>
      <c r="B74" s="5" t="n"/>
      <c r="C74" s="5" t="n"/>
      <c r="D74" s="5" t="n"/>
      <c r="E74" s="5" t="n"/>
      <c r="F74" s="5" t="n"/>
      <c r="G74" s="8" t="n"/>
      <c r="H74" s="5" t="n"/>
      <c r="I74" s="5" t="n"/>
      <c r="J74" s="5" t="n"/>
      <c r="K74" s="5" t="n"/>
    </row>
    <row r="75">
      <c r="A75" s="5" t="n"/>
      <c r="B75" s="5" t="n"/>
      <c r="C75" s="5" t="n"/>
      <c r="D75" s="5" t="n"/>
      <c r="E75" s="5" t="n"/>
      <c r="F75" s="5" t="n"/>
      <c r="G75" s="8" t="n"/>
      <c r="H75" s="5" t="n"/>
      <c r="I75" s="5" t="n"/>
      <c r="J75" s="5" t="n"/>
      <c r="K75" s="5" t="n"/>
    </row>
    <row r="76">
      <c r="A76" s="5" t="n"/>
      <c r="B76" s="5" t="n"/>
      <c r="C76" s="5" t="n"/>
      <c r="D76" s="5" t="n"/>
      <c r="E76" s="5" t="n"/>
      <c r="F76" s="5" t="n"/>
      <c r="G76" s="8" t="n"/>
      <c r="H76" s="5" t="n"/>
      <c r="I76" s="5" t="n"/>
      <c r="J76" s="5" t="n"/>
      <c r="K76" s="5" t="n"/>
    </row>
    <row r="77">
      <c r="A77" s="5" t="n"/>
      <c r="B77" s="5" t="n"/>
      <c r="C77" s="5" t="n"/>
      <c r="D77" s="5" t="n"/>
      <c r="E77" s="5" t="n"/>
      <c r="F77" s="5" t="n"/>
      <c r="G77" s="8" t="n"/>
      <c r="H77" s="5" t="n"/>
      <c r="I77" s="5" t="n"/>
      <c r="J77" s="5" t="n"/>
      <c r="K77" s="5" t="n"/>
    </row>
    <row r="78">
      <c r="A78" s="5" t="n"/>
      <c r="B78" s="5" t="n"/>
      <c r="C78" s="5" t="n"/>
      <c r="D78" s="5" t="n"/>
      <c r="E78" s="5" t="n"/>
      <c r="F78" s="5" t="n"/>
      <c r="G78" s="8" t="n"/>
      <c r="H78" s="5" t="n"/>
      <c r="I78" s="5" t="n"/>
      <c r="J78" s="5" t="n"/>
      <c r="K78" s="5" t="n"/>
    </row>
    <row r="79">
      <c r="A79" s="5" t="n"/>
      <c r="B79" s="5" t="n"/>
      <c r="C79" s="5" t="n"/>
      <c r="D79" s="5" t="n"/>
      <c r="E79" s="5" t="n"/>
      <c r="F79" s="5" t="n"/>
      <c r="G79" s="8" t="n"/>
      <c r="H79" s="5" t="n"/>
      <c r="I79" s="5" t="n"/>
      <c r="J79" s="5" t="n"/>
      <c r="K79" s="5" t="n"/>
    </row>
    <row r="80">
      <c r="A80" s="5" t="n"/>
      <c r="B80" s="5" t="n"/>
      <c r="C80" s="5" t="n"/>
      <c r="D80" s="5" t="n"/>
      <c r="E80" s="5" t="n"/>
      <c r="F80" s="5" t="n"/>
      <c r="G80" s="8" t="n"/>
      <c r="H80" s="5" t="n"/>
      <c r="I80" s="5" t="n"/>
      <c r="J80" s="5" t="n"/>
      <c r="K80" s="5" t="n"/>
    </row>
    <row r="81">
      <c r="A81" s="5" t="n"/>
      <c r="B81" s="5" t="n"/>
      <c r="C81" s="5" t="n"/>
      <c r="D81" s="5" t="n"/>
      <c r="E81" s="5" t="n"/>
      <c r="F81" s="5" t="n"/>
      <c r="G81" s="8" t="n"/>
      <c r="H81" s="5" t="n"/>
      <c r="I81" s="5" t="n"/>
      <c r="J81" s="5" t="n"/>
      <c r="K81" s="5" t="n"/>
    </row>
    <row r="82">
      <c r="A82" s="5" t="n"/>
      <c r="B82" s="5" t="n"/>
      <c r="C82" s="5" t="n"/>
      <c r="D82" s="5" t="n"/>
      <c r="E82" s="5" t="n"/>
      <c r="F82" s="5" t="n"/>
      <c r="G82" s="8" t="n"/>
      <c r="H82" s="5" t="n"/>
      <c r="I82" s="5" t="n"/>
      <c r="J82" s="5" t="n"/>
      <c r="K82" s="5" t="n"/>
    </row>
    <row r="83">
      <c r="A83" s="5" t="n"/>
      <c r="B83" s="5" t="n"/>
      <c r="C83" s="5" t="n"/>
      <c r="D83" s="5" t="n"/>
      <c r="E83" s="5" t="n"/>
      <c r="F83" s="5" t="n"/>
      <c r="G83" s="8" t="n"/>
      <c r="H83" s="5" t="n"/>
      <c r="I83" s="5" t="n"/>
      <c r="J83" s="5" t="n"/>
      <c r="K83" s="5" t="n"/>
    </row>
    <row r="84">
      <c r="A84" s="5" t="n"/>
      <c r="B84" s="5" t="n"/>
      <c r="C84" s="5" t="n"/>
      <c r="D84" s="5" t="n"/>
      <c r="E84" s="5" t="n"/>
      <c r="F84" s="5" t="n"/>
      <c r="G84" s="8" t="n"/>
      <c r="H84" s="5" t="n"/>
      <c r="I84" s="5" t="n"/>
      <c r="J84" s="5" t="n"/>
      <c r="K84" s="5" t="n"/>
    </row>
    <row r="85">
      <c r="A85" s="5" t="n"/>
      <c r="B85" s="5" t="n"/>
      <c r="C85" s="5" t="n"/>
      <c r="D85" s="5" t="n"/>
      <c r="E85" s="5" t="n"/>
      <c r="F85" s="5" t="n"/>
      <c r="G85" s="8" t="n"/>
      <c r="H85" s="5" t="n"/>
      <c r="I85" s="5" t="n"/>
      <c r="J85" s="5" t="n"/>
      <c r="K85" s="5" t="n"/>
    </row>
    <row r="86">
      <c r="A86" s="5" t="n"/>
      <c r="B86" s="5" t="n"/>
      <c r="C86" s="5" t="n"/>
      <c r="D86" s="5" t="n"/>
      <c r="E86" s="5" t="n"/>
      <c r="F86" s="5" t="n"/>
      <c r="G86" s="8" t="n"/>
      <c r="H86" s="5" t="n"/>
      <c r="I86" s="5" t="n"/>
      <c r="J86" s="5" t="n"/>
      <c r="K86" s="5" t="n"/>
    </row>
    <row r="87">
      <c r="A87" s="5" t="n"/>
      <c r="B87" s="5" t="n"/>
      <c r="C87" s="5" t="n"/>
      <c r="D87" s="5" t="n"/>
      <c r="E87" s="5" t="n"/>
      <c r="F87" s="5" t="n"/>
      <c r="G87" s="8" t="n"/>
      <c r="H87" s="5" t="n"/>
      <c r="I87" s="5" t="n"/>
      <c r="J87" s="5" t="n"/>
      <c r="K87" s="5" t="n"/>
    </row>
    <row r="88">
      <c r="A88" s="5" t="n"/>
      <c r="B88" s="5" t="n"/>
      <c r="C88" s="5" t="n"/>
      <c r="D88" s="5" t="n"/>
      <c r="E88" s="5" t="n"/>
      <c r="F88" s="5" t="n"/>
      <c r="G88" s="8" t="n"/>
      <c r="H88" s="5" t="n"/>
      <c r="I88" s="5" t="n"/>
      <c r="J88" s="5" t="n"/>
      <c r="K88" s="5" t="n"/>
    </row>
    <row r="89">
      <c r="A89" s="5" t="n"/>
      <c r="B89" s="5" t="n"/>
      <c r="C89" s="5" t="n"/>
      <c r="D89" s="5" t="n"/>
      <c r="E89" s="5" t="n"/>
      <c r="F89" s="5" t="n"/>
      <c r="G89" s="8" t="n"/>
      <c r="H89" s="5" t="n"/>
      <c r="I89" s="5" t="n"/>
      <c r="J89" s="5" t="n"/>
      <c r="K89" s="5" t="n"/>
    </row>
    <row r="90">
      <c r="A90" s="5" t="n"/>
      <c r="B90" s="5" t="n"/>
      <c r="C90" s="5" t="n"/>
      <c r="D90" s="5" t="n"/>
      <c r="E90" s="5" t="n"/>
      <c r="F90" s="5" t="n"/>
      <c r="G90" s="8" t="n"/>
      <c r="H90" s="5" t="n"/>
      <c r="I90" s="5" t="n"/>
      <c r="J90" s="5" t="n"/>
      <c r="K90" s="5" t="n"/>
    </row>
    <row r="91">
      <c r="A91" s="5" t="n"/>
      <c r="B91" s="5" t="n"/>
      <c r="C91" s="5" t="n"/>
      <c r="D91" s="5" t="n"/>
      <c r="E91" s="5" t="n"/>
      <c r="F91" s="5" t="n"/>
      <c r="G91" s="8" t="n"/>
      <c r="H91" s="5" t="n"/>
      <c r="I91" s="5" t="n"/>
      <c r="J91" s="5" t="n"/>
      <c r="K91" s="5" t="n"/>
    </row>
    <row r="92">
      <c r="A92" s="5" t="n"/>
      <c r="B92" s="5" t="n"/>
      <c r="C92" s="5" t="n"/>
      <c r="D92" s="5" t="n"/>
      <c r="E92" s="5" t="n"/>
      <c r="F92" s="5" t="n"/>
      <c r="G92" s="8" t="n"/>
      <c r="H92" s="5" t="n"/>
      <c r="I92" s="5" t="n"/>
      <c r="J92" s="5" t="n"/>
      <c r="K92" s="5" t="n"/>
    </row>
    <row r="93">
      <c r="A93" s="5" t="n"/>
      <c r="B93" s="5" t="n"/>
      <c r="C93" s="5" t="n"/>
      <c r="D93" s="5" t="n"/>
      <c r="E93" s="5" t="n"/>
      <c r="F93" s="5" t="n"/>
      <c r="G93" s="8" t="n"/>
      <c r="H93" s="5" t="n"/>
      <c r="I93" s="5" t="n"/>
      <c r="J93" s="5" t="n"/>
      <c r="K93" s="5" t="n"/>
    </row>
    <row r="94">
      <c r="A94" s="5" t="n"/>
      <c r="B94" s="5" t="n"/>
      <c r="C94" s="5" t="n"/>
      <c r="D94" s="5" t="n"/>
      <c r="E94" s="5" t="n"/>
      <c r="F94" s="5" t="n"/>
      <c r="G94" s="8" t="n"/>
      <c r="H94" s="5" t="n"/>
      <c r="I94" s="5" t="n"/>
      <c r="J94" s="5" t="n"/>
      <c r="K94" s="5" t="n"/>
    </row>
    <row r="95">
      <c r="A95" s="5" t="n"/>
      <c r="B95" s="5" t="n"/>
      <c r="C95" s="5" t="n"/>
      <c r="D95" s="5" t="n"/>
      <c r="E95" s="5" t="n"/>
      <c r="F95" s="5" t="n"/>
      <c r="G95" s="8" t="n"/>
      <c r="H95" s="5" t="n"/>
      <c r="I95" s="5" t="n"/>
      <c r="J95" s="5" t="n"/>
      <c r="K95" s="5" t="n"/>
    </row>
    <row r="96">
      <c r="A96" s="5" t="n"/>
      <c r="B96" s="5" t="n"/>
      <c r="C96" s="5" t="n"/>
      <c r="D96" s="5" t="n"/>
      <c r="E96" s="5" t="n"/>
      <c r="F96" s="5" t="n"/>
      <c r="G96" s="8" t="n"/>
      <c r="H96" s="5" t="n"/>
      <c r="I96" s="5" t="n"/>
      <c r="J96" s="5" t="n"/>
      <c r="K96" s="5" t="n"/>
    </row>
    <row r="97">
      <c r="A97" s="5" t="n"/>
      <c r="B97" s="5" t="n"/>
      <c r="C97" s="5" t="n"/>
      <c r="D97" s="5" t="n"/>
      <c r="E97" s="5" t="n"/>
      <c r="F97" s="5" t="n"/>
      <c r="G97" s="8" t="n"/>
      <c r="H97" s="5" t="n"/>
      <c r="I97" s="5" t="n"/>
      <c r="J97" s="5" t="n"/>
      <c r="K97" s="5" t="n"/>
    </row>
    <row r="98">
      <c r="A98" s="5" t="n"/>
      <c r="B98" s="5" t="n"/>
      <c r="C98" s="5" t="n"/>
      <c r="D98" s="5" t="n"/>
      <c r="E98" s="5" t="n"/>
      <c r="F98" s="5" t="n"/>
      <c r="G98" s="8" t="n"/>
      <c r="H98" s="5" t="n"/>
      <c r="I98" s="5" t="n"/>
      <c r="J98" s="5" t="n"/>
      <c r="K98" s="5" t="n"/>
    </row>
    <row r="99">
      <c r="A99" s="5" t="n"/>
      <c r="B99" s="5" t="n"/>
      <c r="C99" s="5" t="n"/>
      <c r="D99" s="5" t="n"/>
      <c r="E99" s="5" t="n"/>
      <c r="F99" s="5" t="n"/>
      <c r="G99" s="8" t="n"/>
      <c r="H99" s="5" t="n"/>
      <c r="I99" s="5" t="n"/>
      <c r="J99" s="5" t="n"/>
      <c r="K99" s="5" t="n"/>
    </row>
    <row r="100">
      <c r="A100" s="5" t="n"/>
      <c r="B100" s="5" t="n"/>
      <c r="C100" s="5" t="n"/>
      <c r="D100" s="5" t="n"/>
      <c r="E100" s="5" t="n"/>
      <c r="F100" s="5" t="n"/>
      <c r="G100" s="8" t="n"/>
      <c r="H100" s="5" t="n"/>
      <c r="I100" s="5" t="n"/>
      <c r="J100" s="5" t="n"/>
      <c r="K100" s="5" t="n"/>
    </row>
    <row r="101">
      <c r="A101" s="5" t="n"/>
      <c r="B101" s="5" t="n"/>
      <c r="C101" s="5" t="n"/>
      <c r="D101" s="5" t="n"/>
      <c r="E101" s="5" t="n"/>
      <c r="F101" s="5" t="n"/>
      <c r="G101" s="8" t="n"/>
      <c r="H101" s="5" t="n"/>
      <c r="I101" s="5" t="n"/>
      <c r="J101" s="5" t="n"/>
      <c r="K101" s="5" t="n"/>
    </row>
    <row r="102">
      <c r="A102" s="5" t="n"/>
      <c r="B102" s="5" t="n"/>
      <c r="C102" s="5" t="n"/>
      <c r="D102" s="5" t="n"/>
      <c r="E102" s="5" t="n"/>
      <c r="F102" s="5" t="n"/>
      <c r="G102" s="8" t="n"/>
      <c r="H102" s="5" t="n"/>
      <c r="I102" s="5" t="n"/>
      <c r="J102" s="5" t="n"/>
      <c r="K102" s="5" t="n"/>
    </row>
    <row r="103">
      <c r="A103" s="5" t="n"/>
      <c r="B103" s="5" t="n"/>
      <c r="C103" s="5" t="n"/>
      <c r="D103" s="5" t="n"/>
      <c r="E103" s="5" t="n"/>
      <c r="F103" s="5" t="n"/>
      <c r="G103" s="8" t="n"/>
      <c r="H103" s="5" t="n"/>
      <c r="I103" s="5" t="n"/>
      <c r="J103" s="5" t="n"/>
      <c r="K103" s="5" t="n"/>
    </row>
    <row r="104">
      <c r="A104" s="5" t="n"/>
      <c r="B104" s="5" t="n"/>
      <c r="C104" s="5" t="n"/>
      <c r="D104" s="5" t="n"/>
      <c r="E104" s="5" t="n"/>
      <c r="F104" s="5" t="n"/>
      <c r="G104" s="8" t="n"/>
      <c r="H104" s="5" t="n"/>
      <c r="I104" s="5" t="n"/>
      <c r="J104" s="5" t="n"/>
      <c r="K104" s="5" t="n"/>
    </row>
    <row r="105">
      <c r="A105" s="5" t="n"/>
      <c r="B105" s="5" t="n"/>
      <c r="C105" s="5" t="n"/>
      <c r="D105" s="5" t="n"/>
      <c r="E105" s="5" t="n"/>
      <c r="F105" s="5" t="n"/>
      <c r="G105" s="8" t="n"/>
      <c r="H105" s="5" t="n"/>
      <c r="I105" s="5" t="n"/>
      <c r="J105" s="5" t="n"/>
      <c r="K105" s="5" t="n"/>
    </row>
    <row r="106">
      <c r="A106" s="5" t="n"/>
      <c r="B106" s="5" t="n"/>
      <c r="C106" s="5" t="n"/>
      <c r="D106" s="5" t="n"/>
      <c r="E106" s="5" t="n"/>
      <c r="F106" s="5" t="n"/>
      <c r="G106" s="8" t="n"/>
      <c r="H106" s="5" t="n"/>
      <c r="I106" s="5" t="n"/>
      <c r="J106" s="5" t="n"/>
      <c r="K106" s="5" t="n"/>
    </row>
    <row r="107">
      <c r="A107" s="5" t="n"/>
      <c r="B107" s="5" t="n"/>
      <c r="C107" s="5" t="n"/>
      <c r="D107" s="5" t="n"/>
      <c r="E107" s="5" t="n"/>
      <c r="F107" s="5" t="n"/>
      <c r="G107" s="8" t="n"/>
      <c r="H107" s="5" t="n"/>
      <c r="I107" s="5" t="n"/>
      <c r="J107" s="5" t="n"/>
      <c r="K107" s="5" t="n"/>
    </row>
    <row r="108">
      <c r="A108" s="5" t="n"/>
      <c r="B108" s="5" t="n"/>
      <c r="C108" s="5" t="n"/>
      <c r="D108" s="5" t="n"/>
      <c r="E108" s="5" t="n"/>
      <c r="F108" s="5" t="n"/>
      <c r="G108" s="8" t="n"/>
      <c r="H108" s="5" t="n"/>
      <c r="I108" s="5" t="n"/>
      <c r="J108" s="5" t="n"/>
      <c r="K108" s="5" t="n"/>
    </row>
    <row r="109">
      <c r="A109" s="5" t="n"/>
      <c r="B109" s="5" t="n"/>
      <c r="C109" s="5" t="n"/>
      <c r="D109" s="5" t="n"/>
      <c r="E109" s="5" t="n"/>
      <c r="F109" s="5" t="n"/>
      <c r="G109" s="8" t="n"/>
      <c r="H109" s="5" t="n"/>
      <c r="I109" s="5" t="n"/>
      <c r="J109" s="5" t="n"/>
      <c r="K109" s="5" t="n"/>
    </row>
    <row r="110">
      <c r="A110" s="5" t="n"/>
      <c r="B110" s="5" t="n"/>
      <c r="C110" s="5" t="n"/>
      <c r="D110" s="5" t="n"/>
      <c r="E110" s="5" t="n"/>
      <c r="F110" s="5" t="n"/>
      <c r="G110" s="8" t="n"/>
      <c r="H110" s="5" t="n"/>
      <c r="I110" s="5" t="n"/>
      <c r="J110" s="5" t="n"/>
      <c r="K110" s="5" t="n"/>
    </row>
    <row r="111">
      <c r="A111" s="5" t="n"/>
      <c r="B111" s="5" t="n"/>
      <c r="C111" s="5" t="n"/>
      <c r="D111" s="5" t="n"/>
      <c r="E111" s="5" t="n"/>
      <c r="F111" s="5" t="n"/>
      <c r="G111" s="8" t="n"/>
      <c r="H111" s="5" t="n"/>
      <c r="I111" s="5" t="n"/>
      <c r="J111" s="5" t="n"/>
      <c r="K111" s="5" t="n"/>
    </row>
    <row r="112">
      <c r="A112" s="5" t="n"/>
      <c r="B112" s="5" t="n"/>
      <c r="C112" s="5" t="n"/>
      <c r="D112" s="5" t="n"/>
      <c r="E112" s="5" t="n"/>
      <c r="F112" s="5" t="n"/>
      <c r="G112" s="8" t="n"/>
      <c r="H112" s="5" t="n"/>
      <c r="I112" s="5" t="n"/>
      <c r="J112" s="5" t="n"/>
      <c r="K112" s="5" t="n"/>
    </row>
    <row r="113">
      <c r="A113" s="5" t="n"/>
      <c r="B113" s="5" t="n"/>
      <c r="C113" s="5" t="n"/>
      <c r="D113" s="5" t="n"/>
      <c r="E113" s="5" t="n"/>
      <c r="F113" s="5" t="n"/>
      <c r="G113" s="8" t="n"/>
      <c r="H113" s="5" t="n"/>
      <c r="I113" s="5" t="n"/>
      <c r="J113" s="5" t="n"/>
      <c r="K113" s="5" t="n"/>
    </row>
    <row r="114">
      <c r="A114" s="5" t="n"/>
      <c r="B114" s="5" t="n"/>
      <c r="C114" s="5" t="n"/>
      <c r="D114" s="5" t="n"/>
      <c r="E114" s="5" t="n"/>
      <c r="F114" s="5" t="n"/>
      <c r="G114" s="8" t="n"/>
      <c r="H114" s="5" t="n"/>
      <c r="I114" s="5" t="n"/>
      <c r="J114" s="5" t="n"/>
      <c r="K114" s="5" t="n"/>
    </row>
    <row r="115">
      <c r="A115" s="5" t="n"/>
      <c r="B115" s="5" t="n"/>
      <c r="C115" s="5" t="n"/>
      <c r="D115" s="5" t="n"/>
      <c r="E115" s="5" t="n"/>
      <c r="F115" s="5" t="n"/>
      <c r="G115" s="8" t="n"/>
      <c r="H115" s="5" t="n"/>
      <c r="I115" s="5" t="n"/>
      <c r="J115" s="5" t="n"/>
      <c r="K115" s="5" t="n"/>
    </row>
    <row r="116">
      <c r="A116" s="5" t="n"/>
      <c r="B116" s="5" t="n"/>
      <c r="C116" s="5" t="n"/>
      <c r="D116" s="5" t="n"/>
      <c r="E116" s="5" t="n"/>
      <c r="F116" s="5" t="n"/>
      <c r="G116" s="8" t="n"/>
      <c r="H116" s="5" t="n"/>
      <c r="I116" s="5" t="n"/>
      <c r="J116" s="5" t="n"/>
      <c r="K116" s="5" t="n"/>
    </row>
    <row r="117">
      <c r="A117" s="5" t="n"/>
      <c r="B117" s="5" t="n"/>
      <c r="C117" s="5" t="n"/>
      <c r="D117" s="5" t="n"/>
      <c r="E117" s="5" t="n"/>
      <c r="F117" s="5" t="n"/>
      <c r="G117" s="8" t="n"/>
      <c r="H117" s="5" t="n"/>
      <c r="I117" s="5" t="n"/>
      <c r="J117" s="5" t="n"/>
      <c r="K117" s="5" t="n"/>
    </row>
    <row r="118">
      <c r="A118" s="5" t="n"/>
      <c r="B118" s="5" t="n"/>
      <c r="C118" s="5" t="n"/>
      <c r="D118" s="5" t="n"/>
      <c r="E118" s="5" t="n"/>
      <c r="F118" s="5" t="n"/>
      <c r="G118" s="8" t="n"/>
      <c r="H118" s="5" t="n"/>
      <c r="I118" s="5" t="n"/>
      <c r="J118" s="5" t="n"/>
      <c r="K118" s="5" t="n"/>
    </row>
    <row r="119">
      <c r="A119" s="5" t="n"/>
      <c r="B119" s="5" t="n"/>
      <c r="C119" s="5" t="n"/>
      <c r="D119" s="5" t="n"/>
      <c r="E119" s="5" t="n"/>
      <c r="F119" s="5" t="n"/>
      <c r="G119" s="8" t="n"/>
      <c r="H119" s="5" t="n"/>
      <c r="I119" s="5" t="n"/>
      <c r="J119" s="5" t="n"/>
      <c r="K119" s="5" t="n"/>
    </row>
    <row r="120">
      <c r="A120" s="5" t="n"/>
      <c r="B120" s="5" t="n"/>
      <c r="C120" s="5" t="n"/>
      <c r="D120" s="5" t="n"/>
      <c r="E120" s="5" t="n"/>
      <c r="F120" s="5" t="n"/>
      <c r="G120" s="8" t="n"/>
      <c r="H120" s="5" t="n"/>
      <c r="I120" s="5" t="n"/>
      <c r="J120" s="5" t="n"/>
      <c r="K120" s="5" t="n"/>
    </row>
    <row r="121">
      <c r="A121" s="5" t="n"/>
      <c r="B121" s="5" t="n"/>
      <c r="C121" s="5" t="n"/>
      <c r="D121" s="5" t="n"/>
      <c r="E121" s="5" t="n"/>
      <c r="F121" s="5" t="n"/>
      <c r="G121" s="8" t="n"/>
      <c r="H121" s="5" t="n"/>
      <c r="I121" s="5" t="n"/>
      <c r="J121" s="5" t="n"/>
      <c r="K121" s="5" t="n"/>
    </row>
    <row r="122">
      <c r="A122" s="5" t="n"/>
      <c r="B122" s="5" t="n"/>
      <c r="C122" s="5" t="n"/>
      <c r="D122" s="5" t="n"/>
      <c r="E122" s="5" t="n"/>
      <c r="F122" s="5" t="n"/>
      <c r="G122" s="8" t="n"/>
      <c r="H122" s="5" t="n"/>
      <c r="I122" s="5" t="n"/>
      <c r="J122" s="5" t="n"/>
      <c r="K122" s="5" t="n"/>
    </row>
    <row r="123">
      <c r="A123" s="5" t="n"/>
      <c r="B123" s="5" t="n"/>
      <c r="C123" s="5" t="n"/>
      <c r="D123" s="5" t="n"/>
      <c r="E123" s="5" t="n"/>
      <c r="F123" s="5" t="n"/>
      <c r="G123" s="8" t="n"/>
      <c r="H123" s="5" t="n"/>
      <c r="I123" s="5" t="n"/>
      <c r="J123" s="5" t="n"/>
      <c r="K123" s="5" t="n"/>
    </row>
    <row r="124">
      <c r="A124" s="5" t="n"/>
      <c r="B124" s="5" t="n"/>
      <c r="C124" s="5" t="n"/>
      <c r="D124" s="5" t="n"/>
      <c r="E124" s="5" t="n"/>
      <c r="F124" s="5" t="n"/>
      <c r="G124" s="8" t="n"/>
      <c r="H124" s="5" t="n"/>
      <c r="I124" s="5" t="n"/>
      <c r="J124" s="5" t="n"/>
      <c r="K124" s="5" t="n"/>
    </row>
    <row r="125">
      <c r="A125" s="5" t="n"/>
      <c r="B125" s="5" t="n"/>
      <c r="C125" s="5" t="n"/>
      <c r="D125" s="5" t="n"/>
      <c r="E125" s="5" t="n"/>
      <c r="F125" s="5" t="n"/>
      <c r="G125" s="8" t="n"/>
      <c r="H125" s="5" t="n"/>
      <c r="I125" s="5" t="n"/>
      <c r="J125" s="5" t="n"/>
      <c r="K125" s="5" t="n"/>
    </row>
    <row r="126">
      <c r="A126" s="5" t="n"/>
      <c r="B126" s="5" t="n"/>
      <c r="C126" s="5" t="n"/>
      <c r="D126" s="5" t="n"/>
      <c r="E126" s="5" t="n"/>
      <c r="F126" s="5" t="n"/>
      <c r="G126" s="8" t="n"/>
      <c r="H126" s="5" t="n"/>
      <c r="I126" s="5" t="n"/>
      <c r="J126" s="5" t="n"/>
      <c r="K126" s="5" t="n"/>
    </row>
    <row r="127">
      <c r="A127" s="5" t="n"/>
      <c r="B127" s="5" t="n"/>
      <c r="C127" s="5" t="n"/>
      <c r="D127" s="5" t="n"/>
      <c r="E127" s="5" t="n"/>
      <c r="F127" s="5" t="n"/>
      <c r="G127" s="8" t="n"/>
      <c r="H127" s="5" t="n"/>
      <c r="I127" s="5" t="n"/>
      <c r="J127" s="5" t="n"/>
      <c r="K127" s="5" t="n"/>
    </row>
    <row r="128">
      <c r="A128" s="5" t="n"/>
      <c r="B128" s="5" t="n"/>
      <c r="C128" s="5" t="n"/>
      <c r="D128" s="5" t="n"/>
      <c r="E128" s="5" t="n"/>
      <c r="F128" s="5" t="n"/>
      <c r="G128" s="8" t="n"/>
      <c r="H128" s="5" t="n"/>
      <c r="I128" s="5" t="n"/>
      <c r="J128" s="5" t="n"/>
      <c r="K128" s="5" t="n"/>
    </row>
    <row r="129">
      <c r="A129" s="5" t="n"/>
      <c r="B129" s="5" t="n"/>
      <c r="C129" s="5" t="n"/>
      <c r="D129" s="5" t="n"/>
      <c r="E129" s="5" t="n"/>
      <c r="F129" s="5" t="n"/>
      <c r="G129" s="8" t="n"/>
      <c r="H129" s="5" t="n"/>
      <c r="I129" s="5" t="n"/>
      <c r="J129" s="5" t="n"/>
      <c r="K129" s="5" t="n"/>
    </row>
    <row r="130">
      <c r="A130" s="5" t="n"/>
      <c r="B130" s="5" t="n"/>
      <c r="C130" s="5" t="n"/>
      <c r="D130" s="5" t="n"/>
      <c r="E130" s="5" t="n"/>
      <c r="F130" s="5" t="n"/>
      <c r="G130" s="8" t="n"/>
      <c r="H130" s="5" t="n"/>
      <c r="I130" s="5" t="n"/>
      <c r="J130" s="5" t="n"/>
      <c r="K130" s="5" t="n"/>
    </row>
    <row r="131">
      <c r="A131" s="5" t="n"/>
      <c r="B131" s="5" t="n"/>
      <c r="C131" s="5" t="n"/>
      <c r="D131" s="5" t="n"/>
      <c r="E131" s="5" t="n"/>
      <c r="F131" s="5" t="n"/>
      <c r="G131" s="8" t="n"/>
      <c r="H131" s="5" t="n"/>
      <c r="I131" s="5" t="n"/>
      <c r="J131" s="5" t="n"/>
      <c r="K131" s="5" t="n"/>
    </row>
    <row r="132">
      <c r="A132" s="5" t="n"/>
      <c r="B132" s="5" t="n"/>
      <c r="C132" s="5" t="n"/>
      <c r="D132" s="5" t="n"/>
      <c r="E132" s="5" t="n"/>
      <c r="F132" s="5" t="n"/>
      <c r="G132" s="8" t="n"/>
      <c r="H132" s="5" t="n"/>
      <c r="I132" s="5" t="n"/>
      <c r="J132" s="5" t="n"/>
      <c r="K132" s="5" t="n"/>
    </row>
    <row r="133">
      <c r="A133" s="5" t="n"/>
      <c r="B133" s="5" t="n"/>
      <c r="C133" s="5" t="n"/>
      <c r="D133" s="5" t="n"/>
      <c r="E133" s="5" t="n"/>
      <c r="F133" s="5" t="n"/>
      <c r="G133" s="8" t="n"/>
      <c r="H133" s="5" t="n"/>
      <c r="I133" s="5" t="n"/>
      <c r="J133" s="5" t="n"/>
      <c r="K133" s="5" t="n"/>
    </row>
    <row r="134">
      <c r="A134" s="5" t="n"/>
      <c r="B134" s="5" t="n"/>
      <c r="C134" s="5" t="n"/>
      <c r="D134" s="5" t="n"/>
      <c r="E134" s="5" t="n"/>
      <c r="F134" s="5" t="n"/>
      <c r="G134" s="8" t="n"/>
      <c r="H134" s="5" t="n"/>
      <c r="I134" s="5" t="n"/>
      <c r="J134" s="5" t="n"/>
      <c r="K134" s="5" t="n"/>
    </row>
    <row r="135">
      <c r="A135" s="5" t="n"/>
      <c r="B135" s="5" t="n"/>
      <c r="C135" s="5" t="n"/>
      <c r="D135" s="5" t="n"/>
      <c r="E135" s="5" t="n"/>
      <c r="F135" s="5" t="n"/>
      <c r="G135" s="8" t="n"/>
      <c r="H135" s="5" t="n"/>
      <c r="I135" s="5" t="n"/>
      <c r="J135" s="5" t="n"/>
      <c r="K135" s="5" t="n"/>
    </row>
    <row r="136">
      <c r="A136" s="5" t="n"/>
      <c r="B136" s="5" t="n"/>
      <c r="C136" s="5" t="n"/>
      <c r="D136" s="5" t="n"/>
      <c r="E136" s="5" t="n"/>
      <c r="F136" s="5" t="n"/>
      <c r="G136" s="8" t="n"/>
      <c r="H136" s="5" t="n"/>
      <c r="I136" s="5" t="n"/>
      <c r="J136" s="5" t="n"/>
      <c r="K136" s="5" t="n"/>
    </row>
    <row r="137">
      <c r="A137" s="5" t="n"/>
      <c r="B137" s="5" t="n"/>
      <c r="C137" s="5" t="n"/>
      <c r="D137" s="5" t="n"/>
      <c r="E137" s="5" t="n"/>
      <c r="F137" s="5" t="n"/>
      <c r="G137" s="8" t="n"/>
      <c r="H137" s="5" t="n"/>
      <c r="I137" s="5" t="n"/>
      <c r="J137" s="5" t="n"/>
      <c r="K137" s="5" t="n"/>
    </row>
    <row r="138">
      <c r="A138" s="5" t="n"/>
      <c r="B138" s="5" t="n"/>
      <c r="C138" s="5" t="n"/>
      <c r="D138" s="5" t="n"/>
      <c r="E138" s="5" t="n"/>
      <c r="F138" s="5" t="n"/>
      <c r="G138" s="8" t="n"/>
      <c r="H138" s="5" t="n"/>
      <c r="I138" s="5" t="n"/>
      <c r="J138" s="5" t="n"/>
      <c r="K138" s="5" t="n"/>
    </row>
    <row r="139">
      <c r="A139" s="5" t="n"/>
      <c r="B139" s="5" t="n"/>
      <c r="C139" s="5" t="n"/>
      <c r="D139" s="5" t="n"/>
      <c r="E139" s="5" t="n"/>
      <c r="F139" s="5" t="n"/>
      <c r="G139" s="8" t="n"/>
      <c r="H139" s="5" t="n"/>
      <c r="I139" s="5" t="n"/>
      <c r="J139" s="5" t="n"/>
      <c r="K139" s="5" t="n"/>
    </row>
    <row r="140">
      <c r="A140" s="5" t="n"/>
      <c r="B140" s="5" t="n"/>
      <c r="C140" s="5" t="n"/>
      <c r="D140" s="5" t="n"/>
      <c r="E140" s="5" t="n"/>
      <c r="F140" s="5" t="n"/>
      <c r="G140" s="8" t="n"/>
      <c r="H140" s="5" t="n"/>
      <c r="I140" s="5" t="n"/>
      <c r="J140" s="5" t="n"/>
      <c r="K140" s="5" t="n"/>
    </row>
    <row r="141">
      <c r="A141" s="5" t="n"/>
      <c r="B141" s="5" t="n"/>
      <c r="C141" s="5" t="n"/>
      <c r="D141" s="5" t="n"/>
      <c r="E141" s="5" t="n"/>
      <c r="F141" s="5" t="n"/>
      <c r="G141" s="8" t="n"/>
      <c r="H141" s="5" t="n"/>
      <c r="I141" s="5" t="n"/>
      <c r="J141" s="5" t="n"/>
      <c r="K141" s="5" t="n"/>
    </row>
    <row r="142">
      <c r="A142" s="5" t="n"/>
      <c r="B142" s="5" t="n"/>
      <c r="C142" s="5" t="n"/>
      <c r="D142" s="5" t="n"/>
      <c r="E142" s="5" t="n"/>
      <c r="F142" s="5" t="n"/>
      <c r="G142" s="8" t="n"/>
      <c r="H142" s="5" t="n"/>
      <c r="I142" s="5" t="n"/>
      <c r="J142" s="5" t="n"/>
      <c r="K142" s="5" t="n"/>
    </row>
    <row r="143">
      <c r="A143" s="5" t="n"/>
      <c r="B143" s="5" t="n"/>
      <c r="C143" s="5" t="n"/>
      <c r="D143" s="5" t="n"/>
      <c r="E143" s="5" t="n"/>
      <c r="F143" s="5" t="n"/>
      <c r="G143" s="8" t="n"/>
      <c r="H143" s="5" t="n"/>
      <c r="I143" s="5" t="n"/>
      <c r="J143" s="5" t="n"/>
      <c r="K143" s="5" t="n"/>
    </row>
    <row r="144">
      <c r="A144" s="5" t="n"/>
      <c r="B144" s="5" t="n"/>
      <c r="C144" s="5" t="n"/>
      <c r="D144" s="5" t="n"/>
      <c r="E144" s="5" t="n"/>
      <c r="F144" s="5" t="n"/>
      <c r="G144" s="8" t="n"/>
      <c r="H144" s="5" t="n"/>
      <c r="I144" s="5" t="n"/>
      <c r="J144" s="5" t="n"/>
      <c r="K144" s="5" t="n"/>
    </row>
    <row r="145">
      <c r="A145" s="5" t="n"/>
      <c r="B145" s="5" t="n"/>
      <c r="C145" s="5" t="n"/>
      <c r="D145" s="5" t="n"/>
      <c r="E145" s="5" t="n"/>
      <c r="F145" s="5" t="n"/>
      <c r="G145" s="8" t="n"/>
      <c r="H145" s="5" t="n"/>
      <c r="I145" s="5" t="n"/>
      <c r="J145" s="5" t="n"/>
      <c r="K145" s="5" t="n"/>
    </row>
    <row r="146">
      <c r="A146" s="5" t="n"/>
      <c r="B146" s="5" t="n"/>
      <c r="C146" s="5" t="n"/>
      <c r="D146" s="5" t="n"/>
      <c r="E146" s="5" t="n"/>
      <c r="F146" s="5" t="n"/>
      <c r="G146" s="8" t="n"/>
      <c r="H146" s="5" t="n"/>
      <c r="I146" s="5" t="n"/>
      <c r="J146" s="5" t="n"/>
      <c r="K146" s="5" t="n"/>
    </row>
    <row r="147">
      <c r="A147" s="5" t="n"/>
      <c r="B147" s="5" t="n"/>
      <c r="C147" s="5" t="n"/>
      <c r="D147" s="5" t="n"/>
      <c r="E147" s="5" t="n"/>
      <c r="F147" s="5" t="n"/>
      <c r="G147" s="8" t="n"/>
      <c r="H147" s="5" t="n"/>
      <c r="I147" s="5" t="n"/>
      <c r="J147" s="5" t="n"/>
      <c r="K147" s="5" t="n"/>
    </row>
    <row r="148">
      <c r="A148" s="5" t="n"/>
      <c r="B148" s="5" t="n"/>
      <c r="C148" s="5" t="n"/>
      <c r="D148" s="5" t="n"/>
      <c r="E148" s="5" t="n"/>
      <c r="F148" s="5" t="n"/>
      <c r="G148" s="8" t="n"/>
      <c r="H148" s="5" t="n"/>
      <c r="I148" s="5" t="n"/>
      <c r="J148" s="5" t="n"/>
      <c r="K148" s="5" t="n"/>
    </row>
    <row r="149">
      <c r="A149" s="5" t="n"/>
      <c r="B149" s="5" t="n"/>
      <c r="C149" s="5" t="n"/>
      <c r="D149" s="5" t="n"/>
      <c r="E149" s="5" t="n"/>
      <c r="F149" s="5" t="n"/>
      <c r="G149" s="8" t="n"/>
      <c r="H149" s="5" t="n"/>
      <c r="I149" s="5" t="n"/>
      <c r="J149" s="5" t="n"/>
      <c r="K149" s="5" t="n"/>
    </row>
    <row r="150">
      <c r="A150" s="5" t="n"/>
      <c r="B150" s="5" t="n"/>
      <c r="C150" s="5" t="n"/>
      <c r="D150" s="5" t="n"/>
      <c r="E150" s="5" t="n"/>
      <c r="F150" s="5" t="n"/>
      <c r="G150" s="8" t="n"/>
      <c r="H150" s="5" t="n"/>
      <c r="I150" s="5" t="n"/>
      <c r="J150" s="5" t="n"/>
      <c r="K150" s="5" t="n"/>
    </row>
    <row r="151">
      <c r="A151" s="5" t="n"/>
      <c r="B151" s="5" t="n"/>
      <c r="C151" s="5" t="n"/>
      <c r="D151" s="5" t="n"/>
      <c r="E151" s="5" t="n"/>
      <c r="F151" s="5" t="n"/>
      <c r="G151" s="8" t="n"/>
      <c r="H151" s="5" t="n"/>
      <c r="I151" s="5" t="n"/>
      <c r="J151" s="5" t="n"/>
      <c r="K151" s="5" t="n"/>
    </row>
    <row r="152">
      <c r="A152" s="5" t="n"/>
      <c r="B152" s="5" t="n"/>
      <c r="C152" s="5" t="n"/>
      <c r="D152" s="5" t="n"/>
      <c r="E152" s="5" t="n"/>
      <c r="F152" s="5" t="n"/>
      <c r="G152" s="8" t="n"/>
      <c r="H152" s="5" t="n"/>
      <c r="I152" s="5" t="n"/>
      <c r="J152" s="5" t="n"/>
      <c r="K152" s="5" t="n"/>
    </row>
    <row r="153">
      <c r="A153" s="5" t="n"/>
      <c r="B153" s="5" t="n"/>
      <c r="C153" s="5" t="n"/>
      <c r="D153" s="5" t="n"/>
      <c r="E153" s="5" t="n"/>
      <c r="F153" s="5" t="n"/>
      <c r="G153" s="8" t="n"/>
      <c r="H153" s="5" t="n"/>
      <c r="I153" s="5" t="n"/>
      <c r="J153" s="5" t="n"/>
      <c r="K153" s="5" t="n"/>
    </row>
    <row r="154">
      <c r="A154" s="5" t="n"/>
      <c r="B154" s="5" t="n"/>
      <c r="C154" s="5" t="n"/>
      <c r="D154" s="5" t="n"/>
      <c r="E154" s="5" t="n"/>
      <c r="F154" s="5" t="n"/>
      <c r="G154" s="8" t="n"/>
      <c r="H154" s="5" t="n"/>
      <c r="I154" s="5" t="n"/>
      <c r="J154" s="5" t="n"/>
      <c r="K154" s="5" t="n"/>
    </row>
    <row r="155">
      <c r="A155" s="5" t="n"/>
      <c r="B155" s="5" t="n"/>
      <c r="C155" s="5" t="n"/>
      <c r="D155" s="5" t="n"/>
      <c r="E155" s="5" t="n"/>
      <c r="F155" s="5" t="n"/>
      <c r="G155" s="8" t="n"/>
      <c r="H155" s="5" t="n"/>
      <c r="I155" s="5" t="n"/>
      <c r="J155" s="5" t="n"/>
      <c r="K155" s="5" t="n"/>
    </row>
    <row r="156">
      <c r="A156" s="5" t="n"/>
      <c r="B156" s="5" t="n"/>
      <c r="C156" s="5" t="n"/>
      <c r="D156" s="5" t="n"/>
      <c r="E156" s="5" t="n"/>
      <c r="F156" s="5" t="n"/>
      <c r="G156" s="8" t="n"/>
      <c r="H156" s="5" t="n"/>
      <c r="I156" s="5" t="n"/>
      <c r="J156" s="5" t="n"/>
      <c r="K156" s="5" t="n"/>
    </row>
    <row r="157">
      <c r="A157" s="5" t="n"/>
      <c r="B157" s="5" t="n"/>
      <c r="C157" s="5" t="n"/>
      <c r="D157" s="5" t="n"/>
      <c r="E157" s="5" t="n"/>
      <c r="F157" s="5" t="n"/>
      <c r="G157" s="8" t="n"/>
      <c r="H157" s="5" t="n"/>
      <c r="I157" s="5" t="n"/>
      <c r="J157" s="5" t="n"/>
      <c r="K157" s="5" t="n"/>
    </row>
    <row r="158">
      <c r="A158" s="5" t="n"/>
      <c r="B158" s="5" t="n"/>
      <c r="C158" s="5" t="n"/>
      <c r="D158" s="5" t="n"/>
      <c r="E158" s="5" t="n"/>
      <c r="F158" s="5" t="n"/>
      <c r="G158" s="8" t="n"/>
      <c r="H158" s="5" t="n"/>
      <c r="I158" s="5" t="n"/>
      <c r="J158" s="5" t="n"/>
      <c r="K158" s="5" t="n"/>
    </row>
    <row r="159">
      <c r="A159" s="5" t="n"/>
      <c r="B159" s="5" t="n"/>
      <c r="C159" s="5" t="n"/>
      <c r="D159" s="5" t="n"/>
      <c r="E159" s="5" t="n"/>
      <c r="F159" s="5" t="n"/>
      <c r="G159" s="8" t="n"/>
      <c r="H159" s="5" t="n"/>
      <c r="I159" s="5" t="n"/>
      <c r="J159" s="5" t="n"/>
      <c r="K159" s="5" t="n"/>
    </row>
    <row r="160">
      <c r="A160" s="5" t="n"/>
      <c r="B160" s="5" t="n"/>
      <c r="C160" s="5" t="n"/>
      <c r="D160" s="5" t="n"/>
      <c r="E160" s="5" t="n"/>
      <c r="F160" s="5" t="n"/>
      <c r="G160" s="8" t="n"/>
      <c r="H160" s="5" t="n"/>
      <c r="I160" s="5" t="n"/>
      <c r="J160" s="5" t="n"/>
      <c r="K160" s="5" t="n"/>
    </row>
    <row r="161">
      <c r="A161" s="5" t="n"/>
      <c r="B161" s="5" t="n"/>
      <c r="C161" s="5" t="n"/>
      <c r="D161" s="5" t="n"/>
      <c r="E161" s="5" t="n"/>
      <c r="F161" s="5" t="n"/>
      <c r="G161" s="8" t="n"/>
      <c r="H161" s="5" t="n"/>
      <c r="I161" s="5" t="n"/>
      <c r="J161" s="5" t="n"/>
      <c r="K161" s="5" t="n"/>
    </row>
    <row r="162">
      <c r="A162" s="5" t="n"/>
      <c r="B162" s="5" t="n"/>
      <c r="C162" s="5" t="n"/>
      <c r="D162" s="5" t="n"/>
      <c r="E162" s="5" t="n"/>
      <c r="F162" s="5" t="n"/>
      <c r="G162" s="8" t="n"/>
      <c r="H162" s="5" t="n"/>
      <c r="I162" s="5" t="n"/>
      <c r="J162" s="5" t="n"/>
      <c r="K162" s="5" t="n"/>
    </row>
    <row r="163">
      <c r="A163" s="5" t="n"/>
      <c r="B163" s="5" t="n"/>
      <c r="C163" s="5" t="n"/>
      <c r="D163" s="5" t="n"/>
      <c r="E163" s="5" t="n"/>
      <c r="F163" s="5" t="n"/>
      <c r="G163" s="8" t="n"/>
      <c r="H163" s="5" t="n"/>
      <c r="I163" s="5" t="n"/>
      <c r="J163" s="5" t="n"/>
      <c r="K163" s="5" t="n"/>
    </row>
    <row r="164">
      <c r="A164" s="5" t="n"/>
      <c r="B164" s="5" t="n"/>
      <c r="C164" s="5" t="n"/>
      <c r="D164" s="5" t="n"/>
      <c r="E164" s="5" t="n"/>
      <c r="F164" s="5" t="n"/>
      <c r="G164" s="8" t="n"/>
      <c r="H164" s="5" t="n"/>
      <c r="I164" s="5" t="n"/>
      <c r="J164" s="5" t="n"/>
      <c r="K164" s="5" t="n"/>
    </row>
    <row r="165">
      <c r="A165" s="5" t="n"/>
      <c r="B165" s="5" t="n"/>
      <c r="C165" s="5" t="n"/>
      <c r="D165" s="5" t="n"/>
      <c r="E165" s="5" t="n"/>
      <c r="F165" s="5" t="n"/>
      <c r="G165" s="8" t="n"/>
      <c r="H165" s="5" t="n"/>
      <c r="I165" s="5" t="n"/>
      <c r="J165" s="5" t="n"/>
      <c r="K165" s="5" t="n"/>
    </row>
    <row r="166">
      <c r="A166" s="5" t="n"/>
      <c r="B166" s="5" t="n"/>
      <c r="C166" s="5" t="n"/>
      <c r="D166" s="5" t="n"/>
      <c r="E166" s="5" t="n"/>
      <c r="F166" s="5" t="n"/>
      <c r="G166" s="8" t="n"/>
      <c r="H166" s="5" t="n"/>
      <c r="I166" s="5" t="n"/>
      <c r="J166" s="5" t="n"/>
      <c r="K166" s="5" t="n"/>
    </row>
    <row r="167">
      <c r="A167" s="5" t="n"/>
      <c r="B167" s="5" t="n"/>
      <c r="C167" s="5" t="n"/>
      <c r="D167" s="5" t="n"/>
      <c r="E167" s="5" t="n"/>
      <c r="F167" s="5" t="n"/>
      <c r="G167" s="8" t="n"/>
      <c r="H167" s="5" t="n"/>
      <c r="I167" s="5" t="n"/>
      <c r="J167" s="5" t="n"/>
      <c r="K167" s="5" t="n"/>
    </row>
    <row r="168">
      <c r="A168" s="5" t="n"/>
      <c r="B168" s="5" t="n"/>
      <c r="C168" s="5" t="n"/>
      <c r="D168" s="5" t="n"/>
      <c r="E168" s="5" t="n"/>
      <c r="F168" s="5" t="n"/>
      <c r="G168" s="8" t="n"/>
      <c r="H168" s="5" t="n"/>
      <c r="I168" s="5" t="n"/>
      <c r="J168" s="5" t="n"/>
      <c r="K168" s="5" t="n"/>
    </row>
    <row r="169">
      <c r="A169" s="5" t="n"/>
      <c r="B169" s="5" t="n"/>
      <c r="C169" s="5" t="n"/>
      <c r="D169" s="5" t="n"/>
      <c r="E169" s="5" t="n"/>
      <c r="F169" s="5" t="n"/>
      <c r="G169" s="8" t="n"/>
      <c r="H169" s="5" t="n"/>
      <c r="I169" s="5" t="n"/>
      <c r="J169" s="5" t="n"/>
      <c r="K169" s="5" t="n"/>
    </row>
    <row r="170">
      <c r="A170" s="5" t="n"/>
      <c r="B170" s="5" t="n"/>
      <c r="C170" s="5" t="n"/>
      <c r="D170" s="5" t="n"/>
      <c r="E170" s="5" t="n"/>
      <c r="F170" s="5" t="n"/>
      <c r="G170" s="8" t="n"/>
      <c r="H170" s="5" t="n"/>
      <c r="I170" s="5" t="n"/>
      <c r="J170" s="5" t="n"/>
      <c r="K170" s="5" t="n"/>
    </row>
    <row r="171">
      <c r="A171" s="5" t="n"/>
      <c r="B171" s="5" t="n"/>
      <c r="C171" s="5" t="n"/>
      <c r="D171" s="5" t="n"/>
      <c r="E171" s="5" t="n"/>
      <c r="F171" s="5" t="n"/>
      <c r="G171" s="8" t="n"/>
      <c r="H171" s="5" t="n"/>
      <c r="I171" s="5" t="n"/>
      <c r="J171" s="5" t="n"/>
      <c r="K171" s="5" t="n"/>
    </row>
    <row r="172">
      <c r="A172" s="5" t="n"/>
      <c r="B172" s="5" t="n"/>
      <c r="C172" s="5" t="n"/>
      <c r="D172" s="5" t="n"/>
      <c r="E172" s="5" t="n"/>
      <c r="F172" s="5" t="n"/>
      <c r="G172" s="8" t="n"/>
      <c r="H172" s="5" t="n"/>
      <c r="I172" s="5" t="n"/>
      <c r="J172" s="5" t="n"/>
      <c r="K172" s="5" t="n"/>
    </row>
    <row r="173">
      <c r="A173" s="5" t="n"/>
      <c r="B173" s="5" t="n"/>
      <c r="C173" s="5" t="n"/>
      <c r="D173" s="5" t="n"/>
      <c r="E173" s="5" t="n"/>
      <c r="F173" s="5" t="n"/>
      <c r="G173" s="8" t="n"/>
      <c r="H173" s="5" t="n"/>
      <c r="I173" s="5" t="n"/>
      <c r="J173" s="5" t="n"/>
      <c r="K173" s="5" t="n"/>
    </row>
    <row r="174">
      <c r="A174" s="5" t="n"/>
      <c r="B174" s="5" t="n"/>
      <c r="C174" s="5" t="n"/>
      <c r="D174" s="5" t="n"/>
      <c r="E174" s="5" t="n"/>
      <c r="F174" s="5" t="n"/>
      <c r="G174" s="8" t="n"/>
      <c r="H174" s="5" t="n"/>
      <c r="I174" s="5" t="n"/>
      <c r="J174" s="5" t="n"/>
      <c r="K174" s="5" t="n"/>
    </row>
    <row r="175">
      <c r="A175" s="5" t="n"/>
      <c r="B175" s="5" t="n"/>
      <c r="C175" s="5" t="n"/>
      <c r="D175" s="5" t="n"/>
      <c r="E175" s="5" t="n"/>
      <c r="F175" s="5" t="n"/>
      <c r="G175" s="8" t="n"/>
      <c r="H175" s="5" t="n"/>
      <c r="I175" s="5" t="n"/>
      <c r="J175" s="5" t="n"/>
      <c r="K175" s="5" t="n"/>
    </row>
    <row r="176">
      <c r="A176" s="5" t="n"/>
      <c r="B176" s="5" t="n"/>
      <c r="C176" s="5" t="n"/>
      <c r="D176" s="5" t="n"/>
      <c r="E176" s="5" t="n"/>
      <c r="F176" s="5" t="n"/>
      <c r="G176" s="8" t="n"/>
      <c r="H176" s="5" t="n"/>
      <c r="I176" s="5" t="n"/>
      <c r="J176" s="5" t="n"/>
      <c r="K176" s="5" t="n"/>
    </row>
    <row r="177">
      <c r="A177" s="5" t="n"/>
      <c r="B177" s="5" t="n"/>
      <c r="C177" s="5" t="n"/>
      <c r="D177" s="5" t="n"/>
      <c r="E177" s="5" t="n"/>
      <c r="F177" s="5" t="n"/>
      <c r="G177" s="8" t="n"/>
      <c r="H177" s="5" t="n"/>
      <c r="I177" s="5" t="n"/>
      <c r="J177" s="5" t="n"/>
      <c r="K177" s="5" t="n"/>
    </row>
    <row r="178">
      <c r="A178" s="5" t="n"/>
      <c r="B178" s="5" t="n"/>
      <c r="C178" s="5" t="n"/>
      <c r="D178" s="5" t="n"/>
      <c r="E178" s="5" t="n"/>
      <c r="F178" s="5" t="n"/>
      <c r="G178" s="8" t="n"/>
      <c r="H178" s="5" t="n"/>
      <c r="I178" s="5" t="n"/>
      <c r="J178" s="5" t="n"/>
      <c r="K178" s="5" t="n"/>
    </row>
    <row r="179">
      <c r="A179" s="5" t="n"/>
      <c r="B179" s="5" t="n"/>
      <c r="C179" s="5" t="n"/>
      <c r="D179" s="5" t="n"/>
      <c r="E179" s="5" t="n"/>
      <c r="F179" s="5" t="n"/>
      <c r="G179" s="8" t="n"/>
      <c r="H179" s="5" t="n"/>
      <c r="I179" s="5" t="n"/>
      <c r="J179" s="5" t="n"/>
      <c r="K179" s="5" t="n"/>
    </row>
    <row r="180">
      <c r="A180" s="5" t="n"/>
      <c r="B180" s="5" t="n"/>
      <c r="C180" s="5" t="n"/>
      <c r="D180" s="5" t="n"/>
      <c r="E180" s="5" t="n"/>
      <c r="F180" s="5" t="n"/>
      <c r="G180" s="8" t="n"/>
      <c r="H180" s="5" t="n"/>
      <c r="I180" s="5" t="n"/>
      <c r="J180" s="5" t="n"/>
      <c r="K180" s="5" t="n"/>
    </row>
    <row r="181">
      <c r="A181" s="5" t="n"/>
      <c r="B181" s="5" t="n"/>
      <c r="C181" s="5" t="n"/>
      <c r="D181" s="5" t="n"/>
      <c r="E181" s="5" t="n"/>
      <c r="F181" s="5" t="n"/>
      <c r="G181" s="8" t="n"/>
      <c r="H181" s="5" t="n"/>
      <c r="I181" s="5" t="n"/>
      <c r="J181" s="5" t="n"/>
      <c r="K181" s="5" t="n"/>
    </row>
    <row r="182">
      <c r="A182" s="5" t="n"/>
      <c r="B182" s="5" t="n"/>
      <c r="C182" s="5" t="n"/>
      <c r="D182" s="5" t="n"/>
      <c r="E182" s="5" t="n"/>
      <c r="F182" s="5" t="n"/>
      <c r="G182" s="8" t="n"/>
      <c r="H182" s="5" t="n"/>
      <c r="I182" s="5" t="n"/>
      <c r="J182" s="5" t="n"/>
      <c r="K182" s="5" t="n"/>
    </row>
    <row r="183">
      <c r="A183" s="5" t="n"/>
      <c r="B183" s="5" t="n"/>
      <c r="C183" s="5" t="n"/>
      <c r="D183" s="5" t="n"/>
      <c r="E183" s="5" t="n"/>
      <c r="F183" s="5" t="n"/>
      <c r="G183" s="8" t="n"/>
      <c r="H183" s="5" t="n"/>
      <c r="I183" s="5" t="n"/>
      <c r="J183" s="5" t="n"/>
      <c r="K183" s="5" t="n"/>
    </row>
    <row r="184">
      <c r="A184" s="5" t="n"/>
      <c r="B184" s="5" t="n"/>
      <c r="C184" s="5" t="n"/>
      <c r="D184" s="5" t="n"/>
      <c r="E184" s="5" t="n"/>
      <c r="F184" s="5" t="n"/>
      <c r="G184" s="8" t="n"/>
      <c r="H184" s="5" t="n"/>
      <c r="I184" s="5" t="n"/>
      <c r="J184" s="5" t="n"/>
      <c r="K184" s="5" t="n"/>
    </row>
    <row r="185">
      <c r="A185" s="5" t="n"/>
      <c r="B185" s="5" t="n"/>
      <c r="C185" s="5" t="n"/>
      <c r="D185" s="5" t="n"/>
      <c r="E185" s="5" t="n"/>
      <c r="F185" s="5" t="n"/>
      <c r="G185" s="8" t="n"/>
      <c r="H185" s="5" t="n"/>
      <c r="I185" s="5" t="n"/>
      <c r="J185" s="5" t="n"/>
      <c r="K185" s="5" t="n"/>
    </row>
    <row r="186">
      <c r="A186" s="5" t="n"/>
      <c r="B186" s="5" t="n"/>
      <c r="C186" s="5" t="n"/>
      <c r="D186" s="5" t="n"/>
      <c r="E186" s="5" t="n"/>
      <c r="F186" s="5" t="n"/>
      <c r="G186" s="8" t="n"/>
      <c r="H186" s="5" t="n"/>
      <c r="I186" s="5" t="n"/>
      <c r="J186" s="5" t="n"/>
      <c r="K186" s="5" t="n"/>
    </row>
    <row r="187">
      <c r="A187" s="5" t="n"/>
      <c r="B187" s="5" t="n"/>
      <c r="C187" s="5" t="n"/>
      <c r="D187" s="5" t="n"/>
      <c r="E187" s="5" t="n"/>
      <c r="F187" s="5" t="n"/>
      <c r="G187" s="8" t="n"/>
      <c r="H187" s="5" t="n"/>
      <c r="I187" s="5" t="n"/>
      <c r="J187" s="5" t="n"/>
      <c r="K187" s="5" t="n"/>
    </row>
    <row r="188">
      <c r="A188" s="5" t="n"/>
      <c r="B188" s="5" t="n"/>
      <c r="C188" s="5" t="n"/>
      <c r="D188" s="5" t="n"/>
      <c r="E188" s="5" t="n"/>
      <c r="F188" s="5" t="n"/>
      <c r="G188" s="8" t="n"/>
      <c r="H188" s="5" t="n"/>
      <c r="I188" s="5" t="n"/>
      <c r="J188" s="5" t="n"/>
      <c r="K188" s="5" t="n"/>
    </row>
    <row r="189">
      <c r="A189" s="5" t="n"/>
      <c r="B189" s="5" t="n"/>
      <c r="C189" s="5" t="n"/>
      <c r="D189" s="5" t="n"/>
      <c r="E189" s="5" t="n"/>
      <c r="F189" s="5" t="n"/>
      <c r="G189" s="8" t="n"/>
      <c r="H189" s="5" t="n"/>
      <c r="I189" s="5" t="n"/>
      <c r="J189" s="5" t="n"/>
      <c r="K189" s="5" t="n"/>
    </row>
    <row r="190">
      <c r="A190" s="5" t="n"/>
      <c r="B190" s="5" t="n"/>
      <c r="C190" s="5" t="n"/>
      <c r="D190" s="5" t="n"/>
      <c r="E190" s="5" t="n"/>
      <c r="F190" s="5" t="n"/>
      <c r="G190" s="8" t="n"/>
      <c r="H190" s="5" t="n"/>
      <c r="I190" s="5" t="n"/>
      <c r="J190" s="5" t="n"/>
      <c r="K190" s="5" t="n"/>
    </row>
    <row r="191">
      <c r="A191" s="5" t="n"/>
      <c r="B191" s="5" t="n"/>
      <c r="C191" s="5" t="n"/>
      <c r="D191" s="5" t="n"/>
      <c r="E191" s="5" t="n"/>
      <c r="F191" s="5" t="n"/>
      <c r="G191" s="8" t="n"/>
      <c r="H191" s="5" t="n"/>
      <c r="I191" s="5" t="n"/>
      <c r="J191" s="5" t="n"/>
      <c r="K191" s="5" t="n"/>
    </row>
    <row r="192">
      <c r="A192" s="5" t="n"/>
      <c r="B192" s="5" t="n"/>
      <c r="C192" s="5" t="n"/>
      <c r="D192" s="5" t="n"/>
      <c r="E192" s="5" t="n"/>
      <c r="F192" s="5" t="n"/>
      <c r="G192" s="8" t="n"/>
      <c r="H192" s="5" t="n"/>
      <c r="I192" s="5" t="n"/>
      <c r="J192" s="5" t="n"/>
      <c r="K192" s="5" t="n"/>
    </row>
    <row r="193">
      <c r="A193" s="5" t="n"/>
      <c r="B193" s="5" t="n"/>
      <c r="C193" s="5" t="n"/>
      <c r="D193" s="5" t="n"/>
      <c r="E193" s="5" t="n"/>
      <c r="F193" s="5" t="n"/>
      <c r="G193" s="8" t="n"/>
      <c r="H193" s="5" t="n"/>
      <c r="I193" s="5" t="n"/>
      <c r="J193" s="5" t="n"/>
      <c r="K193" s="5" t="n"/>
    </row>
    <row r="194">
      <c r="A194" s="5" t="n"/>
      <c r="B194" s="5" t="n"/>
      <c r="C194" s="5" t="n"/>
      <c r="D194" s="5" t="n"/>
      <c r="E194" s="5" t="n"/>
      <c r="F194" s="5" t="n"/>
      <c r="G194" s="8" t="n"/>
      <c r="H194" s="5" t="n"/>
      <c r="I194" s="5" t="n"/>
      <c r="J194" s="5" t="n"/>
      <c r="K194" s="5" t="n"/>
    </row>
    <row r="195">
      <c r="A195" s="5" t="n"/>
      <c r="B195" s="5" t="n"/>
      <c r="C195" s="5" t="n"/>
      <c r="D195" s="5" t="n"/>
      <c r="E195" s="5" t="n"/>
      <c r="F195" s="5" t="n"/>
      <c r="G195" s="8" t="n"/>
      <c r="H195" s="5" t="n"/>
      <c r="I195" s="5" t="n"/>
      <c r="J195" s="5" t="n"/>
      <c r="K195" s="5" t="n"/>
    </row>
    <row r="196">
      <c r="A196" s="5" t="n"/>
      <c r="B196" s="5" t="n"/>
      <c r="C196" s="5" t="n"/>
      <c r="D196" s="5" t="n"/>
      <c r="E196" s="5" t="n"/>
      <c r="F196" s="5" t="n"/>
      <c r="G196" s="8" t="n"/>
      <c r="H196" s="5" t="n"/>
      <c r="I196" s="5" t="n"/>
      <c r="J196" s="5" t="n"/>
      <c r="K196" s="5" t="n"/>
    </row>
    <row r="197">
      <c r="A197" s="5" t="n"/>
      <c r="B197" s="5" t="n"/>
      <c r="C197" s="5" t="n"/>
      <c r="D197" s="5" t="n"/>
      <c r="E197" s="5" t="n"/>
      <c r="F197" s="5" t="n"/>
      <c r="G197" s="8" t="n"/>
      <c r="H197" s="5" t="n"/>
      <c r="I197" s="5" t="n"/>
      <c r="J197" s="5" t="n"/>
      <c r="K197" s="5" t="n"/>
    </row>
    <row r="198">
      <c r="A198" s="5" t="n"/>
      <c r="B198" s="5" t="n"/>
      <c r="C198" s="5" t="n"/>
      <c r="D198" s="5" t="n"/>
      <c r="E198" s="5" t="n"/>
      <c r="F198" s="5" t="n"/>
      <c r="G198" s="8" t="n"/>
      <c r="H198" s="5" t="n"/>
      <c r="I198" s="5" t="n"/>
      <c r="J198" s="5" t="n"/>
      <c r="K198" s="5" t="n"/>
    </row>
    <row r="199">
      <c r="A199" s="5" t="n"/>
      <c r="B199" s="5" t="n"/>
      <c r="C199" s="5" t="n"/>
      <c r="D199" s="5" t="n"/>
      <c r="E199" s="5" t="n"/>
      <c r="F199" s="5" t="n"/>
      <c r="G199" s="8" t="n"/>
      <c r="H199" s="5" t="n"/>
      <c r="I199" s="5" t="n"/>
      <c r="J199" s="5" t="n"/>
      <c r="K199" s="5" t="n"/>
    </row>
    <row r="200">
      <c r="A200" s="5" t="n"/>
      <c r="B200" s="5" t="n"/>
      <c r="C200" s="5" t="n"/>
      <c r="D200" s="5" t="n"/>
      <c r="E200" s="5" t="n"/>
      <c r="F200" s="5" t="n"/>
      <c r="G200" s="8" t="n"/>
      <c r="H200" s="5" t="n"/>
      <c r="I200" s="5" t="n"/>
      <c r="J200" s="5" t="n"/>
      <c r="K200" s="5" t="n"/>
    </row>
    <row r="201">
      <c r="A201" s="5" t="n"/>
      <c r="B201" s="5" t="n"/>
      <c r="C201" s="5" t="n"/>
      <c r="D201" s="5" t="n"/>
      <c r="E201" s="5" t="n"/>
      <c r="F201" s="5" t="n"/>
      <c r="G201" s="8" t="n"/>
      <c r="H201" s="5" t="n"/>
      <c r="I201" s="5" t="n"/>
      <c r="J201" s="5" t="n"/>
      <c r="K201" s="5" t="n"/>
    </row>
    <row r="202">
      <c r="A202" s="5" t="n"/>
      <c r="B202" s="5" t="n"/>
      <c r="C202" s="5" t="n"/>
      <c r="D202" s="5" t="n"/>
      <c r="E202" s="5" t="n"/>
      <c r="F202" s="5" t="n"/>
      <c r="G202" s="8" t="n"/>
      <c r="H202" s="5" t="n"/>
      <c r="I202" s="5" t="n"/>
      <c r="J202" s="5" t="n"/>
      <c r="K202" s="5" t="n"/>
    </row>
    <row r="203">
      <c r="A203" s="5" t="n"/>
      <c r="B203" s="5" t="n"/>
      <c r="C203" s="5" t="n"/>
      <c r="D203" s="5" t="n"/>
      <c r="E203" s="5" t="n"/>
      <c r="F203" s="5" t="n"/>
      <c r="G203" s="8" t="n"/>
      <c r="H203" s="5" t="n"/>
      <c r="I203" s="5" t="n"/>
      <c r="J203" s="5" t="n"/>
      <c r="K203" s="5" t="n"/>
    </row>
    <row r="204">
      <c r="A204" s="5" t="n"/>
      <c r="B204" s="5" t="n"/>
      <c r="C204" s="5" t="n"/>
      <c r="D204" s="5" t="n"/>
      <c r="E204" s="5" t="n"/>
      <c r="F204" s="5" t="n"/>
      <c r="G204" s="8" t="n"/>
      <c r="H204" s="5" t="n"/>
      <c r="I204" s="5" t="n"/>
      <c r="J204" s="5" t="n"/>
      <c r="K204" s="5" t="n"/>
    </row>
    <row r="205">
      <c r="A205" s="5" t="n"/>
      <c r="B205" s="5" t="n"/>
      <c r="C205" s="5" t="n"/>
      <c r="D205" s="5" t="n"/>
      <c r="E205" s="5" t="n"/>
      <c r="F205" s="5" t="n"/>
      <c r="G205" s="8" t="n"/>
      <c r="H205" s="5" t="n"/>
      <c r="I205" s="5" t="n"/>
      <c r="J205" s="5" t="n"/>
      <c r="K205" s="5" t="n"/>
    </row>
    <row r="206">
      <c r="A206" s="5" t="n"/>
      <c r="B206" s="5" t="n"/>
      <c r="C206" s="5" t="n"/>
      <c r="D206" s="5" t="n"/>
      <c r="E206" s="5" t="n"/>
      <c r="F206" s="5" t="n"/>
      <c r="G206" s="8" t="n"/>
      <c r="H206" s="5" t="n"/>
      <c r="I206" s="5" t="n"/>
      <c r="J206" s="5" t="n"/>
      <c r="K206" s="5" t="n"/>
    </row>
    <row r="207">
      <c r="A207" s="5" t="n"/>
      <c r="B207" s="5" t="n"/>
      <c r="C207" s="5" t="n"/>
      <c r="D207" s="5" t="n"/>
      <c r="E207" s="5" t="n"/>
      <c r="F207" s="5" t="n"/>
      <c r="G207" s="8" t="n"/>
      <c r="H207" s="5" t="n"/>
      <c r="I207" s="5" t="n"/>
      <c r="J207" s="5" t="n"/>
      <c r="K207" s="5" t="n"/>
    </row>
    <row r="208">
      <c r="A208" s="5" t="n"/>
      <c r="B208" s="5" t="n"/>
      <c r="C208" s="5" t="n"/>
      <c r="D208" s="5" t="n"/>
      <c r="E208" s="5" t="n"/>
      <c r="F208" s="5" t="n"/>
      <c r="G208" s="8" t="n"/>
      <c r="H208" s="5" t="n"/>
      <c r="I208" s="5" t="n"/>
      <c r="J208" s="5" t="n"/>
      <c r="K208" s="5" t="n"/>
    </row>
    <row r="209">
      <c r="A209" s="5" t="n"/>
      <c r="B209" s="5" t="n"/>
      <c r="C209" s="5" t="n"/>
      <c r="D209" s="5" t="n"/>
      <c r="E209" s="5" t="n"/>
      <c r="F209" s="5" t="n"/>
      <c r="G209" s="8" t="n"/>
      <c r="H209" s="5" t="n"/>
      <c r="I209" s="5" t="n"/>
      <c r="J209" s="5" t="n"/>
      <c r="K209" s="5" t="n"/>
    </row>
    <row r="210">
      <c r="A210" s="5" t="n"/>
      <c r="B210" s="5" t="n"/>
      <c r="C210" s="5" t="n"/>
      <c r="D210" s="5" t="n"/>
      <c r="E210" s="5" t="n"/>
      <c r="F210" s="5" t="n"/>
      <c r="G210" s="8" t="n"/>
      <c r="H210" s="5" t="n"/>
      <c r="I210" s="5" t="n"/>
      <c r="J210" s="5" t="n"/>
      <c r="K210" s="5" t="n"/>
    </row>
    <row r="211">
      <c r="A211" s="5" t="n"/>
      <c r="B211" s="5" t="n"/>
      <c r="C211" s="5" t="n"/>
      <c r="D211" s="5" t="n"/>
      <c r="E211" s="5" t="n"/>
      <c r="F211" s="5" t="n"/>
      <c r="G211" s="8" t="n"/>
      <c r="H211" s="5" t="n"/>
      <c r="I211" s="5" t="n"/>
      <c r="J211" s="5" t="n"/>
      <c r="K211" s="5" t="n"/>
    </row>
    <row r="212">
      <c r="A212" s="5" t="n"/>
      <c r="B212" s="5" t="n"/>
      <c r="C212" s="5" t="n"/>
      <c r="D212" s="5" t="n"/>
      <c r="E212" s="5" t="n"/>
      <c r="F212" s="5" t="n"/>
      <c r="G212" s="8" t="n"/>
      <c r="H212" s="5" t="n"/>
      <c r="I212" s="5" t="n"/>
      <c r="J212" s="5" t="n"/>
      <c r="K212" s="5" t="n"/>
    </row>
    <row r="213">
      <c r="A213" s="5" t="n"/>
      <c r="B213" s="5" t="n"/>
      <c r="C213" s="5" t="n"/>
      <c r="D213" s="5" t="n"/>
      <c r="E213" s="5" t="n"/>
      <c r="F213" s="5" t="n"/>
      <c r="G213" s="8" t="n"/>
      <c r="H213" s="5" t="n"/>
      <c r="I213" s="5" t="n"/>
      <c r="J213" s="5" t="n"/>
      <c r="K213" s="5" t="n"/>
    </row>
    <row r="214">
      <c r="A214" s="5" t="n"/>
      <c r="B214" s="5" t="n"/>
      <c r="C214" s="5" t="n"/>
      <c r="D214" s="5" t="n"/>
      <c r="E214" s="5" t="n"/>
      <c r="F214" s="5" t="n"/>
      <c r="G214" s="8" t="n"/>
      <c r="H214" s="5" t="n"/>
      <c r="I214" s="5" t="n"/>
      <c r="J214" s="5" t="n"/>
      <c r="K214" s="5" t="n"/>
    </row>
    <row r="215">
      <c r="A215" s="5" t="n"/>
      <c r="B215" s="5" t="n"/>
      <c r="C215" s="5" t="n"/>
      <c r="D215" s="5" t="n"/>
      <c r="E215" s="5" t="n"/>
      <c r="F215" s="5" t="n"/>
      <c r="G215" s="8" t="n"/>
      <c r="H215" s="5" t="n"/>
      <c r="I215" s="5" t="n"/>
      <c r="J215" s="5" t="n"/>
      <c r="K215" s="5" t="n"/>
    </row>
    <row r="216">
      <c r="A216" s="5" t="n"/>
      <c r="B216" s="5" t="n"/>
      <c r="C216" s="5" t="n"/>
      <c r="D216" s="5" t="n"/>
      <c r="E216" s="5" t="n"/>
      <c r="F216" s="5" t="n"/>
      <c r="G216" s="8" t="n"/>
      <c r="H216" s="5" t="n"/>
      <c r="I216" s="5" t="n"/>
      <c r="J216" s="5" t="n"/>
      <c r="K216" s="5" t="n"/>
    </row>
    <row r="217">
      <c r="A217" s="5" t="n"/>
      <c r="B217" s="5" t="n"/>
      <c r="C217" s="5" t="n"/>
      <c r="D217" s="5" t="n"/>
      <c r="E217" s="5" t="n"/>
      <c r="F217" s="5" t="n"/>
      <c r="G217" s="8" t="n"/>
      <c r="H217" s="5" t="n"/>
      <c r="I217" s="5" t="n"/>
      <c r="J217" s="5" t="n"/>
      <c r="K217" s="5" t="n"/>
    </row>
    <row r="218">
      <c r="A218" s="5" t="n"/>
      <c r="B218" s="5" t="n"/>
      <c r="C218" s="5" t="n"/>
      <c r="D218" s="5" t="n"/>
      <c r="E218" s="5" t="n"/>
      <c r="F218" s="5" t="n"/>
      <c r="G218" s="8" t="n"/>
      <c r="H218" s="5" t="n"/>
      <c r="I218" s="5" t="n"/>
      <c r="J218" s="5" t="n"/>
      <c r="K218" s="5" t="n"/>
    </row>
    <row r="219">
      <c r="A219" s="5" t="n"/>
      <c r="B219" s="5" t="n"/>
      <c r="C219" s="5" t="n"/>
      <c r="D219" s="5" t="n"/>
      <c r="E219" s="5" t="n"/>
      <c r="F219" s="5" t="n"/>
      <c r="G219" s="8" t="n"/>
      <c r="H219" s="5" t="n"/>
      <c r="I219" s="5" t="n"/>
      <c r="J219" s="5" t="n"/>
      <c r="K219" s="5" t="n"/>
    </row>
    <row r="220">
      <c r="A220" s="5" t="n"/>
      <c r="B220" s="5" t="n"/>
      <c r="C220" s="5" t="n"/>
      <c r="D220" s="5" t="n"/>
      <c r="E220" s="5" t="n"/>
      <c r="F220" s="5" t="n"/>
      <c r="G220" s="8" t="n"/>
      <c r="H220" s="5" t="n"/>
      <c r="I220" s="5" t="n"/>
      <c r="J220" s="5" t="n"/>
      <c r="K220" s="5" t="n"/>
    </row>
    <row r="221">
      <c r="A221" s="5" t="n"/>
      <c r="B221" s="5" t="n"/>
      <c r="C221" s="5" t="n"/>
      <c r="D221" s="5" t="n"/>
      <c r="E221" s="5" t="n"/>
      <c r="F221" s="5" t="n"/>
      <c r="G221" s="8" t="n"/>
      <c r="H221" s="5" t="n"/>
      <c r="I221" s="5" t="n"/>
      <c r="J221" s="5" t="n"/>
      <c r="K221" s="5" t="n"/>
    </row>
    <row r="222">
      <c r="A222" s="5" t="n"/>
      <c r="B222" s="5" t="n"/>
      <c r="C222" s="5" t="n"/>
      <c r="D222" s="5" t="n"/>
      <c r="E222" s="5" t="n"/>
      <c r="F222" s="5" t="n"/>
      <c r="G222" s="8" t="n"/>
      <c r="H222" s="5" t="n"/>
      <c r="I222" s="5" t="n"/>
      <c r="J222" s="5" t="n"/>
      <c r="K222" s="5" t="n"/>
    </row>
    <row r="223">
      <c r="A223" s="5" t="n"/>
      <c r="B223" s="5" t="n"/>
      <c r="C223" s="5" t="n"/>
      <c r="D223" s="5" t="n"/>
      <c r="E223" s="5" t="n"/>
      <c r="F223" s="5" t="n"/>
      <c r="G223" s="8" t="n"/>
      <c r="H223" s="5" t="n"/>
      <c r="I223" s="5" t="n"/>
      <c r="J223" s="5" t="n"/>
      <c r="K223" s="5" t="n"/>
    </row>
    <row r="224">
      <c r="A224" s="5" t="n"/>
      <c r="B224" s="5" t="n"/>
      <c r="C224" s="5" t="n"/>
      <c r="D224" s="5" t="n"/>
      <c r="E224" s="5" t="n"/>
      <c r="F224" s="5" t="n"/>
      <c r="G224" s="8" t="n"/>
      <c r="H224" s="5" t="n"/>
      <c r="I224" s="5" t="n"/>
      <c r="J224" s="5" t="n"/>
      <c r="K224" s="5" t="n"/>
    </row>
    <row r="225">
      <c r="A225" s="5" t="n"/>
      <c r="B225" s="5" t="n"/>
      <c r="C225" s="5" t="n"/>
      <c r="D225" s="5" t="n"/>
      <c r="E225" s="5" t="n"/>
      <c r="F225" s="5" t="n"/>
      <c r="G225" s="8" t="n"/>
      <c r="H225" s="5" t="n"/>
      <c r="I225" s="5" t="n"/>
      <c r="J225" s="5" t="n"/>
      <c r="K225" s="5" t="n"/>
    </row>
    <row r="226">
      <c r="A226" s="5" t="n"/>
      <c r="B226" s="5" t="n"/>
      <c r="C226" s="5" t="n"/>
      <c r="D226" s="5" t="n"/>
      <c r="E226" s="5" t="n"/>
      <c r="F226" s="5" t="n"/>
      <c r="G226" s="8" t="n"/>
      <c r="H226" s="5" t="n"/>
      <c r="I226" s="5" t="n"/>
      <c r="J226" s="5" t="n"/>
      <c r="K226" s="5" t="n"/>
    </row>
    <row r="227">
      <c r="A227" s="5" t="n"/>
      <c r="B227" s="5" t="n"/>
      <c r="C227" s="5" t="n"/>
      <c r="D227" s="5" t="n"/>
      <c r="E227" s="5" t="n"/>
      <c r="F227" s="5" t="n"/>
      <c r="G227" s="8" t="n"/>
      <c r="H227" s="5" t="n"/>
      <c r="I227" s="5" t="n"/>
      <c r="J227" s="5" t="n"/>
      <c r="K227" s="5" t="n"/>
    </row>
    <row r="228">
      <c r="A228" s="5" t="n"/>
      <c r="B228" s="5" t="n"/>
      <c r="C228" s="5" t="n"/>
      <c r="D228" s="5" t="n"/>
      <c r="E228" s="5" t="n"/>
      <c r="F228" s="5" t="n"/>
      <c r="G228" s="8" t="n"/>
      <c r="H228" s="5" t="n"/>
      <c r="I228" s="5" t="n"/>
      <c r="J228" s="5" t="n"/>
      <c r="K228" s="5" t="n"/>
    </row>
    <row r="229">
      <c r="A229" s="5" t="n"/>
      <c r="B229" s="5" t="n"/>
      <c r="C229" s="5" t="n"/>
      <c r="D229" s="5" t="n"/>
      <c r="E229" s="5" t="n"/>
      <c r="F229" s="5" t="n"/>
      <c r="G229" s="8" t="n"/>
      <c r="H229" s="5" t="n"/>
      <c r="I229" s="5" t="n"/>
      <c r="J229" s="5" t="n"/>
      <c r="K229" s="5" t="n"/>
    </row>
    <row r="230">
      <c r="A230" s="5" t="n"/>
      <c r="B230" s="5" t="n"/>
      <c r="C230" s="5" t="n"/>
      <c r="D230" s="5" t="n"/>
      <c r="E230" s="5" t="n"/>
      <c r="F230" s="5" t="n"/>
      <c r="G230" s="8" t="n"/>
      <c r="H230" s="5" t="n"/>
      <c r="I230" s="5" t="n"/>
      <c r="J230" s="5" t="n"/>
      <c r="K230" s="5" t="n"/>
    </row>
    <row r="231">
      <c r="A231" s="5" t="n"/>
      <c r="B231" s="5" t="n"/>
      <c r="C231" s="5" t="n"/>
      <c r="D231" s="5" t="n"/>
      <c r="E231" s="5" t="n"/>
      <c r="F231" s="5" t="n"/>
      <c r="G231" s="8" t="n"/>
      <c r="H231" s="5" t="n"/>
      <c r="I231" s="5" t="n"/>
      <c r="J231" s="5" t="n"/>
      <c r="K231" s="5" t="n"/>
    </row>
    <row r="232">
      <c r="A232" s="5" t="n"/>
      <c r="B232" s="5" t="n"/>
      <c r="C232" s="5" t="n"/>
      <c r="D232" s="5" t="n"/>
      <c r="E232" s="5" t="n"/>
      <c r="F232" s="5" t="n"/>
      <c r="G232" s="8" t="n"/>
      <c r="H232" s="5" t="n"/>
      <c r="I232" s="5" t="n"/>
      <c r="J232" s="5" t="n"/>
      <c r="K232" s="5" t="n"/>
    </row>
    <row r="233">
      <c r="A233" s="5" t="n"/>
      <c r="B233" s="5" t="n"/>
      <c r="C233" s="5" t="n"/>
      <c r="D233" s="5" t="n"/>
      <c r="E233" s="5" t="n"/>
      <c r="F233" s="5" t="n"/>
      <c r="G233" s="8" t="n"/>
      <c r="H233" s="5" t="n"/>
      <c r="I233" s="5" t="n"/>
      <c r="J233" s="5" t="n"/>
      <c r="K233" s="5" t="n"/>
    </row>
    <row r="234">
      <c r="A234" s="5" t="n"/>
      <c r="B234" s="5" t="n"/>
      <c r="C234" s="5" t="n"/>
      <c r="D234" s="5" t="n"/>
      <c r="E234" s="5" t="n"/>
      <c r="F234" s="5" t="n"/>
      <c r="G234" s="8" t="n"/>
      <c r="H234" s="5" t="n"/>
      <c r="I234" s="5" t="n"/>
      <c r="J234" s="5" t="n"/>
      <c r="K234" s="5" t="n"/>
    </row>
    <row r="235">
      <c r="A235" s="5" t="n"/>
      <c r="B235" s="5" t="n"/>
      <c r="C235" s="5" t="n"/>
      <c r="D235" s="5" t="n"/>
      <c r="E235" s="5" t="n"/>
      <c r="F235" s="5" t="n"/>
      <c r="G235" s="8" t="n"/>
      <c r="H235" s="5" t="n"/>
      <c r="I235" s="5" t="n"/>
      <c r="J235" s="5" t="n"/>
      <c r="K235" s="5" t="n"/>
    </row>
    <row r="236">
      <c r="A236" s="5" t="n"/>
      <c r="B236" s="5" t="n"/>
      <c r="C236" s="5" t="n"/>
      <c r="D236" s="5" t="n"/>
      <c r="E236" s="5" t="n"/>
      <c r="F236" s="5" t="n"/>
      <c r="G236" s="8" t="n"/>
      <c r="H236" s="5" t="n"/>
      <c r="I236" s="5" t="n"/>
      <c r="J236" s="5" t="n"/>
      <c r="K236" s="5" t="n"/>
    </row>
    <row r="237">
      <c r="A237" s="5" t="n"/>
      <c r="B237" s="5" t="n"/>
      <c r="C237" s="5" t="n"/>
      <c r="D237" s="5" t="n"/>
      <c r="E237" s="5" t="n"/>
      <c r="F237" s="5" t="n"/>
      <c r="G237" s="8" t="n"/>
      <c r="H237" s="5" t="n"/>
      <c r="I237" s="5" t="n"/>
      <c r="J237" s="5" t="n"/>
      <c r="K237" s="5" t="n"/>
    </row>
    <row r="238">
      <c r="A238" s="5" t="n"/>
      <c r="B238" s="5" t="n"/>
      <c r="C238" s="5" t="n"/>
      <c r="D238" s="5" t="n"/>
      <c r="E238" s="5" t="n"/>
      <c r="F238" s="5" t="n"/>
      <c r="G238" s="8" t="n"/>
      <c r="H238" s="5" t="n"/>
      <c r="I238" s="5" t="n"/>
      <c r="J238" s="5" t="n"/>
      <c r="K238" s="5" t="n"/>
    </row>
    <row r="239">
      <c r="A239" s="5" t="n"/>
      <c r="B239" s="5" t="n"/>
      <c r="C239" s="5" t="n"/>
      <c r="D239" s="5" t="n"/>
      <c r="E239" s="5" t="n"/>
      <c r="F239" s="5" t="n"/>
      <c r="G239" s="8" t="n"/>
      <c r="H239" s="5" t="n"/>
      <c r="I239" s="5" t="n"/>
      <c r="J239" s="5" t="n"/>
      <c r="K239" s="5" t="n"/>
    </row>
    <row r="240">
      <c r="A240" s="5" t="n"/>
      <c r="B240" s="5" t="n"/>
      <c r="C240" s="5" t="n"/>
      <c r="D240" s="5" t="n"/>
      <c r="E240" s="5" t="n"/>
      <c r="F240" s="5" t="n"/>
      <c r="G240" s="8" t="n"/>
      <c r="H240" s="5" t="n"/>
      <c r="I240" s="5" t="n"/>
      <c r="J240" s="5" t="n"/>
      <c r="K240" s="5" t="n"/>
    </row>
    <row r="241">
      <c r="A241" s="5" t="n"/>
      <c r="B241" s="5" t="n"/>
      <c r="C241" s="5" t="n"/>
      <c r="D241" s="5" t="n"/>
      <c r="E241" s="5" t="n"/>
      <c r="F241" s="5" t="n"/>
      <c r="G241" s="8" t="n"/>
      <c r="H241" s="5" t="n"/>
      <c r="I241" s="5" t="n"/>
      <c r="J241" s="5" t="n"/>
      <c r="K241" s="5" t="n"/>
    </row>
    <row r="242">
      <c r="A242" s="5" t="n"/>
      <c r="B242" s="5" t="n"/>
      <c r="C242" s="5" t="n"/>
      <c r="D242" s="5" t="n"/>
      <c r="E242" s="5" t="n"/>
      <c r="F242" s="5" t="n"/>
      <c r="G242" s="8" t="n"/>
      <c r="H242" s="5" t="n"/>
      <c r="I242" s="5" t="n"/>
      <c r="J242" s="5" t="n"/>
      <c r="K242" s="5" t="n"/>
    </row>
    <row r="243">
      <c r="A243" s="5" t="n"/>
      <c r="B243" s="5" t="n"/>
      <c r="C243" s="5" t="n"/>
      <c r="D243" s="5" t="n"/>
      <c r="E243" s="5" t="n"/>
      <c r="F243" s="5" t="n"/>
      <c r="G243" s="8" t="n"/>
      <c r="H243" s="5" t="n"/>
      <c r="I243" s="5" t="n"/>
      <c r="J243" s="5" t="n"/>
      <c r="K243" s="5" t="n"/>
    </row>
    <row r="244">
      <c r="A244" s="5" t="n"/>
      <c r="B244" s="5" t="n"/>
      <c r="C244" s="5" t="n"/>
      <c r="D244" s="5" t="n"/>
      <c r="E244" s="5" t="n"/>
      <c r="F244" s="5" t="n"/>
      <c r="G244" s="8" t="n"/>
      <c r="H244" s="5" t="n"/>
      <c r="I244" s="5" t="n"/>
      <c r="J244" s="5" t="n"/>
      <c r="K244" s="5" t="n"/>
    </row>
    <row r="245">
      <c r="A245" s="5" t="n"/>
      <c r="B245" s="5" t="n"/>
      <c r="C245" s="5" t="n"/>
      <c r="D245" s="5" t="n"/>
      <c r="E245" s="5" t="n"/>
      <c r="F245" s="5" t="n"/>
      <c r="G245" s="8" t="n"/>
      <c r="H245" s="5" t="n"/>
      <c r="I245" s="5" t="n"/>
      <c r="J245" s="5" t="n"/>
      <c r="K245" s="5" t="n"/>
    </row>
    <row r="246">
      <c r="A246" s="5" t="n"/>
      <c r="B246" s="5" t="n"/>
      <c r="C246" s="5" t="n"/>
      <c r="D246" s="5" t="n"/>
      <c r="E246" s="5" t="n"/>
      <c r="F246" s="5" t="n"/>
      <c r="G246" s="8" t="n"/>
      <c r="H246" s="5" t="n"/>
      <c r="I246" s="5" t="n"/>
      <c r="J246" s="5" t="n"/>
      <c r="K246" s="5" t="n"/>
    </row>
    <row r="247">
      <c r="A247" s="5" t="n"/>
      <c r="B247" s="5" t="n"/>
      <c r="C247" s="5" t="n"/>
      <c r="D247" s="5" t="n"/>
      <c r="E247" s="5" t="n"/>
      <c r="F247" s="5" t="n"/>
      <c r="G247" s="8" t="n"/>
      <c r="H247" s="5" t="n"/>
      <c r="I247" s="5" t="n"/>
      <c r="J247" s="5" t="n"/>
      <c r="K247" s="5" t="n"/>
    </row>
    <row r="248">
      <c r="A248" s="5" t="n"/>
      <c r="B248" s="5" t="n"/>
      <c r="C248" s="5" t="n"/>
      <c r="D248" s="5" t="n"/>
      <c r="E248" s="5" t="n"/>
      <c r="F248" s="5" t="n"/>
      <c r="G248" s="8" t="n"/>
      <c r="H248" s="5" t="n"/>
      <c r="I248" s="5" t="n"/>
      <c r="J248" s="5" t="n"/>
      <c r="K248" s="5" t="n"/>
    </row>
    <row r="249">
      <c r="A249" s="5" t="n"/>
      <c r="B249" s="5" t="n"/>
      <c r="C249" s="5" t="n"/>
      <c r="D249" s="5" t="n"/>
      <c r="E249" s="5" t="n"/>
      <c r="F249" s="5" t="n"/>
      <c r="G249" s="8" t="n"/>
      <c r="H249" s="5" t="n"/>
      <c r="I249" s="5" t="n"/>
      <c r="J249" s="5" t="n"/>
      <c r="K249" s="5" t="n"/>
    </row>
    <row r="250">
      <c r="A250" s="5" t="n"/>
      <c r="B250" s="5" t="n"/>
      <c r="C250" s="5" t="n"/>
      <c r="D250" s="5" t="n"/>
      <c r="E250" s="5" t="n"/>
      <c r="F250" s="5" t="n"/>
      <c r="G250" s="8" t="n"/>
      <c r="H250" s="5" t="n"/>
      <c r="I250" s="5" t="n"/>
      <c r="J250" s="5" t="n"/>
      <c r="K250" s="5" t="n"/>
    </row>
    <row r="251">
      <c r="A251" s="5" t="n"/>
      <c r="B251" s="5" t="n"/>
      <c r="C251" s="5" t="n"/>
      <c r="D251" s="5" t="n"/>
      <c r="E251" s="5" t="n"/>
      <c r="F251" s="5" t="n"/>
      <c r="G251" s="8" t="n"/>
      <c r="H251" s="5" t="n"/>
      <c r="I251" s="5" t="n"/>
      <c r="J251" s="5" t="n"/>
      <c r="K251" s="5" t="n"/>
    </row>
    <row r="252">
      <c r="A252" s="5" t="n"/>
      <c r="B252" s="5" t="n"/>
      <c r="C252" s="5" t="n"/>
      <c r="D252" s="5" t="n"/>
      <c r="E252" s="5" t="n"/>
      <c r="F252" s="5" t="n"/>
      <c r="G252" s="8" t="n"/>
      <c r="H252" s="5" t="n"/>
      <c r="I252" s="5" t="n"/>
      <c r="J252" s="5" t="n"/>
      <c r="K252" s="5" t="n"/>
    </row>
    <row r="253">
      <c r="A253" s="5" t="n"/>
      <c r="B253" s="5" t="n"/>
      <c r="C253" s="5" t="n"/>
      <c r="D253" s="5" t="n"/>
      <c r="E253" s="5" t="n"/>
      <c r="F253" s="5" t="n"/>
      <c r="G253" s="8" t="n"/>
      <c r="H253" s="5" t="n"/>
      <c r="I253" s="5" t="n"/>
      <c r="J253" s="5" t="n"/>
      <c r="K253" s="5" t="n"/>
    </row>
    <row r="254">
      <c r="A254" s="5" t="n"/>
      <c r="B254" s="5" t="n"/>
      <c r="C254" s="5" t="n"/>
      <c r="D254" s="5" t="n"/>
      <c r="E254" s="5" t="n"/>
      <c r="F254" s="5" t="n"/>
      <c r="G254" s="8" t="n"/>
      <c r="H254" s="5" t="n"/>
      <c r="I254" s="5" t="n"/>
      <c r="J254" s="5" t="n"/>
      <c r="K254" s="5" t="n"/>
    </row>
    <row r="255">
      <c r="A255" s="5" t="n"/>
      <c r="B255" s="5" t="n"/>
      <c r="C255" s="5" t="n"/>
      <c r="D255" s="5" t="n"/>
      <c r="E255" s="5" t="n"/>
      <c r="F255" s="5" t="n"/>
      <c r="G255" s="8" t="n"/>
      <c r="H255" s="5" t="n"/>
      <c r="I255" s="5" t="n"/>
      <c r="J255" s="5" t="n"/>
      <c r="K255" s="5" t="n"/>
    </row>
    <row r="256">
      <c r="A256" s="5" t="n"/>
      <c r="B256" s="5" t="n"/>
      <c r="C256" s="5" t="n"/>
      <c r="D256" s="5" t="n"/>
      <c r="E256" s="5" t="n"/>
      <c r="F256" s="5" t="n"/>
      <c r="G256" s="8" t="n"/>
      <c r="H256" s="5" t="n"/>
      <c r="I256" s="5" t="n"/>
      <c r="J256" s="5" t="n"/>
      <c r="K256" s="5" t="n"/>
    </row>
    <row r="257">
      <c r="A257" s="5" t="n"/>
      <c r="B257" s="5" t="n"/>
      <c r="C257" s="5" t="n"/>
      <c r="D257" s="5" t="n"/>
      <c r="E257" s="5" t="n"/>
      <c r="F257" s="5" t="n"/>
      <c r="G257" s="8" t="n"/>
      <c r="H257" s="5" t="n"/>
      <c r="I257" s="5" t="n"/>
      <c r="J257" s="5" t="n"/>
      <c r="K257" s="5" t="n"/>
    </row>
    <row r="258">
      <c r="A258" s="5" t="n"/>
      <c r="B258" s="5" t="n"/>
      <c r="C258" s="5" t="n"/>
      <c r="D258" s="5" t="n"/>
      <c r="E258" s="5" t="n"/>
      <c r="F258" s="5" t="n"/>
      <c r="G258" s="8" t="n"/>
      <c r="H258" s="5" t="n"/>
      <c r="I258" s="5" t="n"/>
      <c r="J258" s="5" t="n"/>
      <c r="K258" s="5" t="n"/>
    </row>
    <row r="259">
      <c r="A259" s="5" t="n"/>
      <c r="B259" s="5" t="n"/>
      <c r="C259" s="5" t="n"/>
      <c r="D259" s="5" t="n"/>
      <c r="E259" s="5" t="n"/>
      <c r="F259" s="5" t="n"/>
      <c r="G259" s="8" t="n"/>
      <c r="H259" s="5" t="n"/>
      <c r="I259" s="5" t="n"/>
      <c r="J259" s="5" t="n"/>
      <c r="K259" s="5" t="n"/>
    </row>
    <row r="260">
      <c r="A260" s="5" t="n"/>
      <c r="B260" s="5" t="n"/>
      <c r="C260" s="5" t="n"/>
      <c r="D260" s="5" t="n"/>
      <c r="E260" s="5" t="n"/>
      <c r="F260" s="5" t="n"/>
      <c r="G260" s="8" t="n"/>
      <c r="H260" s="5" t="n"/>
      <c r="I260" s="5" t="n"/>
      <c r="J260" s="5" t="n"/>
      <c r="K260" s="5" t="n"/>
    </row>
    <row r="261">
      <c r="A261" s="5" t="n"/>
      <c r="B261" s="5" t="n"/>
      <c r="C261" s="5" t="n"/>
      <c r="D261" s="5" t="n"/>
      <c r="E261" s="5" t="n"/>
      <c r="F261" s="5" t="n"/>
      <c r="G261" s="8" t="n"/>
      <c r="H261" s="5" t="n"/>
      <c r="I261" s="5" t="n"/>
      <c r="J261" s="5" t="n"/>
      <c r="K261" s="5" t="n"/>
    </row>
    <row r="262">
      <c r="A262" s="5" t="n"/>
      <c r="B262" s="5" t="n"/>
      <c r="C262" s="5" t="n"/>
      <c r="D262" s="5" t="n"/>
      <c r="E262" s="5" t="n"/>
      <c r="F262" s="5" t="n"/>
      <c r="G262" s="8" t="n"/>
      <c r="H262" s="5" t="n"/>
      <c r="I262" s="5" t="n"/>
      <c r="J262" s="5" t="n"/>
      <c r="K262" s="5" t="n"/>
    </row>
    <row r="263">
      <c r="A263" s="5" t="n"/>
      <c r="B263" s="5" t="n"/>
      <c r="C263" s="5" t="n"/>
      <c r="D263" s="5" t="n"/>
      <c r="E263" s="5" t="n"/>
      <c r="F263" s="5" t="n"/>
      <c r="G263" s="8" t="n"/>
      <c r="H263" s="5" t="n"/>
      <c r="I263" s="5" t="n"/>
      <c r="J263" s="5" t="n"/>
      <c r="K263" s="5" t="n"/>
    </row>
    <row r="264">
      <c r="A264" s="5" t="n"/>
      <c r="B264" s="5" t="n"/>
      <c r="C264" s="5" t="n"/>
      <c r="D264" s="5" t="n"/>
      <c r="E264" s="5" t="n"/>
      <c r="F264" s="5" t="n"/>
      <c r="G264" s="8" t="n"/>
      <c r="H264" s="5" t="n"/>
      <c r="I264" s="5" t="n"/>
      <c r="J264" s="5" t="n"/>
      <c r="K264" s="5" t="n"/>
    </row>
    <row r="265">
      <c r="A265" s="5" t="n"/>
      <c r="B265" s="5" t="n"/>
      <c r="C265" s="5" t="n"/>
      <c r="D265" s="5" t="n"/>
      <c r="E265" s="5" t="n"/>
      <c r="F265" s="5" t="n"/>
      <c r="G265" s="8" t="n"/>
      <c r="H265" s="5" t="n"/>
      <c r="I265" s="5" t="n"/>
      <c r="J265" s="5" t="n"/>
      <c r="K265" s="5" t="n"/>
    </row>
    <row r="266">
      <c r="A266" s="5" t="n"/>
      <c r="B266" s="5" t="n"/>
      <c r="C266" s="5" t="n"/>
      <c r="D266" s="5" t="n"/>
      <c r="E266" s="5" t="n"/>
      <c r="F266" s="5" t="n"/>
      <c r="G266" s="8" t="n"/>
      <c r="H266" s="5" t="n"/>
      <c r="I266" s="5" t="n"/>
      <c r="J266" s="5" t="n"/>
      <c r="K266" s="5" t="n"/>
    </row>
    <row r="267">
      <c r="A267" s="5" t="n"/>
      <c r="B267" s="5" t="n"/>
      <c r="C267" s="5" t="n"/>
      <c r="D267" s="5" t="n"/>
      <c r="E267" s="5" t="n"/>
      <c r="F267" s="5" t="n"/>
      <c r="G267" s="8" t="n"/>
      <c r="H267" s="5" t="n"/>
      <c r="I267" s="5" t="n"/>
      <c r="J267" s="5" t="n"/>
      <c r="K267" s="5" t="n"/>
    </row>
    <row r="268">
      <c r="A268" s="5" t="n"/>
      <c r="B268" s="5" t="n"/>
      <c r="C268" s="5" t="n"/>
      <c r="D268" s="5" t="n"/>
      <c r="E268" s="5" t="n"/>
      <c r="F268" s="5" t="n"/>
      <c r="G268" s="8" t="n"/>
      <c r="H268" s="5" t="n"/>
      <c r="I268" s="5" t="n"/>
      <c r="J268" s="5" t="n"/>
      <c r="K268" s="5" t="n"/>
    </row>
    <row r="269">
      <c r="A269" s="5" t="n"/>
      <c r="B269" s="5" t="n"/>
      <c r="C269" s="5" t="n"/>
      <c r="D269" s="5" t="n"/>
      <c r="E269" s="5" t="n"/>
      <c r="F269" s="5" t="n"/>
      <c r="G269" s="8" t="n"/>
      <c r="H269" s="5" t="n"/>
      <c r="I269" s="5" t="n"/>
      <c r="J269" s="5" t="n"/>
      <c r="K269" s="5" t="n"/>
    </row>
    <row r="270">
      <c r="A270" s="5" t="n"/>
      <c r="B270" s="5" t="n"/>
      <c r="C270" s="5" t="n"/>
      <c r="D270" s="5" t="n"/>
      <c r="E270" s="5" t="n"/>
      <c r="F270" s="5" t="n"/>
      <c r="G270" s="8" t="n"/>
      <c r="H270" s="5" t="n"/>
      <c r="I270" s="5" t="n"/>
      <c r="J270" s="5" t="n"/>
      <c r="K270" s="5" t="n"/>
    </row>
    <row r="271">
      <c r="A271" s="5" t="n"/>
      <c r="B271" s="5" t="n"/>
      <c r="C271" s="5" t="n"/>
      <c r="D271" s="5" t="n"/>
      <c r="E271" s="5" t="n"/>
      <c r="F271" s="5" t="n"/>
      <c r="G271" s="8" t="n"/>
      <c r="H271" s="5" t="n"/>
      <c r="I271" s="5" t="n"/>
      <c r="J271" s="5" t="n"/>
      <c r="K271" s="5" t="n"/>
    </row>
    <row r="272">
      <c r="A272" s="5" t="n"/>
      <c r="B272" s="5" t="n"/>
      <c r="C272" s="5" t="n"/>
      <c r="D272" s="5" t="n"/>
      <c r="E272" s="5" t="n"/>
      <c r="F272" s="5" t="n"/>
      <c r="G272" s="8" t="n"/>
      <c r="H272" s="5" t="n"/>
      <c r="I272" s="5" t="n"/>
      <c r="J272" s="5" t="n"/>
      <c r="K272" s="5" t="n"/>
    </row>
    <row r="273">
      <c r="A273" s="5" t="n"/>
      <c r="B273" s="5" t="n"/>
      <c r="C273" s="5" t="n"/>
      <c r="D273" s="5" t="n"/>
      <c r="E273" s="5" t="n"/>
      <c r="F273" s="5" t="n"/>
      <c r="G273" s="8" t="n"/>
      <c r="H273" s="5" t="n"/>
      <c r="I273" s="5" t="n"/>
      <c r="J273" s="5" t="n"/>
      <c r="K273" s="5" t="n"/>
    </row>
    <row r="274">
      <c r="A274" s="5" t="n"/>
      <c r="B274" s="5" t="n"/>
      <c r="C274" s="5" t="n"/>
      <c r="D274" s="5" t="n"/>
      <c r="E274" s="5" t="n"/>
      <c r="F274" s="5" t="n"/>
      <c r="G274" s="8" t="n"/>
      <c r="H274" s="5" t="n"/>
      <c r="I274" s="5" t="n"/>
      <c r="J274" s="5" t="n"/>
      <c r="K274" s="5" t="n"/>
    </row>
    <row r="275">
      <c r="A275" s="5" t="n"/>
      <c r="B275" s="5" t="n"/>
      <c r="C275" s="5" t="n"/>
      <c r="D275" s="5" t="n"/>
      <c r="E275" s="5" t="n"/>
      <c r="F275" s="5" t="n"/>
      <c r="G275" s="8" t="n"/>
      <c r="H275" s="5" t="n"/>
      <c r="I275" s="5" t="n"/>
      <c r="J275" s="5" t="n"/>
      <c r="K275" s="5" t="n"/>
    </row>
    <row r="276">
      <c r="A276" s="5" t="n"/>
      <c r="B276" s="5" t="n"/>
      <c r="C276" s="5" t="n"/>
      <c r="D276" s="5" t="n"/>
      <c r="E276" s="5" t="n"/>
      <c r="F276" s="5" t="n"/>
      <c r="G276" s="8" t="n"/>
      <c r="H276" s="5" t="n"/>
      <c r="I276" s="5" t="n"/>
      <c r="J276" s="5" t="n"/>
      <c r="K276" s="5" t="n"/>
    </row>
    <row r="277">
      <c r="A277" s="5" t="n"/>
      <c r="B277" s="5" t="n"/>
      <c r="C277" s="5" t="n"/>
      <c r="D277" s="5" t="n"/>
      <c r="E277" s="5" t="n"/>
      <c r="F277" s="5" t="n"/>
      <c r="G277" s="8" t="n"/>
      <c r="H277" s="5" t="n"/>
      <c r="I277" s="5" t="n"/>
      <c r="J277" s="5" t="n"/>
      <c r="K277" s="5" t="n"/>
    </row>
    <row r="278">
      <c r="A278" s="5" t="n"/>
      <c r="B278" s="5" t="n"/>
      <c r="C278" s="5" t="n"/>
      <c r="D278" s="5" t="n"/>
      <c r="E278" s="5" t="n"/>
      <c r="F278" s="5" t="n"/>
      <c r="G278" s="8" t="n"/>
      <c r="H278" s="5" t="n"/>
      <c r="I278" s="5" t="n"/>
      <c r="J278" s="5" t="n"/>
      <c r="K278" s="5" t="n"/>
    </row>
    <row r="279">
      <c r="A279" s="5" t="n"/>
      <c r="B279" s="5" t="n"/>
      <c r="C279" s="5" t="n"/>
      <c r="D279" s="5" t="n"/>
      <c r="E279" s="5" t="n"/>
      <c r="F279" s="5" t="n"/>
      <c r="G279" s="8" t="n"/>
      <c r="H279" s="5" t="n"/>
      <c r="I279" s="5" t="n"/>
      <c r="J279" s="5" t="n"/>
      <c r="K279" s="5" t="n"/>
    </row>
    <row r="280">
      <c r="A280" s="5" t="n"/>
      <c r="B280" s="5" t="n"/>
      <c r="C280" s="5" t="n"/>
      <c r="D280" s="5" t="n"/>
      <c r="E280" s="5" t="n"/>
      <c r="F280" s="5" t="n"/>
      <c r="G280" s="8" t="n"/>
      <c r="H280" s="5" t="n"/>
      <c r="I280" s="5" t="n"/>
      <c r="J280" s="5" t="n"/>
      <c r="K280" s="5" t="n"/>
    </row>
    <row r="281">
      <c r="A281" s="5" t="n"/>
      <c r="B281" s="5" t="n"/>
      <c r="C281" s="5" t="n"/>
      <c r="D281" s="5" t="n"/>
      <c r="E281" s="5" t="n"/>
      <c r="F281" s="5" t="n"/>
      <c r="G281" s="8" t="n"/>
      <c r="H281" s="5" t="n"/>
      <c r="I281" s="5" t="n"/>
      <c r="J281" s="5" t="n"/>
      <c r="K281" s="5" t="n"/>
    </row>
    <row r="282">
      <c r="A282" s="5" t="n"/>
      <c r="B282" s="5" t="n"/>
      <c r="C282" s="5" t="n"/>
      <c r="D282" s="5" t="n"/>
      <c r="E282" s="5" t="n"/>
      <c r="F282" s="5" t="n"/>
      <c r="G282" s="8" t="n"/>
      <c r="H282" s="5" t="n"/>
      <c r="I282" s="5" t="n"/>
      <c r="J282" s="5" t="n"/>
      <c r="K282" s="5" t="n"/>
    </row>
    <row r="283">
      <c r="A283" s="5" t="n"/>
      <c r="B283" s="5" t="n"/>
      <c r="C283" s="5" t="n"/>
      <c r="D283" s="5" t="n"/>
      <c r="E283" s="5" t="n"/>
      <c r="F283" s="5" t="n"/>
      <c r="G283" s="8" t="n"/>
      <c r="H283" s="5" t="n"/>
      <c r="I283" s="5" t="n"/>
      <c r="J283" s="5" t="n"/>
      <c r="K283" s="5" t="n"/>
    </row>
    <row r="284">
      <c r="A284" s="5" t="n"/>
      <c r="B284" s="5" t="n"/>
      <c r="C284" s="5" t="n"/>
      <c r="D284" s="5" t="n"/>
      <c r="E284" s="5" t="n"/>
      <c r="F284" s="5" t="n"/>
      <c r="G284" s="8" t="n"/>
      <c r="H284" s="5" t="n"/>
      <c r="I284" s="5" t="n"/>
      <c r="J284" s="5" t="n"/>
      <c r="K284" s="5" t="n"/>
    </row>
    <row r="285">
      <c r="A285" s="5" t="n"/>
      <c r="B285" s="5" t="n"/>
      <c r="C285" s="5" t="n"/>
      <c r="D285" s="5" t="n"/>
      <c r="E285" s="5" t="n"/>
      <c r="F285" s="5" t="n"/>
      <c r="G285" s="8" t="n"/>
      <c r="H285" s="5" t="n"/>
      <c r="I285" s="5" t="n"/>
      <c r="J285" s="5" t="n"/>
      <c r="K285" s="5" t="n"/>
    </row>
    <row r="286">
      <c r="A286" s="5" t="n"/>
      <c r="B286" s="5" t="n"/>
      <c r="C286" s="5" t="n"/>
      <c r="D286" s="5" t="n"/>
      <c r="E286" s="5" t="n"/>
      <c r="F286" s="5" t="n"/>
      <c r="G286" s="8" t="n"/>
      <c r="H286" s="5" t="n"/>
      <c r="I286" s="5" t="n"/>
      <c r="J286" s="5" t="n"/>
      <c r="K286" s="5" t="n"/>
    </row>
    <row r="287">
      <c r="A287" s="5" t="n"/>
      <c r="B287" s="5" t="n"/>
      <c r="C287" s="5" t="n"/>
      <c r="D287" s="5" t="n"/>
      <c r="E287" s="5" t="n"/>
      <c r="F287" s="5" t="n"/>
      <c r="G287" s="8" t="n"/>
      <c r="H287" s="5" t="n"/>
      <c r="I287" s="5" t="n"/>
      <c r="J287" s="5" t="n"/>
      <c r="K287" s="5" t="n"/>
    </row>
    <row r="288">
      <c r="A288" s="5" t="n"/>
      <c r="B288" s="5" t="n"/>
      <c r="C288" s="5" t="n"/>
      <c r="D288" s="5" t="n"/>
      <c r="E288" s="5" t="n"/>
      <c r="F288" s="5" t="n"/>
      <c r="G288" s="8" t="n"/>
      <c r="H288" s="5" t="n"/>
      <c r="I288" s="5" t="n"/>
      <c r="J288" s="5" t="n"/>
      <c r="K288" s="5" t="n"/>
    </row>
    <row r="289">
      <c r="A289" s="5" t="n"/>
      <c r="B289" s="5" t="n"/>
      <c r="C289" s="5" t="n"/>
      <c r="D289" s="5" t="n"/>
      <c r="E289" s="5" t="n"/>
      <c r="F289" s="5" t="n"/>
      <c r="G289" s="8" t="n"/>
      <c r="H289" s="5" t="n"/>
      <c r="I289" s="5" t="n"/>
      <c r="J289" s="5" t="n"/>
      <c r="K289" s="5" t="n"/>
    </row>
    <row r="290">
      <c r="A290" s="5" t="n"/>
      <c r="B290" s="5" t="n"/>
      <c r="C290" s="5" t="n"/>
      <c r="D290" s="5" t="n"/>
      <c r="E290" s="5" t="n"/>
      <c r="F290" s="5" t="n"/>
      <c r="G290" s="8" t="n"/>
      <c r="H290" s="5" t="n"/>
      <c r="I290" s="5" t="n"/>
      <c r="J290" s="5" t="n"/>
      <c r="K290" s="5" t="n"/>
    </row>
    <row r="291">
      <c r="A291" s="5" t="n"/>
      <c r="B291" s="5" t="n"/>
      <c r="C291" s="5" t="n"/>
      <c r="D291" s="5" t="n"/>
      <c r="E291" s="5" t="n"/>
      <c r="F291" s="5" t="n"/>
      <c r="G291" s="8" t="n"/>
      <c r="H291" s="5" t="n"/>
      <c r="I291" s="5" t="n"/>
      <c r="J291" s="5" t="n"/>
      <c r="K291" s="5" t="n"/>
    </row>
    <row r="292">
      <c r="A292" s="5" t="n"/>
      <c r="B292" s="5" t="n"/>
      <c r="C292" s="5" t="n"/>
      <c r="D292" s="5" t="n"/>
      <c r="E292" s="5" t="n"/>
      <c r="F292" s="5" t="n"/>
      <c r="G292" s="8" t="n"/>
      <c r="H292" s="5" t="n"/>
      <c r="I292" s="5" t="n"/>
      <c r="J292" s="5" t="n"/>
      <c r="K292" s="5" t="n"/>
    </row>
    <row r="293">
      <c r="A293" s="5" t="n"/>
      <c r="B293" s="5" t="n"/>
      <c r="C293" s="5" t="n"/>
      <c r="D293" s="5" t="n"/>
      <c r="E293" s="5" t="n"/>
      <c r="F293" s="5" t="n"/>
      <c r="G293" s="8" t="n"/>
      <c r="H293" s="5" t="n"/>
      <c r="I293" s="5" t="n"/>
      <c r="J293" s="5" t="n"/>
      <c r="K293" s="5" t="n"/>
    </row>
    <row r="294">
      <c r="A294" s="5" t="n"/>
      <c r="B294" s="5" t="n"/>
      <c r="C294" s="5" t="n"/>
      <c r="D294" s="5" t="n"/>
      <c r="E294" s="5" t="n"/>
      <c r="F294" s="5" t="n"/>
      <c r="G294" s="8" t="n"/>
      <c r="H294" s="5" t="n"/>
      <c r="I294" s="5" t="n"/>
      <c r="J294" s="5" t="n"/>
      <c r="K294" s="5" t="n"/>
    </row>
    <row r="295">
      <c r="A295" s="5" t="n"/>
      <c r="B295" s="5" t="n"/>
      <c r="C295" s="5" t="n"/>
      <c r="D295" s="5" t="n"/>
      <c r="E295" s="5" t="n"/>
      <c r="F295" s="5" t="n"/>
      <c r="G295" s="8" t="n"/>
      <c r="H295" s="5" t="n"/>
      <c r="I295" s="5" t="n"/>
      <c r="J295" s="5" t="n"/>
      <c r="K295" s="5" t="n"/>
    </row>
    <row r="296">
      <c r="A296" s="5" t="n"/>
      <c r="B296" s="5" t="n"/>
      <c r="C296" s="5" t="n"/>
      <c r="D296" s="5" t="n"/>
      <c r="E296" s="5" t="n"/>
      <c r="F296" s="5" t="n"/>
      <c r="G296" s="8" t="n"/>
      <c r="H296" s="5" t="n"/>
      <c r="I296" s="5" t="n"/>
      <c r="J296" s="5" t="n"/>
      <c r="K296" s="5" t="n"/>
    </row>
    <row r="297">
      <c r="A297" s="5" t="n"/>
      <c r="B297" s="5" t="n"/>
      <c r="C297" s="5" t="n"/>
      <c r="D297" s="5" t="n"/>
      <c r="E297" s="5" t="n"/>
      <c r="F297" s="5" t="n"/>
      <c r="G297" s="8" t="n"/>
      <c r="H297" s="5" t="n"/>
      <c r="I297" s="5" t="n"/>
      <c r="J297" s="5" t="n"/>
      <c r="K297" s="5" t="n"/>
    </row>
    <row r="298">
      <c r="A298" s="5" t="n"/>
      <c r="B298" s="5" t="n"/>
      <c r="C298" s="5" t="n"/>
      <c r="D298" s="5" t="n"/>
      <c r="E298" s="5" t="n"/>
      <c r="F298" s="5" t="n"/>
      <c r="G298" s="8" t="n"/>
      <c r="H298" s="5" t="n"/>
      <c r="I298" s="5" t="n"/>
      <c r="J298" s="5" t="n"/>
      <c r="K298" s="5" t="n"/>
    </row>
    <row r="299">
      <c r="A299" s="5" t="n"/>
      <c r="B299" s="5" t="n"/>
      <c r="C299" s="5" t="n"/>
      <c r="D299" s="5" t="n"/>
      <c r="E299" s="5" t="n"/>
      <c r="F299" s="5" t="n"/>
      <c r="G299" s="8" t="n"/>
      <c r="H299" s="5" t="n"/>
      <c r="I299" s="5" t="n"/>
      <c r="J299" s="5" t="n"/>
      <c r="K299" s="5" t="n"/>
    </row>
    <row r="300">
      <c r="A300" s="5" t="n"/>
      <c r="B300" s="5" t="n"/>
      <c r="C300" s="5" t="n"/>
      <c r="D300" s="5" t="n"/>
      <c r="E300" s="5" t="n"/>
      <c r="F300" s="5" t="n"/>
      <c r="G300" s="8" t="n"/>
      <c r="H300" s="5" t="n"/>
      <c r="I300" s="5" t="n"/>
      <c r="J300" s="5" t="n"/>
      <c r="K300" s="5" t="n"/>
    </row>
    <row r="301">
      <c r="A301" s="5" t="n"/>
      <c r="B301" s="5" t="n"/>
      <c r="C301" s="5" t="n"/>
      <c r="D301" s="5" t="n"/>
      <c r="E301" s="5" t="n"/>
      <c r="F301" s="5" t="n"/>
      <c r="G301" s="8" t="n"/>
      <c r="H301" s="5" t="n"/>
      <c r="I301" s="5" t="n"/>
      <c r="J301" s="5" t="n"/>
      <c r="K301" s="5" t="n"/>
    </row>
    <row r="302">
      <c r="A302" s="5" t="n"/>
      <c r="B302" s="5" t="n"/>
      <c r="C302" s="5" t="n"/>
      <c r="D302" s="5" t="n"/>
      <c r="E302" s="5" t="n"/>
      <c r="F302" s="5" t="n"/>
      <c r="G302" s="8" t="n"/>
      <c r="H302" s="5" t="n"/>
      <c r="I302" s="5" t="n"/>
      <c r="J302" s="5" t="n"/>
      <c r="K302" s="5" t="n"/>
    </row>
    <row r="303">
      <c r="A303" s="5" t="n"/>
      <c r="B303" s="5" t="n"/>
      <c r="C303" s="5" t="n"/>
      <c r="D303" s="5" t="n"/>
      <c r="E303" s="5" t="n"/>
      <c r="F303" s="5" t="n"/>
      <c r="G303" s="8" t="n"/>
      <c r="H303" s="5" t="n"/>
      <c r="I303" s="5" t="n"/>
      <c r="J303" s="5" t="n"/>
      <c r="K303" s="5" t="n"/>
    </row>
    <row r="304">
      <c r="A304" s="5" t="n"/>
      <c r="B304" s="5" t="n"/>
      <c r="C304" s="5" t="n"/>
      <c r="D304" s="5" t="n"/>
      <c r="E304" s="5" t="n"/>
      <c r="F304" s="5" t="n"/>
      <c r="G304" s="8" t="n"/>
      <c r="H304" s="5" t="n"/>
      <c r="I304" s="5" t="n"/>
      <c r="J304" s="5" t="n"/>
      <c r="K304" s="5" t="n"/>
    </row>
    <row r="305">
      <c r="A305" s="5" t="n"/>
      <c r="B305" s="5" t="n"/>
      <c r="C305" s="5" t="n"/>
      <c r="D305" s="5" t="n"/>
      <c r="E305" s="5" t="n"/>
      <c r="F305" s="5" t="n"/>
      <c r="G305" s="8" t="n"/>
      <c r="H305" s="5" t="n"/>
      <c r="I305" s="5" t="n"/>
      <c r="J305" s="5" t="n"/>
      <c r="K305" s="5" t="n"/>
    </row>
    <row r="306">
      <c r="A306" s="5" t="n"/>
      <c r="B306" s="5" t="n"/>
      <c r="C306" s="5" t="n"/>
      <c r="D306" s="5" t="n"/>
      <c r="E306" s="5" t="n"/>
      <c r="F306" s="5" t="n"/>
      <c r="G306" s="8" t="n"/>
      <c r="H306" s="5" t="n"/>
      <c r="I306" s="5" t="n"/>
      <c r="J306" s="5" t="n"/>
      <c r="K306" s="5" t="n"/>
    </row>
    <row r="307">
      <c r="A307" s="5" t="n"/>
      <c r="B307" s="5" t="n"/>
      <c r="C307" s="5" t="n"/>
      <c r="D307" s="5" t="n"/>
      <c r="E307" s="5" t="n"/>
      <c r="F307" s="5" t="n"/>
      <c r="G307" s="8" t="n"/>
      <c r="H307" s="5" t="n"/>
      <c r="I307" s="5" t="n"/>
      <c r="J307" s="5" t="n"/>
      <c r="K307" s="5" t="n"/>
    </row>
    <row r="308">
      <c r="A308" s="5" t="n"/>
      <c r="B308" s="5" t="n"/>
      <c r="C308" s="5" t="n"/>
      <c r="D308" s="5" t="n"/>
      <c r="E308" s="5" t="n"/>
      <c r="F308" s="5" t="n"/>
      <c r="G308" s="8" t="n"/>
      <c r="H308" s="5" t="n"/>
      <c r="I308" s="5" t="n"/>
      <c r="J308" s="5" t="n"/>
      <c r="K308" s="5" t="n"/>
    </row>
    <row r="309">
      <c r="A309" s="5" t="n"/>
      <c r="B309" s="5" t="n"/>
      <c r="C309" s="5" t="n"/>
      <c r="D309" s="5" t="n"/>
      <c r="E309" s="5" t="n"/>
      <c r="F309" s="5" t="n"/>
      <c r="G309" s="8" t="n"/>
      <c r="H309" s="5" t="n"/>
      <c r="I309" s="5" t="n"/>
      <c r="J309" s="5" t="n"/>
      <c r="K309" s="5" t="n"/>
    </row>
    <row r="310">
      <c r="A310" s="5" t="n"/>
      <c r="B310" s="5" t="n"/>
      <c r="C310" s="5" t="n"/>
      <c r="D310" s="5" t="n"/>
      <c r="E310" s="5" t="n"/>
      <c r="F310" s="5" t="n"/>
      <c r="G310" s="8" t="n"/>
      <c r="H310" s="5" t="n"/>
      <c r="I310" s="5" t="n"/>
      <c r="J310" s="5" t="n"/>
      <c r="K310" s="5" t="n"/>
    </row>
    <row r="311">
      <c r="A311" s="5" t="n"/>
      <c r="B311" s="5" t="n"/>
      <c r="C311" s="5" t="n"/>
      <c r="D311" s="5" t="n"/>
      <c r="E311" s="5" t="n"/>
      <c r="F311" s="5" t="n"/>
      <c r="G311" s="8" t="n"/>
      <c r="H311" s="5" t="n"/>
      <c r="I311" s="5" t="n"/>
      <c r="J311" s="5" t="n"/>
      <c r="K311" s="5" t="n"/>
    </row>
    <row r="312">
      <c r="A312" s="5" t="n"/>
      <c r="B312" s="5" t="n"/>
      <c r="C312" s="5" t="n"/>
      <c r="D312" s="5" t="n"/>
      <c r="E312" s="5" t="n"/>
      <c r="F312" s="5" t="n"/>
      <c r="G312" s="8" t="n"/>
      <c r="H312" s="5" t="n"/>
      <c r="I312" s="5" t="n"/>
      <c r="J312" s="5" t="n"/>
      <c r="K312" s="5" t="n"/>
    </row>
    <row r="313">
      <c r="A313" s="5" t="n"/>
      <c r="B313" s="5" t="n"/>
      <c r="C313" s="5" t="n"/>
      <c r="D313" s="5" t="n"/>
      <c r="E313" s="5" t="n"/>
      <c r="F313" s="5" t="n"/>
      <c r="G313" s="8" t="n"/>
      <c r="H313" s="5" t="n"/>
      <c r="I313" s="5" t="n"/>
      <c r="J313" s="5" t="n"/>
      <c r="K313" s="5" t="n"/>
    </row>
    <row r="314">
      <c r="A314" s="5" t="n"/>
      <c r="B314" s="5" t="n"/>
      <c r="C314" s="5" t="n"/>
      <c r="D314" s="5" t="n"/>
      <c r="E314" s="5" t="n"/>
      <c r="F314" s="5" t="n"/>
      <c r="G314" s="8" t="n"/>
      <c r="H314" s="5" t="n"/>
      <c r="I314" s="5" t="n"/>
      <c r="J314" s="5" t="n"/>
      <c r="K314" s="5" t="n"/>
    </row>
    <row r="315">
      <c r="A315" s="5" t="n"/>
      <c r="B315" s="5" t="n"/>
      <c r="C315" s="5" t="n"/>
      <c r="D315" s="5" t="n"/>
      <c r="E315" s="5" t="n"/>
      <c r="F315" s="5" t="n"/>
      <c r="G315" s="8" t="n"/>
      <c r="H315" s="5" t="n"/>
      <c r="I315" s="5" t="n"/>
      <c r="J315" s="5" t="n"/>
      <c r="K315" s="5" t="n"/>
    </row>
    <row r="316">
      <c r="A316" s="5" t="n"/>
      <c r="B316" s="5" t="n"/>
      <c r="C316" s="5" t="n"/>
      <c r="D316" s="5" t="n"/>
      <c r="E316" s="5" t="n"/>
      <c r="F316" s="5" t="n"/>
      <c r="G316" s="8" t="n"/>
      <c r="H316" s="5" t="n"/>
      <c r="I316" s="5" t="n"/>
      <c r="J316" s="5" t="n"/>
      <c r="K316" s="5" t="n"/>
    </row>
    <row r="317">
      <c r="A317" s="5" t="n"/>
      <c r="B317" s="5" t="n"/>
      <c r="C317" s="5" t="n"/>
      <c r="D317" s="5" t="n"/>
      <c r="E317" s="5" t="n"/>
      <c r="F317" s="5" t="n"/>
      <c r="G317" s="8" t="n"/>
      <c r="H317" s="5" t="n"/>
      <c r="I317" s="5" t="n"/>
      <c r="J317" s="5" t="n"/>
      <c r="K317" s="5" t="n"/>
    </row>
    <row r="318">
      <c r="A318" s="5" t="n"/>
      <c r="B318" s="5" t="n"/>
      <c r="C318" s="5" t="n"/>
      <c r="D318" s="5" t="n"/>
      <c r="E318" s="5" t="n"/>
      <c r="F318" s="5" t="n"/>
      <c r="G318" s="8" t="n"/>
      <c r="H318" s="5" t="n"/>
      <c r="I318" s="5" t="n"/>
      <c r="J318" s="5" t="n"/>
      <c r="K318" s="5" t="n"/>
    </row>
    <row r="319">
      <c r="A319" s="5" t="n"/>
      <c r="B319" s="5" t="n"/>
      <c r="C319" s="5" t="n"/>
      <c r="D319" s="5" t="n"/>
      <c r="E319" s="5" t="n"/>
      <c r="F319" s="5" t="n"/>
      <c r="G319" s="8" t="n"/>
      <c r="H319" s="5" t="n"/>
      <c r="I319" s="5" t="n"/>
      <c r="J319" s="5" t="n"/>
      <c r="K319" s="5" t="n"/>
    </row>
    <row r="320">
      <c r="A320" s="5" t="n"/>
      <c r="B320" s="5" t="n"/>
      <c r="C320" s="5" t="n"/>
      <c r="D320" s="5" t="n"/>
      <c r="E320" s="5" t="n"/>
      <c r="F320" s="5" t="n"/>
      <c r="G320" s="8" t="n"/>
      <c r="H320" s="5" t="n"/>
      <c r="I320" s="5" t="n"/>
      <c r="J320" s="5" t="n"/>
      <c r="K320" s="5" t="n"/>
    </row>
    <row r="321">
      <c r="A321" s="5" t="n"/>
      <c r="B321" s="5" t="n"/>
      <c r="C321" s="5" t="n"/>
      <c r="D321" s="5" t="n"/>
      <c r="E321" s="5" t="n"/>
      <c r="F321" s="5" t="n"/>
      <c r="G321" s="8" t="n"/>
      <c r="H321" s="5" t="n"/>
      <c r="I321" s="5" t="n"/>
      <c r="J321" s="5" t="n"/>
      <c r="K321" s="5" t="n"/>
    </row>
    <row r="322">
      <c r="A322" s="5" t="n"/>
      <c r="B322" s="5" t="n"/>
      <c r="C322" s="5" t="n"/>
      <c r="D322" s="5" t="n"/>
      <c r="E322" s="5" t="n"/>
      <c r="F322" s="5" t="n"/>
      <c r="G322" s="8" t="n"/>
      <c r="H322" s="5" t="n"/>
      <c r="I322" s="5" t="n"/>
      <c r="J322" s="5" t="n"/>
      <c r="K322" s="5" t="n"/>
    </row>
    <row r="323">
      <c r="A323" s="5" t="n"/>
      <c r="B323" s="5" t="n"/>
      <c r="C323" s="5" t="n"/>
      <c r="D323" s="5" t="n"/>
      <c r="E323" s="5" t="n"/>
      <c r="F323" s="5" t="n"/>
      <c r="G323" s="8" t="n"/>
      <c r="H323" s="5" t="n"/>
      <c r="I323" s="5" t="n"/>
      <c r="J323" s="5" t="n"/>
      <c r="K323" s="5" t="n"/>
    </row>
    <row r="324">
      <c r="A324" s="5" t="n"/>
      <c r="B324" s="5" t="n"/>
      <c r="C324" s="5" t="n"/>
      <c r="D324" s="5" t="n"/>
      <c r="E324" s="5" t="n"/>
      <c r="F324" s="5" t="n"/>
      <c r="G324" s="8" t="n"/>
      <c r="H324" s="5" t="n"/>
      <c r="I324" s="5" t="n"/>
      <c r="J324" s="5" t="n"/>
      <c r="K324" s="5" t="n"/>
    </row>
    <row r="325">
      <c r="A325" s="5" t="n"/>
      <c r="B325" s="5" t="n"/>
      <c r="C325" s="5" t="n"/>
      <c r="D325" s="5" t="n"/>
      <c r="E325" s="5" t="n"/>
      <c r="F325" s="5" t="n"/>
      <c r="G325" s="8" t="n"/>
      <c r="H325" s="5" t="n"/>
      <c r="I325" s="5" t="n"/>
      <c r="J325" s="5" t="n"/>
      <c r="K325" s="5" t="n"/>
    </row>
    <row r="326">
      <c r="A326" s="5" t="n"/>
      <c r="B326" s="5" t="n"/>
      <c r="C326" s="5" t="n"/>
      <c r="D326" s="5" t="n"/>
      <c r="E326" s="5" t="n"/>
      <c r="F326" s="5" t="n"/>
      <c r="G326" s="8" t="n"/>
      <c r="H326" s="5" t="n"/>
      <c r="I326" s="5" t="n"/>
      <c r="J326" s="5" t="n"/>
      <c r="K326" s="5" t="n"/>
    </row>
    <row r="327">
      <c r="A327" s="5" t="n"/>
      <c r="B327" s="5" t="n"/>
      <c r="C327" s="5" t="n"/>
      <c r="D327" s="5" t="n"/>
      <c r="E327" s="5" t="n"/>
      <c r="F327" s="5" t="n"/>
      <c r="G327" s="8" t="n"/>
      <c r="H327" s="5" t="n"/>
      <c r="I327" s="5" t="n"/>
      <c r="J327" s="5" t="n"/>
      <c r="K327" s="5" t="n"/>
    </row>
    <row r="328">
      <c r="A328" s="5" t="n"/>
      <c r="B328" s="5" t="n"/>
      <c r="C328" s="5" t="n"/>
      <c r="D328" s="5" t="n"/>
      <c r="E328" s="5" t="n"/>
      <c r="F328" s="5" t="n"/>
      <c r="G328" s="8" t="n"/>
      <c r="H328" s="5" t="n"/>
      <c r="I328" s="5" t="n"/>
      <c r="J328" s="5" t="n"/>
      <c r="K328" s="5" t="n"/>
    </row>
    <row r="329">
      <c r="A329" s="5" t="n"/>
      <c r="B329" s="5" t="n"/>
      <c r="C329" s="5" t="n"/>
      <c r="D329" s="5" t="n"/>
      <c r="E329" s="5" t="n"/>
      <c r="F329" s="5" t="n"/>
      <c r="G329" s="8" t="n"/>
      <c r="H329" s="5" t="n"/>
      <c r="I329" s="5" t="n"/>
      <c r="J329" s="5" t="n"/>
      <c r="K329" s="5" t="n"/>
    </row>
    <row r="330">
      <c r="A330" s="5" t="n"/>
      <c r="B330" s="5" t="n"/>
      <c r="C330" s="5" t="n"/>
      <c r="D330" s="5" t="n"/>
      <c r="E330" s="5" t="n"/>
      <c r="F330" s="5" t="n"/>
      <c r="G330" s="8" t="n"/>
      <c r="H330" s="5" t="n"/>
      <c r="I330" s="5" t="n"/>
      <c r="J330" s="5" t="n"/>
      <c r="K330" s="5" t="n"/>
    </row>
    <row r="331">
      <c r="A331" s="5" t="n"/>
      <c r="B331" s="5" t="n"/>
      <c r="C331" s="5" t="n"/>
      <c r="D331" s="5" t="n"/>
      <c r="E331" s="5" t="n"/>
      <c r="F331" s="5" t="n"/>
      <c r="G331" s="8" t="n"/>
      <c r="H331" s="5" t="n"/>
      <c r="I331" s="5" t="n"/>
      <c r="J331" s="5" t="n"/>
      <c r="K331" s="5" t="n"/>
    </row>
    <row r="332">
      <c r="A332" s="5" t="n"/>
      <c r="B332" s="5" t="n"/>
      <c r="C332" s="5" t="n"/>
      <c r="D332" s="5" t="n"/>
      <c r="E332" s="5" t="n"/>
      <c r="F332" s="5" t="n"/>
      <c r="G332" s="8" t="n"/>
      <c r="H332" s="5" t="n"/>
      <c r="I332" s="5" t="n"/>
      <c r="J332" s="5" t="n"/>
      <c r="K332" s="5" t="n"/>
    </row>
    <row r="333">
      <c r="A333" s="5" t="n"/>
      <c r="B333" s="5" t="n"/>
      <c r="C333" s="5" t="n"/>
      <c r="D333" s="5" t="n"/>
      <c r="E333" s="5" t="n"/>
      <c r="F333" s="5" t="n"/>
      <c r="G333" s="8" t="n"/>
      <c r="H333" s="5" t="n"/>
      <c r="I333" s="5" t="n"/>
      <c r="J333" s="5" t="n"/>
      <c r="K333" s="5" t="n"/>
    </row>
    <row r="334">
      <c r="A334" s="5" t="n"/>
      <c r="B334" s="5" t="n"/>
      <c r="C334" s="5" t="n"/>
      <c r="D334" s="5" t="n"/>
      <c r="E334" s="5" t="n"/>
      <c r="F334" s="5" t="n"/>
      <c r="G334" s="8" t="n"/>
      <c r="H334" s="5" t="n"/>
      <c r="I334" s="5" t="n"/>
      <c r="J334" s="5" t="n"/>
      <c r="K334" s="5" t="n"/>
    </row>
    <row r="335">
      <c r="A335" s="5" t="n"/>
      <c r="B335" s="5" t="n"/>
      <c r="C335" s="5" t="n"/>
      <c r="D335" s="5" t="n"/>
      <c r="E335" s="5" t="n"/>
      <c r="F335" s="5" t="n"/>
      <c r="G335" s="8" t="n"/>
      <c r="H335" s="5" t="n"/>
      <c r="I335" s="5" t="n"/>
      <c r="J335" s="5" t="n"/>
      <c r="K335" s="5" t="n"/>
    </row>
    <row r="336">
      <c r="A336" s="5" t="n"/>
      <c r="B336" s="5" t="n"/>
      <c r="C336" s="5" t="n"/>
      <c r="D336" s="5" t="n"/>
      <c r="E336" s="5" t="n"/>
      <c r="F336" s="5" t="n"/>
      <c r="G336" s="8" t="n"/>
      <c r="H336" s="5" t="n"/>
      <c r="I336" s="5" t="n"/>
      <c r="J336" s="5" t="n"/>
      <c r="K336" s="5" t="n"/>
    </row>
    <row r="337">
      <c r="A337" s="5" t="n"/>
      <c r="B337" s="5" t="n"/>
      <c r="C337" s="5" t="n"/>
      <c r="D337" s="5" t="n"/>
      <c r="E337" s="5" t="n"/>
      <c r="F337" s="5" t="n"/>
      <c r="G337" s="8" t="n"/>
      <c r="H337" s="5" t="n"/>
      <c r="I337" s="5" t="n"/>
      <c r="J337" s="5" t="n"/>
      <c r="K337" s="5" t="n"/>
    </row>
    <row r="338">
      <c r="A338" s="5" t="n"/>
      <c r="B338" s="5" t="n"/>
      <c r="C338" s="5" t="n"/>
      <c r="D338" s="5" t="n"/>
      <c r="E338" s="5" t="n"/>
      <c r="F338" s="5" t="n"/>
      <c r="G338" s="8" t="n"/>
      <c r="H338" s="5" t="n"/>
      <c r="I338" s="5" t="n"/>
      <c r="J338" s="5" t="n"/>
      <c r="K338" s="5" t="n"/>
    </row>
    <row r="339">
      <c r="A339" s="5" t="n"/>
      <c r="B339" s="5" t="n"/>
      <c r="C339" s="5" t="n"/>
      <c r="D339" s="5" t="n"/>
      <c r="E339" s="5" t="n"/>
      <c r="F339" s="5" t="n"/>
      <c r="G339" s="8" t="n"/>
      <c r="H339" s="5" t="n"/>
      <c r="I339" s="5" t="n"/>
      <c r="J339" s="5" t="n"/>
      <c r="K339" s="5" t="n"/>
    </row>
    <row r="340">
      <c r="A340" s="5" t="n"/>
      <c r="B340" s="5" t="n"/>
      <c r="C340" s="5" t="n"/>
      <c r="D340" s="5" t="n"/>
      <c r="E340" s="5" t="n"/>
      <c r="F340" s="5" t="n"/>
      <c r="G340" s="8" t="n"/>
      <c r="H340" s="5" t="n"/>
      <c r="I340" s="5" t="n"/>
      <c r="J340" s="5" t="n"/>
      <c r="K340" s="5" t="n"/>
    </row>
    <row r="341">
      <c r="A341" s="5" t="n"/>
      <c r="B341" s="5" t="n"/>
      <c r="C341" s="5" t="n"/>
      <c r="D341" s="5" t="n"/>
      <c r="E341" s="5" t="n"/>
      <c r="F341" s="5" t="n"/>
      <c r="G341" s="8" t="n"/>
      <c r="H341" s="5" t="n"/>
      <c r="I341" s="5" t="n"/>
      <c r="J341" s="5" t="n"/>
      <c r="K341" s="5" t="n"/>
    </row>
    <row r="342">
      <c r="A342" s="5" t="n"/>
      <c r="B342" s="5" t="n"/>
      <c r="C342" s="5" t="n"/>
      <c r="D342" s="5" t="n"/>
      <c r="E342" s="5" t="n"/>
      <c r="F342" s="5" t="n"/>
      <c r="G342" s="8" t="n"/>
      <c r="H342" s="5" t="n"/>
      <c r="I342" s="5" t="n"/>
      <c r="J342" s="5" t="n"/>
      <c r="K342" s="5" t="n"/>
    </row>
    <row r="343">
      <c r="A343" s="5" t="n"/>
      <c r="B343" s="5" t="n"/>
      <c r="C343" s="5" t="n"/>
      <c r="D343" s="5" t="n"/>
      <c r="E343" s="5" t="n"/>
      <c r="F343" s="5" t="n"/>
      <c r="G343" s="8" t="n"/>
      <c r="H343" s="5" t="n"/>
      <c r="I343" s="5" t="n"/>
      <c r="J343" s="5" t="n"/>
      <c r="K343" s="5" t="n"/>
    </row>
    <row r="344">
      <c r="A344" s="5" t="n"/>
      <c r="B344" s="5" t="n"/>
      <c r="C344" s="5" t="n"/>
      <c r="D344" s="5" t="n"/>
      <c r="E344" s="5" t="n"/>
      <c r="F344" s="5" t="n"/>
      <c r="G344" s="8" t="n"/>
      <c r="H344" s="5" t="n"/>
      <c r="I344" s="5" t="n"/>
      <c r="J344" s="5" t="n"/>
      <c r="K344" s="5" t="n"/>
    </row>
    <row r="345">
      <c r="A345" s="5" t="n"/>
      <c r="B345" s="5" t="n"/>
      <c r="C345" s="5" t="n"/>
      <c r="D345" s="5" t="n"/>
      <c r="E345" s="5" t="n"/>
      <c r="F345" s="5" t="n"/>
      <c r="G345" s="8" t="n"/>
      <c r="H345" s="5" t="n"/>
      <c r="I345" s="5" t="n"/>
      <c r="J345" s="5" t="n"/>
      <c r="K345" s="5" t="n"/>
    </row>
    <row r="346">
      <c r="A346" s="5" t="n"/>
      <c r="B346" s="5" t="n"/>
      <c r="C346" s="5" t="n"/>
      <c r="D346" s="5" t="n"/>
      <c r="E346" s="5" t="n"/>
      <c r="F346" s="5" t="n"/>
      <c r="G346" s="8" t="n"/>
      <c r="H346" s="5" t="n"/>
      <c r="I346" s="5" t="n"/>
      <c r="J346" s="5" t="n"/>
      <c r="K346" s="5" t="n"/>
    </row>
    <row r="347">
      <c r="A347" s="5" t="n"/>
      <c r="B347" s="5" t="n"/>
      <c r="C347" s="5" t="n"/>
      <c r="D347" s="5" t="n"/>
      <c r="E347" s="5" t="n"/>
      <c r="F347" s="5" t="n"/>
      <c r="G347" s="8" t="n"/>
      <c r="H347" s="5" t="n"/>
      <c r="I347" s="5" t="n"/>
      <c r="J347" s="5" t="n"/>
      <c r="K347" s="5" t="n"/>
    </row>
    <row r="348">
      <c r="A348" s="5" t="n"/>
      <c r="B348" s="5" t="n"/>
      <c r="C348" s="5" t="n"/>
      <c r="D348" s="5" t="n"/>
      <c r="E348" s="5" t="n"/>
      <c r="F348" s="5" t="n"/>
      <c r="G348" s="8" t="n"/>
      <c r="H348" s="5" t="n"/>
      <c r="I348" s="5" t="n"/>
      <c r="J348" s="5" t="n"/>
      <c r="K348" s="5" t="n"/>
    </row>
    <row r="349">
      <c r="A349" s="5" t="n"/>
      <c r="B349" s="5" t="n"/>
      <c r="C349" s="5" t="n"/>
      <c r="D349" s="5" t="n"/>
      <c r="E349" s="5" t="n"/>
      <c r="F349" s="5" t="n"/>
      <c r="G349" s="8" t="n"/>
      <c r="H349" s="5" t="n"/>
      <c r="I349" s="5" t="n"/>
      <c r="J349" s="5" t="n"/>
      <c r="K349" s="5" t="n"/>
    </row>
    <row r="350">
      <c r="A350" s="5" t="n"/>
      <c r="B350" s="5" t="n"/>
      <c r="C350" s="5" t="n"/>
      <c r="D350" s="5" t="n"/>
      <c r="E350" s="5" t="n"/>
      <c r="F350" s="5" t="n"/>
      <c r="G350" s="8" t="n"/>
      <c r="H350" s="5" t="n"/>
      <c r="I350" s="5" t="n"/>
      <c r="J350" s="5" t="n"/>
      <c r="K350" s="5" t="n"/>
    </row>
    <row r="351">
      <c r="A351" s="5" t="n"/>
      <c r="B351" s="5" t="n"/>
      <c r="C351" s="5" t="n"/>
      <c r="D351" s="5" t="n"/>
      <c r="E351" s="5" t="n"/>
      <c r="F351" s="5" t="n"/>
      <c r="G351" s="8" t="n"/>
      <c r="H351" s="5" t="n"/>
      <c r="I351" s="5" t="n"/>
      <c r="J351" s="5" t="n"/>
      <c r="K351" s="5" t="n"/>
    </row>
    <row r="352">
      <c r="A352" s="5" t="n"/>
      <c r="B352" s="5" t="n"/>
      <c r="C352" s="5" t="n"/>
      <c r="D352" s="5" t="n"/>
      <c r="E352" s="5" t="n"/>
      <c r="F352" s="5" t="n"/>
      <c r="G352" s="8" t="n"/>
      <c r="H352" s="5" t="n"/>
      <c r="I352" s="5" t="n"/>
      <c r="J352" s="5" t="n"/>
      <c r="K352" s="5" t="n"/>
    </row>
    <row r="353">
      <c r="A353" s="5" t="n"/>
      <c r="B353" s="5" t="n"/>
      <c r="C353" s="5" t="n"/>
      <c r="D353" s="5" t="n"/>
      <c r="E353" s="5" t="n"/>
      <c r="F353" s="5" t="n"/>
      <c r="G353" s="8" t="n"/>
      <c r="H353" s="5" t="n"/>
      <c r="I353" s="5" t="n"/>
      <c r="J353" s="5" t="n"/>
      <c r="K353" s="5" t="n"/>
    </row>
    <row r="354">
      <c r="A354" s="5" t="n"/>
      <c r="B354" s="5" t="n"/>
      <c r="C354" s="5" t="n"/>
      <c r="D354" s="5" t="n"/>
      <c r="E354" s="5" t="n"/>
      <c r="F354" s="5" t="n"/>
      <c r="G354" s="8" t="n"/>
      <c r="H354" s="5" t="n"/>
      <c r="I354" s="5" t="n"/>
      <c r="J354" s="5" t="n"/>
      <c r="K354" s="5" t="n"/>
    </row>
    <row r="355">
      <c r="A355" s="5" t="n"/>
      <c r="B355" s="5" t="n"/>
      <c r="C355" s="5" t="n"/>
      <c r="D355" s="5" t="n"/>
      <c r="E355" s="5" t="n"/>
      <c r="F355" s="5" t="n"/>
      <c r="G355" s="8" t="n"/>
      <c r="H355" s="5" t="n"/>
      <c r="I355" s="5" t="n"/>
      <c r="J355" s="5" t="n"/>
      <c r="K355" s="5" t="n"/>
    </row>
    <row r="356">
      <c r="A356" s="5" t="n"/>
      <c r="B356" s="5" t="n"/>
      <c r="C356" s="5" t="n"/>
      <c r="D356" s="5" t="n"/>
      <c r="E356" s="5" t="n"/>
      <c r="F356" s="5" t="n"/>
      <c r="G356" s="8" t="n"/>
      <c r="H356" s="5" t="n"/>
      <c r="I356" s="5" t="n"/>
      <c r="J356" s="5" t="n"/>
      <c r="K356" s="5" t="n"/>
    </row>
    <row r="357">
      <c r="A357" s="5" t="n"/>
      <c r="B357" s="5" t="n"/>
      <c r="C357" s="5" t="n"/>
      <c r="D357" s="5" t="n"/>
      <c r="E357" s="5" t="n"/>
      <c r="F357" s="5" t="n"/>
      <c r="G357" s="8" t="n"/>
      <c r="H357" s="5" t="n"/>
      <c r="I357" s="5" t="n"/>
      <c r="J357" s="5" t="n"/>
      <c r="K357" s="5" t="n"/>
    </row>
    <row r="358">
      <c r="A358" s="5" t="n"/>
      <c r="B358" s="5" t="n"/>
      <c r="C358" s="5" t="n"/>
      <c r="D358" s="5" t="n"/>
      <c r="E358" s="5" t="n"/>
      <c r="F358" s="5" t="n"/>
      <c r="G358" s="8" t="n"/>
      <c r="H358" s="5" t="n"/>
      <c r="I358" s="5" t="n"/>
      <c r="J358" s="5" t="n"/>
      <c r="K358" s="5" t="n"/>
    </row>
    <row r="359">
      <c r="A359" s="5" t="n"/>
      <c r="B359" s="5" t="n"/>
      <c r="C359" s="5" t="n"/>
      <c r="D359" s="5" t="n"/>
      <c r="E359" s="5" t="n"/>
      <c r="F359" s="5" t="n"/>
      <c r="G359" s="8" t="n"/>
      <c r="H359" s="5" t="n"/>
      <c r="I359" s="5" t="n"/>
      <c r="J359" s="5" t="n"/>
      <c r="K359" s="5" t="n"/>
    </row>
    <row r="360">
      <c r="A360" s="5" t="n"/>
      <c r="B360" s="5" t="n"/>
      <c r="C360" s="5" t="n"/>
      <c r="D360" s="5" t="n"/>
      <c r="E360" s="5" t="n"/>
      <c r="F360" s="5" t="n"/>
      <c r="G360" s="8" t="n"/>
      <c r="H360" s="5" t="n"/>
      <c r="I360" s="5" t="n"/>
      <c r="J360" s="5" t="n"/>
      <c r="K360" s="5" t="n"/>
    </row>
    <row r="361">
      <c r="A361" s="5" t="n"/>
      <c r="B361" s="5" t="n"/>
      <c r="C361" s="5" t="n"/>
      <c r="D361" s="5" t="n"/>
      <c r="E361" s="5" t="n"/>
      <c r="F361" s="5" t="n"/>
      <c r="G361" s="8" t="n"/>
      <c r="H361" s="5" t="n"/>
      <c r="I361" s="5" t="n"/>
      <c r="J361" s="5" t="n"/>
      <c r="K361" s="5" t="n"/>
    </row>
    <row r="362">
      <c r="A362" s="5" t="n"/>
      <c r="B362" s="5" t="n"/>
      <c r="C362" s="5" t="n"/>
      <c r="D362" s="5" t="n"/>
      <c r="E362" s="5" t="n"/>
      <c r="F362" s="5" t="n"/>
      <c r="G362" s="8" t="n"/>
      <c r="H362" s="5" t="n"/>
      <c r="I362" s="5" t="n"/>
      <c r="J362" s="5" t="n"/>
      <c r="K362" s="5" t="n"/>
    </row>
    <row r="363">
      <c r="A363" s="5" t="n"/>
      <c r="B363" s="5" t="n"/>
      <c r="C363" s="5" t="n"/>
      <c r="D363" s="5" t="n"/>
      <c r="E363" s="5" t="n"/>
      <c r="F363" s="5" t="n"/>
      <c r="G363" s="8" t="n"/>
      <c r="H363" s="5" t="n"/>
      <c r="I363" s="5" t="n"/>
      <c r="J363" s="5" t="n"/>
      <c r="K363" s="5" t="n"/>
    </row>
    <row r="364">
      <c r="A364" s="5" t="n"/>
      <c r="B364" s="5" t="n"/>
      <c r="C364" s="5" t="n"/>
      <c r="D364" s="5" t="n"/>
      <c r="E364" s="5" t="n"/>
      <c r="F364" s="5" t="n"/>
      <c r="G364" s="8" t="n"/>
      <c r="H364" s="5" t="n"/>
      <c r="I364" s="5" t="n"/>
      <c r="J364" s="5" t="n"/>
      <c r="K364" s="5" t="n"/>
    </row>
    <row r="365">
      <c r="A365" s="5" t="n"/>
      <c r="B365" s="5" t="n"/>
      <c r="C365" s="5" t="n"/>
      <c r="D365" s="5" t="n"/>
      <c r="E365" s="5" t="n"/>
      <c r="F365" s="5" t="n"/>
      <c r="G365" s="8" t="n"/>
      <c r="H365" s="5" t="n"/>
      <c r="I365" s="5" t="n"/>
      <c r="J365" s="5" t="n"/>
      <c r="K365" s="5" t="n"/>
    </row>
    <row r="366">
      <c r="A366" s="5" t="n"/>
      <c r="B366" s="5" t="n"/>
      <c r="C366" s="5" t="n"/>
      <c r="D366" s="5" t="n"/>
      <c r="E366" s="5" t="n"/>
      <c r="F366" s="5" t="n"/>
      <c r="G366" s="8" t="n"/>
      <c r="H366" s="5" t="n"/>
      <c r="I366" s="5" t="n"/>
      <c r="J366" s="5" t="n"/>
      <c r="K366" s="5" t="n"/>
    </row>
    <row r="367">
      <c r="A367" s="5" t="n"/>
      <c r="B367" s="5" t="n"/>
      <c r="C367" s="5" t="n"/>
      <c r="D367" s="5" t="n"/>
      <c r="E367" s="5" t="n"/>
      <c r="F367" s="5" t="n"/>
      <c r="G367" s="8" t="n"/>
      <c r="H367" s="5" t="n"/>
      <c r="I367" s="5" t="n"/>
      <c r="J367" s="5" t="n"/>
      <c r="K367" s="5" t="n"/>
    </row>
    <row r="368">
      <c r="A368" s="5" t="n"/>
      <c r="B368" s="5" t="n"/>
      <c r="C368" s="5" t="n"/>
      <c r="D368" s="5" t="n"/>
      <c r="E368" s="5" t="n"/>
      <c r="F368" s="5" t="n"/>
      <c r="G368" s="8" t="n"/>
      <c r="H368" s="5" t="n"/>
      <c r="I368" s="5" t="n"/>
      <c r="J368" s="5" t="n"/>
      <c r="K368" s="5" t="n"/>
    </row>
    <row r="369">
      <c r="A369" s="5" t="n"/>
      <c r="B369" s="5" t="n"/>
      <c r="C369" s="5" t="n"/>
      <c r="D369" s="5" t="n"/>
      <c r="E369" s="5" t="n"/>
      <c r="F369" s="5" t="n"/>
      <c r="G369" s="8" t="n"/>
      <c r="H369" s="5" t="n"/>
      <c r="I369" s="5" t="n"/>
      <c r="J369" s="5" t="n"/>
      <c r="K369" s="5" t="n"/>
    </row>
    <row r="370">
      <c r="A370" s="5" t="n"/>
      <c r="B370" s="5" t="n"/>
      <c r="C370" s="5" t="n"/>
      <c r="D370" s="5" t="n"/>
      <c r="E370" s="5" t="n"/>
      <c r="F370" s="5" t="n"/>
      <c r="G370" s="8" t="n"/>
      <c r="H370" s="5" t="n"/>
      <c r="I370" s="5" t="n"/>
      <c r="J370" s="5" t="n"/>
      <c r="K370" s="5" t="n"/>
    </row>
    <row r="371">
      <c r="A371" s="5" t="n"/>
      <c r="B371" s="5" t="n"/>
      <c r="C371" s="5" t="n"/>
      <c r="D371" s="5" t="n"/>
      <c r="E371" s="5" t="n"/>
      <c r="F371" s="5" t="n"/>
      <c r="G371" s="8" t="n"/>
      <c r="H371" s="5" t="n"/>
      <c r="I371" s="5" t="n"/>
      <c r="J371" s="5" t="n"/>
      <c r="K371" s="5" t="n"/>
    </row>
    <row r="372">
      <c r="A372" s="5" t="n"/>
      <c r="B372" s="5" t="n"/>
      <c r="C372" s="5" t="n"/>
      <c r="D372" s="5" t="n"/>
      <c r="E372" s="5" t="n"/>
      <c r="F372" s="5" t="n"/>
      <c r="G372" s="8" t="n"/>
      <c r="H372" s="5" t="n"/>
      <c r="I372" s="5" t="n"/>
      <c r="J372" s="5" t="n"/>
      <c r="K372" s="5" t="n"/>
    </row>
    <row r="373">
      <c r="A373" s="5" t="n"/>
      <c r="B373" s="5" t="n"/>
      <c r="C373" s="5" t="n"/>
      <c r="D373" s="5" t="n"/>
      <c r="E373" s="5" t="n"/>
      <c r="F373" s="5" t="n"/>
      <c r="G373" s="8" t="n"/>
      <c r="H373" s="5" t="n"/>
      <c r="I373" s="5" t="n"/>
      <c r="J373" s="5" t="n"/>
      <c r="K373" s="5" t="n"/>
    </row>
    <row r="374">
      <c r="A374" s="5" t="n"/>
      <c r="B374" s="5" t="n"/>
      <c r="C374" s="5" t="n"/>
      <c r="D374" s="5" t="n"/>
      <c r="E374" s="5" t="n"/>
      <c r="F374" s="5" t="n"/>
      <c r="G374" s="8" t="n"/>
      <c r="H374" s="5" t="n"/>
      <c r="I374" s="5" t="n"/>
      <c r="J374" s="5" t="n"/>
      <c r="K374" s="5" t="n"/>
    </row>
    <row r="375">
      <c r="A375" s="5" t="n"/>
      <c r="B375" s="5" t="n"/>
      <c r="C375" s="5" t="n"/>
      <c r="D375" s="5" t="n"/>
      <c r="E375" s="5" t="n"/>
      <c r="F375" s="5" t="n"/>
      <c r="G375" s="8" t="n"/>
      <c r="H375" s="5" t="n"/>
      <c r="I375" s="5" t="n"/>
      <c r="J375" s="5" t="n"/>
      <c r="K375" s="5" t="n"/>
    </row>
    <row r="376">
      <c r="A376" s="5" t="n"/>
      <c r="B376" s="5" t="n"/>
      <c r="C376" s="5" t="n"/>
      <c r="D376" s="5" t="n"/>
      <c r="E376" s="5" t="n"/>
      <c r="F376" s="5" t="n"/>
      <c r="G376" s="8" t="n"/>
      <c r="H376" s="5" t="n"/>
      <c r="I376" s="5" t="n"/>
      <c r="J376" s="5" t="n"/>
      <c r="K376" s="5" t="n"/>
    </row>
    <row r="377">
      <c r="A377" s="5" t="n"/>
      <c r="B377" s="5" t="n"/>
      <c r="C377" s="5" t="n"/>
      <c r="D377" s="5" t="n"/>
      <c r="E377" s="5" t="n"/>
      <c r="F377" s="5" t="n"/>
      <c r="G377" s="8" t="n"/>
      <c r="H377" s="5" t="n"/>
      <c r="I377" s="5" t="n"/>
      <c r="J377" s="5" t="n"/>
      <c r="K377" s="5" t="n"/>
    </row>
    <row r="378">
      <c r="A378" s="5" t="n"/>
      <c r="B378" s="5" t="n"/>
      <c r="C378" s="5" t="n"/>
      <c r="D378" s="5" t="n"/>
      <c r="E378" s="5" t="n"/>
      <c r="F378" s="5" t="n"/>
      <c r="G378" s="8" t="n"/>
      <c r="H378" s="5" t="n"/>
      <c r="I378" s="5" t="n"/>
      <c r="J378" s="5" t="n"/>
      <c r="K378" s="5" t="n"/>
    </row>
    <row r="379">
      <c r="A379" s="5" t="n"/>
      <c r="B379" s="5" t="n"/>
      <c r="C379" s="5" t="n"/>
      <c r="D379" s="5" t="n"/>
      <c r="E379" s="5" t="n"/>
      <c r="F379" s="5" t="n"/>
      <c r="G379" s="8" t="n"/>
      <c r="H379" s="5" t="n"/>
      <c r="I379" s="5" t="n"/>
      <c r="J379" s="5" t="n"/>
      <c r="K379" s="5" t="n"/>
    </row>
    <row r="380">
      <c r="A380" s="5" t="n"/>
      <c r="B380" s="5" t="n"/>
      <c r="C380" s="5" t="n"/>
      <c r="D380" s="5" t="n"/>
      <c r="E380" s="5" t="n"/>
      <c r="F380" s="5" t="n"/>
      <c r="G380" s="8" t="n"/>
      <c r="H380" s="5" t="n"/>
      <c r="I380" s="5" t="n"/>
      <c r="J380" s="5" t="n"/>
      <c r="K380" s="5" t="n"/>
    </row>
    <row r="381">
      <c r="A381" s="5" t="n"/>
      <c r="B381" s="5" t="n"/>
      <c r="C381" s="5" t="n"/>
      <c r="D381" s="5" t="n"/>
      <c r="E381" s="5" t="n"/>
      <c r="F381" s="5" t="n"/>
      <c r="G381" s="8" t="n"/>
      <c r="H381" s="5" t="n"/>
      <c r="I381" s="5" t="n"/>
      <c r="J381" s="5" t="n"/>
      <c r="K381" s="5" t="n"/>
    </row>
    <row r="382">
      <c r="A382" s="5" t="n"/>
      <c r="B382" s="5" t="n"/>
      <c r="C382" s="5" t="n"/>
      <c r="D382" s="5" t="n"/>
      <c r="E382" s="5" t="n"/>
      <c r="F382" s="5" t="n"/>
      <c r="G382" s="8" t="n"/>
      <c r="H382" s="5" t="n"/>
      <c r="I382" s="5" t="n"/>
      <c r="J382" s="5" t="n"/>
      <c r="K382" s="5" t="n"/>
    </row>
    <row r="383">
      <c r="A383" s="5" t="n"/>
      <c r="B383" s="5" t="n"/>
      <c r="C383" s="5" t="n"/>
      <c r="D383" s="5" t="n"/>
      <c r="E383" s="5" t="n"/>
      <c r="F383" s="5" t="n"/>
      <c r="G383" s="8" t="n"/>
      <c r="H383" s="5" t="n"/>
      <c r="I383" s="5" t="n"/>
      <c r="J383" s="5" t="n"/>
      <c r="K383" s="5" t="n"/>
    </row>
    <row r="384">
      <c r="A384" s="5" t="n"/>
      <c r="B384" s="5" t="n"/>
      <c r="C384" s="5" t="n"/>
      <c r="D384" s="5" t="n"/>
      <c r="E384" s="5" t="n"/>
      <c r="F384" s="5" t="n"/>
      <c r="G384" s="8" t="n"/>
      <c r="H384" s="5" t="n"/>
      <c r="I384" s="5" t="n"/>
      <c r="J384" s="5" t="n"/>
      <c r="K384" s="5" t="n"/>
    </row>
    <row r="385">
      <c r="A385" s="5" t="n"/>
      <c r="B385" s="5" t="n"/>
      <c r="C385" s="5" t="n"/>
      <c r="D385" s="5" t="n"/>
      <c r="E385" s="5" t="n"/>
      <c r="F385" s="5" t="n"/>
      <c r="G385" s="8" t="n"/>
      <c r="H385" s="5" t="n"/>
      <c r="I385" s="5" t="n"/>
      <c r="J385" s="5" t="n"/>
      <c r="K385" s="5" t="n"/>
    </row>
    <row r="386">
      <c r="A386" s="5" t="n"/>
      <c r="B386" s="5" t="n"/>
      <c r="C386" s="5" t="n"/>
      <c r="D386" s="5" t="n"/>
      <c r="E386" s="5" t="n"/>
      <c r="F386" s="5" t="n"/>
      <c r="G386" s="8" t="n"/>
      <c r="H386" s="5" t="n"/>
      <c r="I386" s="5" t="n"/>
      <c r="J386" s="5" t="n"/>
      <c r="K386" s="5" t="n"/>
    </row>
    <row r="387">
      <c r="A387" s="5" t="n"/>
      <c r="B387" s="5" t="n"/>
      <c r="C387" s="5" t="n"/>
      <c r="D387" s="5" t="n"/>
      <c r="E387" s="5" t="n"/>
      <c r="F387" s="5" t="n"/>
      <c r="G387" s="8" t="n"/>
      <c r="H387" s="5" t="n"/>
      <c r="I387" s="5" t="n"/>
      <c r="J387" s="5" t="n"/>
      <c r="K387" s="5" t="n"/>
    </row>
    <row r="388">
      <c r="A388" s="5" t="n"/>
      <c r="B388" s="5" t="n"/>
      <c r="C388" s="5" t="n"/>
      <c r="D388" s="5" t="n"/>
      <c r="E388" s="5" t="n"/>
      <c r="F388" s="5" t="n"/>
      <c r="G388" s="8" t="n"/>
      <c r="H388" s="5" t="n"/>
      <c r="I388" s="5" t="n"/>
      <c r="J388" s="5" t="n"/>
      <c r="K388" s="5" t="n"/>
    </row>
    <row r="389">
      <c r="A389" s="5" t="n"/>
      <c r="B389" s="5" t="n"/>
      <c r="C389" s="5" t="n"/>
      <c r="D389" s="5" t="n"/>
      <c r="E389" s="5" t="n"/>
      <c r="F389" s="5" t="n"/>
      <c r="G389" s="8" t="n"/>
      <c r="H389" s="5" t="n"/>
      <c r="I389" s="5" t="n"/>
      <c r="J389" s="5" t="n"/>
      <c r="K389" s="5" t="n"/>
    </row>
    <row r="390">
      <c r="A390" s="5" t="n"/>
      <c r="B390" s="5" t="n"/>
      <c r="C390" s="5" t="n"/>
      <c r="D390" s="5" t="n"/>
      <c r="E390" s="5" t="n"/>
      <c r="F390" s="5" t="n"/>
      <c r="G390" s="8" t="n"/>
      <c r="H390" s="5" t="n"/>
      <c r="I390" s="5" t="n"/>
      <c r="J390" s="5" t="n"/>
      <c r="K390" s="5" t="n"/>
    </row>
    <row r="391">
      <c r="A391" s="5" t="n"/>
      <c r="B391" s="5" t="n"/>
      <c r="C391" s="5" t="n"/>
      <c r="D391" s="5" t="n"/>
      <c r="E391" s="5" t="n"/>
      <c r="F391" s="5" t="n"/>
      <c r="G391" s="8" t="n"/>
      <c r="H391" s="5" t="n"/>
      <c r="I391" s="5" t="n"/>
      <c r="J391" s="5" t="n"/>
      <c r="K391" s="5" t="n"/>
    </row>
    <row r="392">
      <c r="A392" s="5" t="n"/>
      <c r="B392" s="5" t="n"/>
      <c r="C392" s="5" t="n"/>
      <c r="D392" s="5" t="n"/>
      <c r="E392" s="5" t="n"/>
      <c r="F392" s="5" t="n"/>
      <c r="G392" s="8" t="n"/>
      <c r="H392" s="5" t="n"/>
      <c r="I392" s="5" t="n"/>
      <c r="J392" s="5" t="n"/>
      <c r="K392" s="5" t="n"/>
    </row>
    <row r="393">
      <c r="A393" s="5" t="n"/>
      <c r="B393" s="5" t="n"/>
      <c r="C393" s="5" t="n"/>
      <c r="D393" s="5" t="n"/>
      <c r="E393" s="5" t="n"/>
      <c r="F393" s="5" t="n"/>
      <c r="G393" s="8" t="n"/>
      <c r="H393" s="5" t="n"/>
      <c r="I393" s="5" t="n"/>
      <c r="J393" s="5" t="n"/>
      <c r="K393" s="5" t="n"/>
    </row>
    <row r="394">
      <c r="A394" s="5" t="n"/>
      <c r="B394" s="5" t="n"/>
      <c r="C394" s="5" t="n"/>
      <c r="D394" s="5" t="n"/>
      <c r="E394" s="5" t="n"/>
      <c r="F394" s="5" t="n"/>
      <c r="G394" s="8" t="n"/>
      <c r="H394" s="5" t="n"/>
      <c r="I394" s="5" t="n"/>
      <c r="J394" s="5" t="n"/>
      <c r="K394" s="5" t="n"/>
    </row>
    <row r="395">
      <c r="A395" s="5" t="n"/>
      <c r="B395" s="5" t="n"/>
      <c r="C395" s="5" t="n"/>
      <c r="D395" s="5" t="n"/>
      <c r="E395" s="5" t="n"/>
      <c r="F395" s="5" t="n"/>
      <c r="G395" s="8" t="n"/>
      <c r="H395" s="5" t="n"/>
      <c r="I395" s="5" t="n"/>
      <c r="J395" s="5" t="n"/>
      <c r="K395" s="5" t="n"/>
    </row>
    <row r="396">
      <c r="A396" s="5" t="n"/>
      <c r="B396" s="5" t="n"/>
      <c r="C396" s="5" t="n"/>
      <c r="D396" s="5" t="n"/>
      <c r="E396" s="5" t="n"/>
      <c r="F396" s="5" t="n"/>
      <c r="G396" s="8" t="n"/>
      <c r="H396" s="5" t="n"/>
      <c r="I396" s="5" t="n"/>
      <c r="J396" s="5" t="n"/>
      <c r="K396" s="5" t="n"/>
    </row>
    <row r="397">
      <c r="A397" s="5" t="n"/>
      <c r="B397" s="5" t="n"/>
      <c r="C397" s="5" t="n"/>
      <c r="D397" s="5" t="n"/>
      <c r="E397" s="5" t="n"/>
      <c r="F397" s="5" t="n"/>
      <c r="G397" s="8" t="n"/>
      <c r="H397" s="5" t="n"/>
      <c r="I397" s="5" t="n"/>
      <c r="J397" s="5" t="n"/>
      <c r="K397" s="5" t="n"/>
    </row>
    <row r="398">
      <c r="A398" s="5" t="n"/>
      <c r="B398" s="5" t="n"/>
      <c r="C398" s="5" t="n"/>
      <c r="D398" s="5" t="n"/>
      <c r="E398" s="5" t="n"/>
      <c r="F398" s="5" t="n"/>
      <c r="G398" s="8" t="n"/>
      <c r="H398" s="5" t="n"/>
      <c r="I398" s="5" t="n"/>
      <c r="J398" s="5" t="n"/>
      <c r="K398" s="5" t="n"/>
    </row>
    <row r="399">
      <c r="A399" s="5" t="n"/>
      <c r="B399" s="5" t="n"/>
      <c r="C399" s="5" t="n"/>
      <c r="D399" s="5" t="n"/>
      <c r="E399" s="5" t="n"/>
      <c r="F399" s="5" t="n"/>
      <c r="G399" s="8" t="n"/>
      <c r="H399" s="5" t="n"/>
      <c r="I399" s="5" t="n"/>
      <c r="J399" s="5" t="n"/>
      <c r="K399" s="5" t="n"/>
    </row>
    <row r="400">
      <c r="A400" s="5" t="n"/>
      <c r="B400" s="5" t="n"/>
      <c r="C400" s="5" t="n"/>
      <c r="D400" s="5" t="n"/>
      <c r="E400" s="5" t="n"/>
      <c r="F400" s="5" t="n"/>
      <c r="G400" s="8" t="n"/>
      <c r="H400" s="5" t="n"/>
      <c r="I400" s="5" t="n"/>
      <c r="J400" s="5" t="n"/>
      <c r="K400" s="5" t="n"/>
    </row>
    <row r="401">
      <c r="A401" s="5" t="n"/>
      <c r="B401" s="5" t="n"/>
      <c r="C401" s="5" t="n"/>
      <c r="D401" s="5" t="n"/>
      <c r="E401" s="5" t="n"/>
      <c r="F401" s="5" t="n"/>
      <c r="G401" s="8" t="n"/>
      <c r="H401" s="5" t="n"/>
      <c r="I401" s="5" t="n"/>
      <c r="J401" s="5" t="n"/>
      <c r="K401" s="5" t="n"/>
    </row>
    <row r="402">
      <c r="A402" s="5" t="n"/>
      <c r="B402" s="5" t="n"/>
      <c r="C402" s="5" t="n"/>
      <c r="D402" s="5" t="n"/>
      <c r="E402" s="5" t="n"/>
      <c r="F402" s="5" t="n"/>
      <c r="G402" s="8" t="n"/>
      <c r="H402" s="5" t="n"/>
      <c r="I402" s="5" t="n"/>
      <c r="J402" s="5" t="n"/>
      <c r="K402" s="5" t="n"/>
    </row>
    <row r="403">
      <c r="A403" s="5" t="n"/>
      <c r="B403" s="5" t="n"/>
      <c r="C403" s="5" t="n"/>
      <c r="D403" s="5" t="n"/>
      <c r="E403" s="5" t="n"/>
      <c r="F403" s="5" t="n"/>
      <c r="G403" s="8" t="n"/>
      <c r="H403" s="5" t="n"/>
      <c r="I403" s="5" t="n"/>
      <c r="J403" s="5" t="n"/>
      <c r="K403" s="5" t="n"/>
    </row>
    <row r="404">
      <c r="A404" s="5" t="n"/>
      <c r="B404" s="5" t="n"/>
      <c r="C404" s="5" t="n"/>
      <c r="D404" s="5" t="n"/>
      <c r="E404" s="5" t="n"/>
      <c r="F404" s="5" t="n"/>
      <c r="G404" s="8" t="n"/>
      <c r="H404" s="5" t="n"/>
      <c r="I404" s="5" t="n"/>
      <c r="J404" s="5" t="n"/>
      <c r="K404" s="5" t="n"/>
    </row>
    <row r="405">
      <c r="A405" s="5" t="n"/>
      <c r="B405" s="5" t="n"/>
      <c r="C405" s="5" t="n"/>
      <c r="D405" s="5" t="n"/>
      <c r="E405" s="5" t="n"/>
      <c r="F405" s="5" t="n"/>
      <c r="G405" s="8" t="n"/>
      <c r="H405" s="5" t="n"/>
      <c r="I405" s="5" t="n"/>
      <c r="J405" s="5" t="n"/>
      <c r="K405" s="5" t="n"/>
    </row>
    <row r="406">
      <c r="A406" s="5" t="n"/>
      <c r="B406" s="5" t="n"/>
      <c r="C406" s="5" t="n"/>
      <c r="D406" s="5" t="n"/>
      <c r="E406" s="5" t="n"/>
      <c r="F406" s="5" t="n"/>
      <c r="G406" s="8" t="n"/>
      <c r="H406" s="5" t="n"/>
      <c r="I406" s="5" t="n"/>
      <c r="J406" s="5" t="n"/>
      <c r="K406" s="5" t="n"/>
    </row>
    <row r="407">
      <c r="A407" s="5" t="n"/>
      <c r="B407" s="5" t="n"/>
      <c r="C407" s="5" t="n"/>
      <c r="D407" s="5" t="n"/>
      <c r="E407" s="5" t="n"/>
      <c r="F407" s="5" t="n"/>
      <c r="G407" s="8" t="n"/>
      <c r="H407" s="5" t="n"/>
      <c r="I407" s="5" t="n"/>
      <c r="J407" s="5" t="n"/>
      <c r="K407" s="5" t="n"/>
    </row>
    <row r="408">
      <c r="A408" s="5" t="n"/>
      <c r="B408" s="5" t="n"/>
      <c r="C408" s="5" t="n"/>
      <c r="D408" s="5" t="n"/>
      <c r="E408" s="5" t="n"/>
      <c r="F408" s="5" t="n"/>
      <c r="G408" s="8" t="n"/>
      <c r="H408" s="5" t="n"/>
      <c r="I408" s="5" t="n"/>
      <c r="J408" s="5" t="n"/>
      <c r="K408" s="5" t="n"/>
    </row>
    <row r="409">
      <c r="A409" s="5" t="n"/>
      <c r="B409" s="5" t="n"/>
      <c r="C409" s="5" t="n"/>
      <c r="D409" s="5" t="n"/>
      <c r="E409" s="5" t="n"/>
      <c r="F409" s="5" t="n"/>
      <c r="G409" s="8" t="n"/>
      <c r="H409" s="5" t="n"/>
      <c r="I409" s="5" t="n"/>
      <c r="J409" s="5" t="n"/>
      <c r="K409" s="5" t="n"/>
    </row>
    <row r="410">
      <c r="A410" s="5" t="n"/>
      <c r="B410" s="5" t="n"/>
      <c r="C410" s="5" t="n"/>
      <c r="D410" s="5" t="n"/>
      <c r="E410" s="5" t="n"/>
      <c r="F410" s="5" t="n"/>
      <c r="G410" s="8" t="n"/>
      <c r="H410" s="5" t="n"/>
      <c r="I410" s="5" t="n"/>
      <c r="J410" s="5" t="n"/>
      <c r="K410" s="5" t="n"/>
    </row>
    <row r="411">
      <c r="A411" s="5" t="n"/>
      <c r="B411" s="5" t="n"/>
      <c r="C411" s="5" t="n"/>
      <c r="D411" s="5" t="n"/>
      <c r="E411" s="5" t="n"/>
      <c r="F411" s="5" t="n"/>
      <c r="G411" s="8" t="n"/>
      <c r="H411" s="5" t="n"/>
      <c r="I411" s="5" t="n"/>
      <c r="J411" s="5" t="n"/>
      <c r="K411" s="5" t="n"/>
    </row>
    <row r="412">
      <c r="A412" s="5" t="n"/>
      <c r="B412" s="5" t="n"/>
      <c r="C412" s="5" t="n"/>
      <c r="D412" s="5" t="n"/>
      <c r="E412" s="5" t="n"/>
      <c r="F412" s="5" t="n"/>
      <c r="G412" s="8" t="n"/>
      <c r="H412" s="5" t="n"/>
      <c r="I412" s="5" t="n"/>
      <c r="J412" s="5" t="n"/>
      <c r="K412" s="5" t="n"/>
    </row>
    <row r="413">
      <c r="A413" s="5" t="n"/>
      <c r="B413" s="5" t="n"/>
      <c r="C413" s="5" t="n"/>
      <c r="D413" s="5" t="n"/>
      <c r="E413" s="5" t="n"/>
      <c r="F413" s="5" t="n"/>
      <c r="G413" s="8" t="n"/>
      <c r="H413" s="5" t="n"/>
      <c r="I413" s="5" t="n"/>
      <c r="J413" s="5" t="n"/>
      <c r="K413" s="5" t="n"/>
    </row>
    <row r="414">
      <c r="A414" s="5" t="n"/>
      <c r="B414" s="5" t="n"/>
      <c r="C414" s="5" t="n"/>
      <c r="D414" s="5" t="n"/>
      <c r="E414" s="5" t="n"/>
      <c r="F414" s="5" t="n"/>
      <c r="G414" s="8" t="n"/>
      <c r="H414" s="5" t="n"/>
      <c r="I414" s="5" t="n"/>
      <c r="J414" s="5" t="n"/>
      <c r="K414" s="5" t="n"/>
    </row>
    <row r="415">
      <c r="A415" s="5" t="n"/>
      <c r="B415" s="5" t="n"/>
      <c r="C415" s="5" t="n"/>
      <c r="D415" s="5" t="n"/>
      <c r="E415" s="5" t="n"/>
      <c r="F415" s="5" t="n"/>
      <c r="G415" s="8" t="n"/>
      <c r="H415" s="5" t="n"/>
      <c r="I415" s="5" t="n"/>
      <c r="J415" s="5" t="n"/>
      <c r="K415" s="5" t="n"/>
    </row>
    <row r="416">
      <c r="A416" s="5" t="n"/>
      <c r="B416" s="5" t="n"/>
      <c r="C416" s="5" t="n"/>
      <c r="D416" s="5" t="n"/>
      <c r="E416" s="5" t="n"/>
      <c r="F416" s="5" t="n"/>
      <c r="G416" s="8" t="n"/>
      <c r="H416" s="5" t="n"/>
      <c r="I416" s="5" t="n"/>
      <c r="J416" s="5" t="n"/>
      <c r="K416" s="5" t="n"/>
    </row>
    <row r="417">
      <c r="A417" s="5" t="n"/>
      <c r="B417" s="5" t="n"/>
      <c r="C417" s="5" t="n"/>
      <c r="D417" s="5" t="n"/>
      <c r="E417" s="5" t="n"/>
      <c r="F417" s="5" t="n"/>
      <c r="G417" s="8" t="n"/>
      <c r="H417" s="5" t="n"/>
      <c r="I417" s="5" t="n"/>
      <c r="J417" s="5" t="n"/>
      <c r="K417" s="5" t="n"/>
    </row>
    <row r="418">
      <c r="A418" s="5" t="n"/>
      <c r="B418" s="5" t="n"/>
      <c r="C418" s="5" t="n"/>
      <c r="D418" s="5" t="n"/>
      <c r="E418" s="5" t="n"/>
      <c r="F418" s="5" t="n"/>
      <c r="G418" s="8" t="n"/>
      <c r="H418" s="5" t="n"/>
      <c r="I418" s="5" t="n"/>
      <c r="J418" s="5" t="n"/>
      <c r="K418" s="5" t="n"/>
    </row>
    <row r="419">
      <c r="A419" s="5" t="n"/>
      <c r="B419" s="5" t="n"/>
      <c r="C419" s="5" t="n"/>
      <c r="D419" s="5" t="n"/>
      <c r="E419" s="5" t="n"/>
      <c r="F419" s="5" t="n"/>
      <c r="G419" s="8" t="n"/>
      <c r="H419" s="5" t="n"/>
      <c r="I419" s="5" t="n"/>
      <c r="J419" s="5" t="n"/>
      <c r="K419" s="5" t="n"/>
    </row>
    <row r="420">
      <c r="A420" s="5" t="n"/>
      <c r="B420" s="5" t="n"/>
      <c r="C420" s="5" t="n"/>
      <c r="D420" s="5" t="n"/>
      <c r="E420" s="5" t="n"/>
      <c r="F420" s="5" t="n"/>
      <c r="G420" s="8" t="n"/>
      <c r="H420" s="5" t="n"/>
      <c r="I420" s="5" t="n"/>
      <c r="J420" s="5" t="n"/>
      <c r="K420" s="5" t="n"/>
    </row>
    <row r="421">
      <c r="A421" s="5" t="n"/>
      <c r="B421" s="5" t="n"/>
      <c r="C421" s="5" t="n"/>
      <c r="D421" s="5" t="n"/>
      <c r="E421" s="5" t="n"/>
      <c r="F421" s="5" t="n"/>
      <c r="G421" s="8" t="n"/>
      <c r="H421" s="5" t="n"/>
      <c r="I421" s="5" t="n"/>
      <c r="J421" s="5" t="n"/>
      <c r="K421" s="5" t="n"/>
    </row>
    <row r="422">
      <c r="A422" s="5" t="n"/>
      <c r="B422" s="5" t="n"/>
      <c r="C422" s="5" t="n"/>
      <c r="D422" s="5" t="n"/>
      <c r="E422" s="5" t="n"/>
      <c r="F422" s="5" t="n"/>
      <c r="G422" s="8" t="n"/>
      <c r="H422" s="5" t="n"/>
      <c r="I422" s="5" t="n"/>
      <c r="J422" s="5" t="n"/>
      <c r="K422" s="5" t="n"/>
    </row>
    <row r="423">
      <c r="A423" s="5" t="n"/>
      <c r="B423" s="5" t="n"/>
      <c r="C423" s="5" t="n"/>
      <c r="D423" s="5" t="n"/>
      <c r="E423" s="5" t="n"/>
      <c r="F423" s="5" t="n"/>
      <c r="G423" s="8" t="n"/>
      <c r="H423" s="5" t="n"/>
      <c r="I423" s="5" t="n"/>
      <c r="J423" s="5" t="n"/>
      <c r="K423" s="5" t="n"/>
    </row>
    <row r="424">
      <c r="A424" s="5" t="n"/>
      <c r="B424" s="5" t="n"/>
      <c r="C424" s="5" t="n"/>
      <c r="D424" s="5" t="n"/>
      <c r="E424" s="5" t="n"/>
      <c r="F424" s="5" t="n"/>
      <c r="G424" s="8" t="n"/>
      <c r="H424" s="5" t="n"/>
      <c r="I424" s="5" t="n"/>
      <c r="J424" s="5" t="n"/>
      <c r="K424" s="5" t="n"/>
    </row>
    <row r="425">
      <c r="A425" s="5" t="n"/>
      <c r="B425" s="5" t="n"/>
      <c r="C425" s="5" t="n"/>
      <c r="D425" s="5" t="n"/>
      <c r="E425" s="5" t="n"/>
      <c r="F425" s="5" t="n"/>
      <c r="G425" s="8" t="n"/>
      <c r="H425" s="5" t="n"/>
      <c r="I425" s="5" t="n"/>
      <c r="J425" s="5" t="n"/>
      <c r="K425" s="5" t="n"/>
    </row>
    <row r="426">
      <c r="A426" s="5" t="n"/>
      <c r="B426" s="5" t="n"/>
      <c r="C426" s="5" t="n"/>
      <c r="D426" s="5" t="n"/>
      <c r="E426" s="5" t="n"/>
      <c r="F426" s="5" t="n"/>
      <c r="G426" s="8" t="n"/>
      <c r="H426" s="5" t="n"/>
      <c r="I426" s="5" t="n"/>
      <c r="J426" s="5" t="n"/>
      <c r="K426" s="5" t="n"/>
    </row>
    <row r="427">
      <c r="A427" s="5" t="n"/>
      <c r="B427" s="5" t="n"/>
      <c r="C427" s="5" t="n"/>
      <c r="D427" s="5" t="n"/>
      <c r="E427" s="5" t="n"/>
      <c r="F427" s="5" t="n"/>
      <c r="G427" s="8" t="n"/>
      <c r="H427" s="5" t="n"/>
      <c r="I427" s="5" t="n"/>
      <c r="J427" s="5" t="n"/>
      <c r="K427" s="5" t="n"/>
    </row>
    <row r="428">
      <c r="A428" s="5" t="n"/>
      <c r="B428" s="5" t="n"/>
      <c r="C428" s="5" t="n"/>
      <c r="D428" s="5" t="n"/>
      <c r="E428" s="5" t="n"/>
      <c r="F428" s="5" t="n"/>
      <c r="G428" s="8" t="n"/>
      <c r="H428" s="5" t="n"/>
      <c r="I428" s="5" t="n"/>
      <c r="J428" s="5" t="n"/>
      <c r="K428" s="5" t="n"/>
    </row>
    <row r="429">
      <c r="A429" s="5" t="n"/>
      <c r="B429" s="5" t="n"/>
      <c r="C429" s="5" t="n"/>
      <c r="D429" s="5" t="n"/>
      <c r="E429" s="5" t="n"/>
      <c r="F429" s="5" t="n"/>
      <c r="G429" s="8" t="n"/>
      <c r="H429" s="5" t="n"/>
      <c r="I429" s="5" t="n"/>
      <c r="J429" s="5" t="n"/>
      <c r="K429" s="5" t="n"/>
    </row>
    <row r="430">
      <c r="A430" s="5" t="n"/>
      <c r="B430" s="5" t="n"/>
      <c r="C430" s="5" t="n"/>
      <c r="D430" s="5" t="n"/>
      <c r="E430" s="5" t="n"/>
      <c r="F430" s="5" t="n"/>
      <c r="G430" s="8" t="n"/>
      <c r="H430" s="5" t="n"/>
      <c r="I430" s="5" t="n"/>
      <c r="J430" s="5" t="n"/>
      <c r="K430" s="5" t="n"/>
    </row>
    <row r="431">
      <c r="A431" s="5" t="n"/>
      <c r="B431" s="5" t="n"/>
      <c r="C431" s="5" t="n"/>
      <c r="D431" s="5" t="n"/>
      <c r="E431" s="5" t="n"/>
      <c r="F431" s="5" t="n"/>
      <c r="G431" s="8" t="n"/>
      <c r="H431" s="5" t="n"/>
      <c r="I431" s="5" t="n"/>
      <c r="J431" s="5" t="n"/>
      <c r="K431" s="5" t="n"/>
    </row>
    <row r="432">
      <c r="A432" s="5" t="n"/>
      <c r="B432" s="5" t="n"/>
      <c r="C432" s="5" t="n"/>
      <c r="D432" s="5" t="n"/>
      <c r="E432" s="5" t="n"/>
      <c r="F432" s="5" t="n"/>
      <c r="G432" s="8" t="n"/>
      <c r="H432" s="5" t="n"/>
      <c r="I432" s="5" t="n"/>
      <c r="J432" s="5" t="n"/>
      <c r="K432" s="5" t="n"/>
    </row>
    <row r="433">
      <c r="A433" s="5" t="n"/>
      <c r="B433" s="5" t="n"/>
      <c r="C433" s="5" t="n"/>
      <c r="D433" s="5" t="n"/>
      <c r="E433" s="5" t="n"/>
      <c r="F433" s="5" t="n"/>
      <c r="G433" s="8" t="n"/>
      <c r="H433" s="5" t="n"/>
      <c r="I433" s="5" t="n"/>
      <c r="J433" s="5" t="n"/>
      <c r="K433" s="5" t="n"/>
    </row>
    <row r="434">
      <c r="A434" s="5" t="n"/>
      <c r="B434" s="5" t="n"/>
      <c r="C434" s="5" t="n"/>
      <c r="D434" s="5" t="n"/>
      <c r="E434" s="5" t="n"/>
      <c r="F434" s="5" t="n"/>
      <c r="G434" s="8" t="n"/>
      <c r="H434" s="5" t="n"/>
      <c r="I434" s="5" t="n"/>
      <c r="J434" s="5" t="n"/>
      <c r="K434" s="5" t="n"/>
    </row>
    <row r="435">
      <c r="A435" s="5" t="n"/>
      <c r="B435" s="5" t="n"/>
      <c r="C435" s="5" t="n"/>
      <c r="D435" s="5" t="n"/>
      <c r="E435" s="5" t="n"/>
      <c r="F435" s="5" t="n"/>
      <c r="G435" s="8" t="n"/>
      <c r="H435" s="5" t="n"/>
      <c r="I435" s="5" t="n"/>
      <c r="J435" s="5" t="n"/>
      <c r="K435" s="5" t="n"/>
    </row>
    <row r="436">
      <c r="A436" s="5" t="n"/>
      <c r="B436" s="5" t="n"/>
      <c r="C436" s="5" t="n"/>
      <c r="D436" s="5" t="n"/>
      <c r="E436" s="5" t="n"/>
      <c r="F436" s="5" t="n"/>
      <c r="G436" s="8" t="n"/>
      <c r="H436" s="5" t="n"/>
      <c r="I436" s="5" t="n"/>
      <c r="J436" s="5" t="n"/>
      <c r="K436" s="5" t="n"/>
    </row>
    <row r="437">
      <c r="A437" s="5" t="n"/>
      <c r="B437" s="5" t="n"/>
      <c r="C437" s="5" t="n"/>
      <c r="D437" s="5" t="n"/>
      <c r="E437" s="5" t="n"/>
      <c r="F437" s="5" t="n"/>
      <c r="G437" s="8" t="n"/>
      <c r="H437" s="5" t="n"/>
      <c r="I437" s="5" t="n"/>
      <c r="J437" s="5" t="n"/>
      <c r="K437" s="5" t="n"/>
    </row>
    <row r="438">
      <c r="A438" s="5" t="n"/>
      <c r="B438" s="5" t="n"/>
      <c r="C438" s="5" t="n"/>
      <c r="D438" s="5" t="n"/>
      <c r="E438" s="5" t="n"/>
      <c r="F438" s="5" t="n"/>
      <c r="G438" s="8" t="n"/>
      <c r="H438" s="5" t="n"/>
      <c r="I438" s="5" t="n"/>
      <c r="J438" s="5" t="n"/>
      <c r="K438" s="5" t="n"/>
    </row>
    <row r="439">
      <c r="A439" s="5" t="n"/>
      <c r="B439" s="5" t="n"/>
      <c r="C439" s="5" t="n"/>
      <c r="D439" s="5" t="n"/>
      <c r="E439" s="5" t="n"/>
      <c r="F439" s="5" t="n"/>
      <c r="G439" s="8" t="n"/>
      <c r="H439" s="5" t="n"/>
      <c r="I439" s="5" t="n"/>
      <c r="J439" s="5" t="n"/>
      <c r="K439" s="5" t="n"/>
    </row>
    <row r="440">
      <c r="A440" s="5" t="n"/>
      <c r="B440" s="5" t="n"/>
      <c r="C440" s="5" t="n"/>
      <c r="D440" s="5" t="n"/>
      <c r="E440" s="5" t="n"/>
      <c r="F440" s="5" t="n"/>
      <c r="G440" s="8" t="n"/>
      <c r="H440" s="5" t="n"/>
      <c r="I440" s="5" t="n"/>
      <c r="J440" s="5" t="n"/>
      <c r="K440" s="5" t="n"/>
    </row>
    <row r="441">
      <c r="A441" s="5" t="n"/>
      <c r="B441" s="5" t="n"/>
      <c r="C441" s="5" t="n"/>
      <c r="D441" s="5" t="n"/>
      <c r="E441" s="5" t="n"/>
      <c r="F441" s="5" t="n"/>
      <c r="G441" s="8" t="n"/>
      <c r="H441" s="5" t="n"/>
      <c r="I441" s="5" t="n"/>
      <c r="J441" s="5" t="n"/>
      <c r="K441" s="5" t="n"/>
    </row>
    <row r="442">
      <c r="A442" s="5" t="n"/>
      <c r="B442" s="5" t="n"/>
      <c r="C442" s="5" t="n"/>
      <c r="D442" s="5" t="n"/>
      <c r="E442" s="5" t="n"/>
      <c r="F442" s="5" t="n"/>
      <c r="G442" s="8" t="n"/>
      <c r="H442" s="5" t="n"/>
      <c r="I442" s="5" t="n"/>
      <c r="J442" s="5" t="n"/>
      <c r="K442" s="5" t="n"/>
    </row>
    <row r="443">
      <c r="A443" s="5" t="n"/>
      <c r="B443" s="5" t="n"/>
      <c r="C443" s="5" t="n"/>
      <c r="D443" s="5" t="n"/>
      <c r="E443" s="5" t="n"/>
      <c r="F443" s="5" t="n"/>
      <c r="G443" s="8" t="n"/>
      <c r="H443" s="5" t="n"/>
      <c r="I443" s="5" t="n"/>
      <c r="J443" s="5" t="n"/>
      <c r="K443" s="5" t="n"/>
    </row>
    <row r="444">
      <c r="A444" s="5" t="n"/>
      <c r="B444" s="5" t="n"/>
      <c r="C444" s="5" t="n"/>
      <c r="D444" s="5" t="n"/>
      <c r="E444" s="5" t="n"/>
      <c r="F444" s="5" t="n"/>
      <c r="G444" s="8" t="n"/>
      <c r="H444" s="5" t="n"/>
      <c r="I444" s="5" t="n"/>
      <c r="J444" s="5" t="n"/>
      <c r="K444" s="5" t="n"/>
    </row>
    <row r="445">
      <c r="A445" s="5" t="n"/>
      <c r="B445" s="5" t="n"/>
      <c r="C445" s="5" t="n"/>
      <c r="D445" s="5" t="n"/>
      <c r="E445" s="5" t="n"/>
      <c r="F445" s="5" t="n"/>
      <c r="G445" s="8" t="n"/>
      <c r="H445" s="5" t="n"/>
      <c r="I445" s="5" t="n"/>
      <c r="J445" s="5" t="n"/>
      <c r="K445" s="5" t="n"/>
    </row>
    <row r="446">
      <c r="A446" s="5" t="n"/>
      <c r="B446" s="5" t="n"/>
      <c r="C446" s="5" t="n"/>
      <c r="D446" s="5" t="n"/>
      <c r="E446" s="5" t="n"/>
      <c r="F446" s="5" t="n"/>
      <c r="G446" s="8" t="n"/>
      <c r="H446" s="5" t="n"/>
      <c r="I446" s="5" t="n"/>
      <c r="J446" s="5" t="n"/>
      <c r="K446" s="5" t="n"/>
    </row>
    <row r="447">
      <c r="A447" s="5" t="n"/>
      <c r="B447" s="5" t="n"/>
      <c r="C447" s="5" t="n"/>
      <c r="D447" s="5" t="n"/>
      <c r="E447" s="5" t="n"/>
      <c r="F447" s="5" t="n"/>
      <c r="G447" s="8" t="n"/>
      <c r="H447" s="5" t="n"/>
      <c r="I447" s="5" t="n"/>
      <c r="J447" s="5" t="n"/>
      <c r="K447" s="5" t="n"/>
    </row>
    <row r="448">
      <c r="A448" s="5" t="n"/>
      <c r="B448" s="5" t="n"/>
      <c r="C448" s="5" t="n"/>
      <c r="D448" s="5" t="n"/>
      <c r="E448" s="5" t="n"/>
      <c r="F448" s="5" t="n"/>
      <c r="G448" s="8" t="n"/>
      <c r="H448" s="5" t="n"/>
      <c r="I448" s="5" t="n"/>
      <c r="J448" s="5" t="n"/>
      <c r="K448" s="5" t="n"/>
    </row>
    <row r="449">
      <c r="A449" s="5" t="n"/>
      <c r="B449" s="5" t="n"/>
      <c r="C449" s="5" t="n"/>
      <c r="D449" s="5" t="n"/>
      <c r="E449" s="5" t="n"/>
      <c r="F449" s="5" t="n"/>
      <c r="G449" s="8" t="n"/>
      <c r="H449" s="5" t="n"/>
      <c r="I449" s="5" t="n"/>
      <c r="J449" s="5" t="n"/>
      <c r="K449" s="5" t="n"/>
    </row>
    <row r="450">
      <c r="A450" s="5" t="n"/>
      <c r="B450" s="5" t="n"/>
      <c r="C450" s="5" t="n"/>
      <c r="D450" s="5" t="n"/>
      <c r="E450" s="5" t="n"/>
      <c r="F450" s="5" t="n"/>
      <c r="G450" s="8" t="n"/>
      <c r="H450" s="5" t="n"/>
      <c r="I450" s="5" t="n"/>
      <c r="J450" s="5" t="n"/>
      <c r="K450" s="5" t="n"/>
    </row>
    <row r="451">
      <c r="A451" s="5" t="n"/>
      <c r="B451" s="5" t="n"/>
      <c r="C451" s="5" t="n"/>
      <c r="D451" s="5" t="n"/>
      <c r="E451" s="5" t="n"/>
      <c r="F451" s="5" t="n"/>
      <c r="G451" s="8" t="n"/>
      <c r="H451" s="5" t="n"/>
      <c r="I451" s="5" t="n"/>
      <c r="J451" s="5" t="n"/>
      <c r="K451" s="5" t="n"/>
    </row>
    <row r="452">
      <c r="A452" s="5" t="n"/>
      <c r="B452" s="5" t="n"/>
      <c r="C452" s="5" t="n"/>
      <c r="D452" s="5" t="n"/>
      <c r="E452" s="5" t="n"/>
      <c r="F452" s="5" t="n"/>
      <c r="G452" s="8" t="n"/>
      <c r="H452" s="5" t="n"/>
      <c r="I452" s="5" t="n"/>
      <c r="J452" s="5" t="n"/>
      <c r="K452" s="5" t="n"/>
    </row>
    <row r="453">
      <c r="A453" s="5" t="n"/>
      <c r="B453" s="5" t="n"/>
      <c r="C453" s="5" t="n"/>
      <c r="D453" s="5" t="n"/>
      <c r="E453" s="5" t="n"/>
      <c r="F453" s="5" t="n"/>
      <c r="G453" s="8" t="n"/>
      <c r="H453" s="5" t="n"/>
      <c r="I453" s="5" t="n"/>
      <c r="J453" s="5" t="n"/>
      <c r="K453" s="5" t="n"/>
    </row>
    <row r="454">
      <c r="A454" s="5" t="n"/>
      <c r="B454" s="5" t="n"/>
      <c r="C454" s="5" t="n"/>
      <c r="D454" s="5" t="n"/>
      <c r="E454" s="5" t="n"/>
      <c r="F454" s="5" t="n"/>
      <c r="G454" s="8" t="n"/>
      <c r="H454" s="5" t="n"/>
      <c r="I454" s="5" t="n"/>
      <c r="J454" s="5" t="n"/>
      <c r="K454" s="5" t="n"/>
    </row>
    <row r="455">
      <c r="A455" s="5" t="n"/>
      <c r="B455" s="5" t="n"/>
      <c r="C455" s="5" t="n"/>
      <c r="D455" s="5" t="n"/>
      <c r="E455" s="5" t="n"/>
      <c r="F455" s="5" t="n"/>
      <c r="G455" s="8" t="n"/>
      <c r="H455" s="5" t="n"/>
      <c r="I455" s="5" t="n"/>
      <c r="J455" s="5" t="n"/>
      <c r="K455" s="5" t="n"/>
    </row>
    <row r="456">
      <c r="A456" s="5" t="n"/>
      <c r="B456" s="5" t="n"/>
      <c r="C456" s="5" t="n"/>
      <c r="D456" s="5" t="n"/>
      <c r="E456" s="5" t="n"/>
      <c r="F456" s="5" t="n"/>
      <c r="G456" s="8" t="n"/>
      <c r="H456" s="5" t="n"/>
      <c r="I456" s="5" t="n"/>
      <c r="J456" s="5" t="n"/>
      <c r="K456" s="5" t="n"/>
    </row>
    <row r="457">
      <c r="A457" s="5" t="n"/>
      <c r="B457" s="5" t="n"/>
      <c r="C457" s="5" t="n"/>
      <c r="D457" s="5" t="n"/>
      <c r="E457" s="5" t="n"/>
      <c r="F457" s="5" t="n"/>
      <c r="G457" s="8" t="n"/>
      <c r="H457" s="5" t="n"/>
      <c r="I457" s="5" t="n"/>
      <c r="J457" s="5" t="n"/>
      <c r="K457" s="5" t="n"/>
    </row>
    <row r="458">
      <c r="A458" s="5" t="n"/>
      <c r="B458" s="5" t="n"/>
      <c r="C458" s="5" t="n"/>
      <c r="D458" s="5" t="n"/>
      <c r="E458" s="5" t="n"/>
      <c r="F458" s="5" t="n"/>
      <c r="G458" s="8" t="n"/>
      <c r="H458" s="5" t="n"/>
      <c r="I458" s="5" t="n"/>
      <c r="J458" s="5" t="n"/>
      <c r="K458" s="5" t="n"/>
    </row>
    <row r="459">
      <c r="A459" s="5" t="n"/>
      <c r="B459" s="5" t="n"/>
      <c r="C459" s="5" t="n"/>
      <c r="D459" s="5" t="n"/>
      <c r="E459" s="5" t="n"/>
      <c r="F459" s="5" t="n"/>
      <c r="G459" s="8" t="n"/>
      <c r="H459" s="5" t="n"/>
      <c r="I459" s="5" t="n"/>
      <c r="J459" s="5" t="n"/>
      <c r="K459" s="5" t="n"/>
    </row>
    <row r="460">
      <c r="A460" s="5" t="n"/>
      <c r="B460" s="5" t="n"/>
      <c r="C460" s="5" t="n"/>
      <c r="D460" s="5" t="n"/>
      <c r="E460" s="5" t="n"/>
      <c r="F460" s="5" t="n"/>
      <c r="G460" s="8" t="n"/>
      <c r="H460" s="5" t="n"/>
      <c r="I460" s="5" t="n"/>
      <c r="J460" s="5" t="n"/>
      <c r="K460" s="5" t="n"/>
    </row>
    <row r="461">
      <c r="A461" s="5" t="n"/>
      <c r="B461" s="5" t="n"/>
      <c r="C461" s="5" t="n"/>
      <c r="D461" s="5" t="n"/>
      <c r="E461" s="5" t="n"/>
      <c r="F461" s="5" t="n"/>
      <c r="G461" s="8" t="n"/>
      <c r="H461" s="5" t="n"/>
      <c r="I461" s="5" t="n"/>
      <c r="J461" s="5" t="n"/>
      <c r="K461" s="5" t="n"/>
    </row>
    <row r="462">
      <c r="A462" s="5" t="n"/>
      <c r="B462" s="5" t="n"/>
      <c r="C462" s="5" t="n"/>
      <c r="D462" s="5" t="n"/>
      <c r="E462" s="5" t="n"/>
      <c r="F462" s="5" t="n"/>
      <c r="G462" s="8" t="n"/>
      <c r="H462" s="5" t="n"/>
      <c r="I462" s="5" t="n"/>
      <c r="J462" s="5" t="n"/>
      <c r="K462" s="5" t="n"/>
    </row>
    <row r="463">
      <c r="A463" s="5" t="n"/>
      <c r="B463" s="5" t="n"/>
      <c r="C463" s="5" t="n"/>
      <c r="D463" s="5" t="n"/>
      <c r="E463" s="5" t="n"/>
      <c r="F463" s="5" t="n"/>
      <c r="G463" s="8" t="n"/>
      <c r="H463" s="5" t="n"/>
      <c r="I463" s="5" t="n"/>
      <c r="J463" s="5" t="n"/>
      <c r="K463" s="5" t="n"/>
    </row>
    <row r="464">
      <c r="A464" s="5" t="n"/>
      <c r="B464" s="5" t="n"/>
      <c r="C464" s="5" t="n"/>
      <c r="D464" s="5" t="n"/>
      <c r="E464" s="5" t="n"/>
      <c r="F464" s="5" t="n"/>
      <c r="G464" s="8" t="n"/>
      <c r="H464" s="5" t="n"/>
      <c r="I464" s="5" t="n"/>
      <c r="J464" s="5" t="n"/>
      <c r="K464" s="5" t="n"/>
    </row>
    <row r="465">
      <c r="A465" s="5" t="n"/>
      <c r="B465" s="5" t="n"/>
      <c r="C465" s="5" t="n"/>
      <c r="D465" s="5" t="n"/>
      <c r="E465" s="5" t="n"/>
      <c r="F465" s="5" t="n"/>
      <c r="G465" s="8" t="n"/>
      <c r="H465" s="5" t="n"/>
      <c r="I465" s="5" t="n"/>
      <c r="J465" s="5" t="n"/>
      <c r="K465" s="5" t="n"/>
    </row>
    <row r="466">
      <c r="A466" s="5" t="n"/>
      <c r="B466" s="5" t="n"/>
      <c r="C466" s="5" t="n"/>
      <c r="D466" s="5" t="n"/>
      <c r="E466" s="5" t="n"/>
      <c r="F466" s="5" t="n"/>
      <c r="G466" s="8" t="n"/>
      <c r="H466" s="5" t="n"/>
      <c r="I466" s="5" t="n"/>
      <c r="J466" s="5" t="n"/>
      <c r="K466" s="5" t="n"/>
    </row>
    <row r="467">
      <c r="A467" s="5" t="n"/>
      <c r="B467" s="5" t="n"/>
      <c r="C467" s="5" t="n"/>
      <c r="D467" s="5" t="n"/>
      <c r="E467" s="5" t="n"/>
      <c r="F467" s="5" t="n"/>
      <c r="G467" s="8" t="n"/>
      <c r="H467" s="5" t="n"/>
      <c r="I467" s="5" t="n"/>
      <c r="J467" s="5" t="n"/>
      <c r="K467" s="5" t="n"/>
    </row>
    <row r="468">
      <c r="A468" s="5" t="n"/>
      <c r="B468" s="5" t="n"/>
      <c r="C468" s="5" t="n"/>
      <c r="D468" s="5" t="n"/>
      <c r="E468" s="5" t="n"/>
      <c r="F468" s="5" t="n"/>
      <c r="G468" s="8" t="n"/>
      <c r="H468" s="5" t="n"/>
      <c r="I468" s="5" t="n"/>
      <c r="J468" s="5" t="n"/>
      <c r="K468" s="5" t="n"/>
    </row>
    <row r="469">
      <c r="A469" s="5" t="n"/>
      <c r="B469" s="5" t="n"/>
      <c r="C469" s="5" t="n"/>
      <c r="D469" s="5" t="n"/>
      <c r="E469" s="5" t="n"/>
      <c r="F469" s="5" t="n"/>
      <c r="G469" s="8" t="n"/>
      <c r="H469" s="5" t="n"/>
      <c r="I469" s="5" t="n"/>
      <c r="J469" s="5" t="n"/>
      <c r="K469" s="5" t="n"/>
    </row>
    <row r="470">
      <c r="A470" s="5" t="n"/>
      <c r="B470" s="5" t="n"/>
      <c r="C470" s="5" t="n"/>
      <c r="D470" s="5" t="n"/>
      <c r="E470" s="5" t="n"/>
      <c r="F470" s="5" t="n"/>
      <c r="G470" s="8" t="n"/>
      <c r="H470" s="5" t="n"/>
      <c r="I470" s="5" t="n"/>
      <c r="J470" s="5" t="n"/>
      <c r="K470" s="5" t="n"/>
    </row>
    <row r="471">
      <c r="A471" s="5" t="n"/>
      <c r="B471" s="5" t="n"/>
      <c r="C471" s="5" t="n"/>
      <c r="D471" s="5" t="n"/>
      <c r="E471" s="5" t="n"/>
      <c r="F471" s="5" t="n"/>
      <c r="G471" s="8" t="n"/>
      <c r="H471" s="5" t="n"/>
      <c r="I471" s="5" t="n"/>
      <c r="J471" s="5" t="n"/>
      <c r="K471" s="5" t="n"/>
    </row>
    <row r="472">
      <c r="A472" s="5" t="n"/>
      <c r="B472" s="5" t="n"/>
      <c r="C472" s="5" t="n"/>
      <c r="D472" s="5" t="n"/>
      <c r="E472" s="5" t="n"/>
      <c r="F472" s="5" t="n"/>
      <c r="G472" s="8" t="n"/>
      <c r="H472" s="5" t="n"/>
      <c r="I472" s="5" t="n"/>
      <c r="J472" s="5" t="n"/>
      <c r="K472" s="5" t="n"/>
    </row>
    <row r="473">
      <c r="A473" s="5" t="n"/>
      <c r="B473" s="5" t="n"/>
      <c r="C473" s="5" t="n"/>
      <c r="D473" s="5" t="n"/>
      <c r="E473" s="5" t="n"/>
      <c r="F473" s="5" t="n"/>
      <c r="G473" s="8" t="n"/>
      <c r="H473" s="5" t="n"/>
      <c r="I473" s="5" t="n"/>
      <c r="J473" s="5" t="n"/>
      <c r="K473" s="5" t="n"/>
    </row>
    <row r="474">
      <c r="A474" s="5" t="n"/>
      <c r="B474" s="5" t="n"/>
      <c r="C474" s="5" t="n"/>
      <c r="D474" s="5" t="n"/>
      <c r="E474" s="5" t="n"/>
      <c r="F474" s="5" t="n"/>
      <c r="G474" s="8" t="n"/>
      <c r="H474" s="5" t="n"/>
      <c r="I474" s="5" t="n"/>
      <c r="J474" s="5" t="n"/>
      <c r="K474" s="5" t="n"/>
    </row>
    <row r="475">
      <c r="A475" s="5" t="n"/>
      <c r="B475" s="5" t="n"/>
      <c r="C475" s="5" t="n"/>
      <c r="D475" s="5" t="n"/>
      <c r="E475" s="5" t="n"/>
      <c r="F475" s="5" t="n"/>
      <c r="G475" s="8" t="n"/>
      <c r="H475" s="5" t="n"/>
      <c r="I475" s="5" t="n"/>
      <c r="J475" s="5" t="n"/>
      <c r="K475" s="5" t="n"/>
    </row>
    <row r="476">
      <c r="A476" s="5" t="n"/>
      <c r="B476" s="5" t="n"/>
      <c r="C476" s="5" t="n"/>
      <c r="D476" s="5" t="n"/>
      <c r="E476" s="5" t="n"/>
      <c r="F476" s="5" t="n"/>
      <c r="G476" s="8" t="n"/>
      <c r="H476" s="5" t="n"/>
      <c r="I476" s="5" t="n"/>
      <c r="J476" s="5" t="n"/>
      <c r="K476" s="5" t="n"/>
    </row>
    <row r="477">
      <c r="A477" s="5" t="n"/>
      <c r="B477" s="5" t="n"/>
      <c r="C477" s="5" t="n"/>
      <c r="D477" s="5" t="n"/>
      <c r="E477" s="5" t="n"/>
      <c r="F477" s="5" t="n"/>
      <c r="G477" s="8" t="n"/>
      <c r="H477" s="5" t="n"/>
      <c r="I477" s="5" t="n"/>
      <c r="J477" s="5" t="n"/>
      <c r="K477" s="5" t="n"/>
    </row>
    <row r="478">
      <c r="A478" s="5" t="n"/>
      <c r="B478" s="5" t="n"/>
      <c r="C478" s="5" t="n"/>
      <c r="D478" s="5" t="n"/>
      <c r="E478" s="5" t="n"/>
      <c r="F478" s="5" t="n"/>
      <c r="G478" s="8" t="n"/>
      <c r="H478" s="5" t="n"/>
      <c r="I478" s="5" t="n"/>
      <c r="J478" s="5" t="n"/>
      <c r="K478" s="5" t="n"/>
    </row>
    <row r="479">
      <c r="A479" s="5" t="n"/>
      <c r="B479" s="5" t="n"/>
      <c r="C479" s="5" t="n"/>
      <c r="D479" s="5" t="n"/>
      <c r="E479" s="5" t="n"/>
      <c r="F479" s="5" t="n"/>
      <c r="G479" s="8" t="n"/>
      <c r="H479" s="5" t="n"/>
      <c r="I479" s="5" t="n"/>
      <c r="J479" s="5" t="n"/>
      <c r="K479" s="5" t="n"/>
    </row>
    <row r="480">
      <c r="A480" s="5" t="n"/>
      <c r="B480" s="5" t="n"/>
      <c r="C480" s="5" t="n"/>
      <c r="D480" s="5" t="n"/>
      <c r="E480" s="5" t="n"/>
      <c r="F480" s="5" t="n"/>
      <c r="G480" s="8" t="n"/>
      <c r="H480" s="5" t="n"/>
      <c r="I480" s="5" t="n"/>
      <c r="J480" s="5" t="n"/>
      <c r="K480" s="5" t="n"/>
    </row>
    <row r="481">
      <c r="A481" s="5" t="n"/>
      <c r="B481" s="5" t="n"/>
      <c r="C481" s="5" t="n"/>
      <c r="D481" s="5" t="n"/>
      <c r="E481" s="5" t="n"/>
      <c r="F481" s="5" t="n"/>
      <c r="G481" s="8" t="n"/>
      <c r="H481" s="5" t="n"/>
      <c r="I481" s="5" t="n"/>
      <c r="J481" s="5" t="n"/>
      <c r="K481" s="5" t="n"/>
    </row>
    <row r="482">
      <c r="A482" s="5" t="n"/>
      <c r="B482" s="5" t="n"/>
      <c r="C482" s="5" t="n"/>
      <c r="D482" s="5" t="n"/>
      <c r="E482" s="5" t="n"/>
      <c r="F482" s="5" t="n"/>
      <c r="G482" s="8" t="n"/>
      <c r="H482" s="5" t="n"/>
      <c r="I482" s="5" t="n"/>
      <c r="J482" s="5" t="n"/>
      <c r="K482" s="5" t="n"/>
    </row>
    <row r="483">
      <c r="A483" s="5" t="n"/>
      <c r="B483" s="5" t="n"/>
      <c r="C483" s="5" t="n"/>
      <c r="D483" s="5" t="n"/>
      <c r="E483" s="5" t="n"/>
      <c r="F483" s="5" t="n"/>
      <c r="G483" s="8" t="n"/>
      <c r="H483" s="5" t="n"/>
      <c r="I483" s="5" t="n"/>
      <c r="J483" s="5" t="n"/>
      <c r="K483" s="5" t="n"/>
    </row>
    <row r="484">
      <c r="A484" s="5" t="n"/>
      <c r="B484" s="5" t="n"/>
      <c r="C484" s="5" t="n"/>
      <c r="D484" s="5" t="n"/>
      <c r="E484" s="5" t="n"/>
      <c r="F484" s="5" t="n"/>
      <c r="G484" s="8" t="n"/>
      <c r="H484" s="5" t="n"/>
      <c r="I484" s="5" t="n"/>
      <c r="J484" s="5" t="n"/>
      <c r="K484" s="5" t="n"/>
    </row>
    <row r="485">
      <c r="A485" s="5" t="n"/>
      <c r="B485" s="5" t="n"/>
      <c r="C485" s="5" t="n"/>
      <c r="D485" s="5" t="n"/>
      <c r="E485" s="5" t="n"/>
      <c r="F485" s="5" t="n"/>
      <c r="G485" s="8" t="n"/>
      <c r="H485" s="5" t="n"/>
      <c r="I485" s="5" t="n"/>
      <c r="J485" s="5" t="n"/>
      <c r="K485" s="5" t="n"/>
    </row>
    <row r="486">
      <c r="A486" s="5" t="n"/>
      <c r="B486" s="5" t="n"/>
      <c r="C486" s="5" t="n"/>
      <c r="D486" s="5" t="n"/>
      <c r="E486" s="5" t="n"/>
      <c r="F486" s="5" t="n"/>
      <c r="G486" s="8" t="n"/>
      <c r="H486" s="5" t="n"/>
      <c r="I486" s="5" t="n"/>
      <c r="J486" s="5" t="n"/>
      <c r="K486" s="5" t="n"/>
    </row>
    <row r="487">
      <c r="A487" s="5" t="n"/>
      <c r="B487" s="5" t="n"/>
      <c r="C487" s="5" t="n"/>
      <c r="D487" s="5" t="n"/>
      <c r="E487" s="5" t="n"/>
      <c r="F487" s="5" t="n"/>
      <c r="G487" s="8" t="n"/>
      <c r="H487" s="5" t="n"/>
      <c r="I487" s="5" t="n"/>
      <c r="J487" s="5" t="n"/>
      <c r="K487" s="5" t="n"/>
    </row>
    <row r="488">
      <c r="A488" s="5" t="n"/>
      <c r="B488" s="5" t="n"/>
      <c r="C488" s="5" t="n"/>
      <c r="D488" s="5" t="n"/>
      <c r="E488" s="5" t="n"/>
      <c r="F488" s="5" t="n"/>
      <c r="G488" s="8" t="n"/>
      <c r="H488" s="5" t="n"/>
      <c r="I488" s="5" t="n"/>
      <c r="J488" s="5" t="n"/>
      <c r="K488" s="5" t="n"/>
    </row>
    <row r="489">
      <c r="A489" s="5" t="n"/>
      <c r="B489" s="5" t="n"/>
      <c r="C489" s="5" t="n"/>
      <c r="D489" s="5" t="n"/>
      <c r="E489" s="5" t="n"/>
      <c r="F489" s="5" t="n"/>
      <c r="G489" s="8" t="n"/>
      <c r="H489" s="5" t="n"/>
      <c r="I489" s="5" t="n"/>
      <c r="J489" s="5" t="n"/>
      <c r="K489" s="5" t="n"/>
    </row>
    <row r="490">
      <c r="A490" s="5" t="n"/>
      <c r="B490" s="5" t="n"/>
      <c r="C490" s="5" t="n"/>
      <c r="D490" s="5" t="n"/>
      <c r="E490" s="5" t="n"/>
      <c r="F490" s="5" t="n"/>
      <c r="G490" s="8" t="n"/>
      <c r="H490" s="5" t="n"/>
      <c r="I490" s="5" t="n"/>
      <c r="J490" s="5" t="n"/>
      <c r="K490" s="5" t="n"/>
    </row>
    <row r="491">
      <c r="A491" s="5" t="n"/>
      <c r="B491" s="5" t="n"/>
      <c r="C491" s="5" t="n"/>
      <c r="D491" s="5" t="n"/>
      <c r="E491" s="5" t="n"/>
      <c r="F491" s="5" t="n"/>
      <c r="G491" s="8" t="n"/>
      <c r="H491" s="5" t="n"/>
      <c r="I491" s="5" t="n"/>
      <c r="J491" s="5" t="n"/>
      <c r="K491" s="5" t="n"/>
    </row>
    <row r="492">
      <c r="A492" s="5" t="n"/>
      <c r="B492" s="5" t="n"/>
      <c r="C492" s="5" t="n"/>
      <c r="D492" s="5" t="n"/>
      <c r="E492" s="5" t="n"/>
      <c r="F492" s="5" t="n"/>
      <c r="G492" s="8" t="n"/>
      <c r="H492" s="5" t="n"/>
      <c r="I492" s="5" t="n"/>
      <c r="J492" s="5" t="n"/>
      <c r="K492" s="5" t="n"/>
    </row>
    <row r="493">
      <c r="A493" s="5" t="n"/>
      <c r="B493" s="5" t="n"/>
      <c r="C493" s="5" t="n"/>
      <c r="D493" s="5" t="n"/>
      <c r="E493" s="5" t="n"/>
      <c r="F493" s="5" t="n"/>
      <c r="G493" s="8" t="n"/>
      <c r="H493" s="5" t="n"/>
      <c r="I493" s="5" t="n"/>
      <c r="J493" s="5" t="n"/>
      <c r="K493" s="5" t="n"/>
    </row>
    <row r="494">
      <c r="A494" s="5" t="n"/>
      <c r="B494" s="5" t="n"/>
      <c r="C494" s="5" t="n"/>
      <c r="D494" s="5" t="n"/>
      <c r="E494" s="5" t="n"/>
      <c r="F494" s="5" t="n"/>
      <c r="G494" s="8" t="n"/>
      <c r="H494" s="5" t="n"/>
      <c r="I494" s="5" t="n"/>
      <c r="J494" s="5" t="n"/>
      <c r="K494" s="5" t="n"/>
    </row>
    <row r="495">
      <c r="A495" s="5" t="n"/>
      <c r="B495" s="5" t="n"/>
      <c r="C495" s="5" t="n"/>
      <c r="D495" s="5" t="n"/>
      <c r="E495" s="5" t="n"/>
      <c r="F495" s="5" t="n"/>
      <c r="G495" s="8" t="n"/>
      <c r="H495" s="5" t="n"/>
      <c r="I495" s="5" t="n"/>
      <c r="J495" s="5" t="n"/>
      <c r="K495" s="5" t="n"/>
    </row>
    <row r="496">
      <c r="A496" s="5" t="n"/>
      <c r="B496" s="5" t="n"/>
      <c r="C496" s="5" t="n"/>
      <c r="D496" s="5" t="n"/>
      <c r="E496" s="5" t="n"/>
      <c r="F496" s="5" t="n"/>
      <c r="G496" s="8" t="n"/>
      <c r="H496" s="5" t="n"/>
      <c r="I496" s="5" t="n"/>
      <c r="J496" s="5" t="n"/>
      <c r="K496" s="5" t="n"/>
    </row>
    <row r="497">
      <c r="A497" s="5" t="n"/>
      <c r="B497" s="5" t="n"/>
      <c r="C497" s="5" t="n"/>
      <c r="D497" s="5" t="n"/>
      <c r="E497" s="5" t="n"/>
      <c r="F497" s="5" t="n"/>
      <c r="G497" s="8" t="n"/>
      <c r="H497" s="5" t="n"/>
      <c r="I497" s="5" t="n"/>
      <c r="J497" s="5" t="n"/>
      <c r="K497" s="5" t="n"/>
    </row>
    <row r="498">
      <c r="A498" s="5" t="n"/>
      <c r="B498" s="5" t="n"/>
      <c r="C498" s="5" t="n"/>
      <c r="D498" s="5" t="n"/>
      <c r="E498" s="5" t="n"/>
      <c r="F498" s="5" t="n"/>
      <c r="G498" s="8" t="n"/>
      <c r="H498" s="5" t="n"/>
      <c r="I498" s="5" t="n"/>
      <c r="J498" s="5" t="n"/>
      <c r="K498" s="5" t="n"/>
    </row>
    <row r="499">
      <c r="A499" s="5" t="n"/>
      <c r="B499" s="5" t="n"/>
      <c r="C499" s="5" t="n"/>
      <c r="D499" s="5" t="n"/>
      <c r="E499" s="5" t="n"/>
      <c r="F499" s="5" t="n"/>
      <c r="G499" s="8" t="n"/>
      <c r="H499" s="5" t="n"/>
      <c r="I499" s="5" t="n"/>
      <c r="J499" s="5" t="n"/>
      <c r="K499" s="5" t="n"/>
    </row>
    <row r="500">
      <c r="A500" s="5" t="n"/>
      <c r="B500" s="5" t="n"/>
      <c r="C500" s="5" t="n"/>
      <c r="D500" s="5" t="n"/>
      <c r="E500" s="5" t="n"/>
      <c r="F500" s="5" t="n"/>
      <c r="G500" s="8" t="n"/>
      <c r="H500" s="5" t="n"/>
      <c r="I500" s="5" t="n"/>
      <c r="J500" s="5" t="n"/>
      <c r="K500" s="5" t="n"/>
    </row>
    <row r="501">
      <c r="A501" s="5" t="n"/>
      <c r="B501" s="5" t="n"/>
      <c r="C501" s="5" t="n"/>
      <c r="D501" s="5" t="n"/>
      <c r="E501" s="5" t="n"/>
      <c r="F501" s="5" t="n"/>
      <c r="G501" s="8" t="n"/>
      <c r="H501" s="5" t="n"/>
      <c r="I501" s="5" t="n"/>
      <c r="J501" s="5" t="n"/>
      <c r="K501" s="5" t="n"/>
    </row>
    <row r="502">
      <c r="A502" s="5" t="n"/>
      <c r="B502" s="5" t="n"/>
      <c r="C502" s="5" t="n"/>
      <c r="D502" s="5" t="n"/>
      <c r="E502" s="5" t="n"/>
      <c r="F502" s="5" t="n"/>
      <c r="G502" s="8" t="n"/>
      <c r="H502" s="5" t="n"/>
      <c r="I502" s="5" t="n"/>
      <c r="J502" s="5" t="n"/>
      <c r="K502" s="5" t="n"/>
    </row>
    <row r="503">
      <c r="A503" s="5" t="n"/>
      <c r="B503" s="5" t="n"/>
      <c r="C503" s="5" t="n"/>
      <c r="D503" s="5" t="n"/>
      <c r="E503" s="5" t="n"/>
      <c r="F503" s="5" t="n"/>
      <c r="G503" s="8" t="n"/>
      <c r="H503" s="5" t="n"/>
      <c r="I503" s="5" t="n"/>
      <c r="J503" s="5" t="n"/>
      <c r="K503" s="5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D9ED6"/>
    <outlinePr summaryBelow="1" summaryRight="1"/>
    <pageSetUpPr/>
  </sheetPr>
  <dimension ref="A1:P5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4" customWidth="1" min="12" max="12"/>
    <col width="14" customWidth="1" min="13" max="13"/>
    <col width="14" customWidth="1" min="14" max="14"/>
    <col width="14" customWidth="1" min="15" max="15"/>
    <col width="34" customWidth="1" min="16" max="16"/>
  </cols>
  <sheetData>
    <row r="1">
      <c r="A1" s="1" t="inlineStr">
        <is>
          <t>DEE CLEANERS — CONTRACTS</t>
        </is>
      </c>
    </row>
    <row r="2">
      <c r="A2" s="2" t="inlineStr">
        <is>
          <t>Use the app to add and edit records. IDs are assigned automatically.</t>
        </is>
      </c>
    </row>
    <row r="3">
      <c r="A3" s="10" t="inlineStr">
        <is>
          <t>Contract ID</t>
        </is>
      </c>
      <c r="B3" s="10" t="inlineStr">
        <is>
          <t>Placement ID</t>
        </is>
      </c>
      <c r="C3" s="10" t="inlineStr">
        <is>
          <t>Employer</t>
        </is>
      </c>
      <c r="D3" s="10" t="inlineStr">
        <is>
          <t>Househelp</t>
        </is>
      </c>
      <c r="E3" s="10" t="inlineStr">
        <is>
          <t>Start Date</t>
        </is>
      </c>
      <c r="F3" s="10" t="inlineStr">
        <is>
          <t>End Date</t>
        </is>
      </c>
      <c r="G3" s="10" t="inlineStr">
        <is>
          <t>Minimum Duration</t>
        </is>
      </c>
      <c r="H3" s="10" t="inlineStr">
        <is>
          <t>Notice Required</t>
        </is>
      </c>
      <c r="I3" s="10" t="inlineStr">
        <is>
          <t>Contract Status</t>
        </is>
      </c>
      <c r="J3" s="10" t="inlineStr">
        <is>
          <t>Termination Date</t>
        </is>
      </c>
      <c r="K3" s="10" t="inlineStr">
        <is>
          <t>Termination Reason</t>
        </is>
      </c>
      <c r="L3" s="10" t="inlineStr">
        <is>
          <t>Document Link</t>
        </is>
      </c>
      <c r="M3" s="10" t="inlineStr">
        <is>
          <t>Employer Signature</t>
        </is>
      </c>
      <c r="N3" s="10" t="inlineStr">
        <is>
          <t>Househelp Signature</t>
        </is>
      </c>
      <c r="O3" s="10" t="inlineStr">
        <is>
          <t>Dee Cleaners Acknowledged</t>
        </is>
      </c>
      <c r="P3" s="10" t="inlineStr">
        <is>
          <t>Notes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D9ED6"/>
    <outlinePr summaryBelow="1" summaryRight="1"/>
    <pageSetUpPr/>
  </sheetPr>
  <dimension ref="A1:N5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34" customWidth="1" min="7" max="7"/>
    <col width="14" customWidth="1" min="8" max="8"/>
    <col width="14" customWidth="1" min="9" max="9"/>
    <col width="14" customWidth="1" min="10" max="10"/>
    <col width="34" customWidth="1" min="11" max="11"/>
    <col width="34" customWidth="1" min="12" max="12"/>
    <col width="14" customWidth="1" min="13" max="13"/>
    <col width="34" customWidth="1" min="14" max="14"/>
  </cols>
  <sheetData>
    <row r="1">
      <c r="A1" s="1" t="inlineStr">
        <is>
          <t>DEE CLEANERS — COMPLAINTS</t>
        </is>
      </c>
    </row>
    <row r="2">
      <c r="A2" s="2" t="inlineStr">
        <is>
          <t>Use the app to add and edit records. IDs are assigned automatically.</t>
        </is>
      </c>
    </row>
    <row r="3">
      <c r="A3" s="10" t="inlineStr">
        <is>
          <t>Complaint ID</t>
        </is>
      </c>
      <c r="B3" s="10" t="inlineStr">
        <is>
          <t>Date</t>
        </is>
      </c>
      <c r="C3" s="10" t="inlineStr">
        <is>
          <t>Client</t>
        </is>
      </c>
      <c r="D3" s="10" t="inlineStr">
        <is>
          <t>Househelp</t>
        </is>
      </c>
      <c r="E3" s="10" t="inlineStr">
        <is>
          <t>Placement</t>
        </is>
      </c>
      <c r="F3" s="10" t="inlineStr">
        <is>
          <t>Complaint Type</t>
        </is>
      </c>
      <c r="G3" s="10" t="inlineStr">
        <is>
          <t>Description</t>
        </is>
      </c>
      <c r="H3" s="10" t="inlineStr">
        <is>
          <t>Reported By</t>
        </is>
      </c>
      <c r="I3" s="10" t="inlineStr">
        <is>
          <t>Severity</t>
        </is>
      </c>
      <c r="J3" s="10" t="inlineStr">
        <is>
          <t>Status</t>
        </is>
      </c>
      <c r="K3" s="10" t="inlineStr">
        <is>
          <t>Dee Cleaners Action</t>
        </is>
      </c>
      <c r="L3" s="10" t="inlineStr">
        <is>
          <t>Resolution</t>
        </is>
      </c>
      <c r="M3" s="10" t="inlineStr">
        <is>
          <t>Resolution Date</t>
        </is>
      </c>
      <c r="N3" s="10" t="inlineStr">
        <is>
          <t>Notes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2D9ED6"/>
    <outlinePr summaryBelow="1" summaryRight="1"/>
    <pageSetUpPr/>
  </sheetPr>
  <dimension ref="A1:J5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34" customWidth="1" min="5" max="5"/>
    <col width="14" customWidth="1" min="6" max="6"/>
    <col width="14" customWidth="1" min="7" max="7"/>
    <col width="14" customWidth="1" min="8" max="8"/>
    <col width="14" customWidth="1" min="9" max="9"/>
    <col width="34" customWidth="1" min="10" max="10"/>
  </cols>
  <sheetData>
    <row r="1">
      <c r="A1" s="1" t="inlineStr">
        <is>
          <t>DEE CLEANERS — REPLACEMENTS</t>
        </is>
      </c>
    </row>
    <row r="2">
      <c r="A2" s="2" t="inlineStr">
        <is>
          <t>Use the app to add and edit records. IDs are assigned automatically.</t>
        </is>
      </c>
    </row>
    <row r="3">
      <c r="A3" s="10" t="inlineStr">
        <is>
          <t>Replacement ID</t>
        </is>
      </c>
      <c r="B3" s="10" t="inlineStr">
        <is>
          <t>Original Placement</t>
        </is>
      </c>
      <c r="C3" s="10" t="inlineStr">
        <is>
          <t>Original Househelp</t>
        </is>
      </c>
      <c r="D3" s="10" t="inlineStr">
        <is>
          <t>Employer</t>
        </is>
      </c>
      <c r="E3" s="10" t="inlineStr">
        <is>
          <t>Reason</t>
        </is>
      </c>
      <c r="F3" s="10" t="inlineStr">
        <is>
          <t>Request Date</t>
        </is>
      </c>
      <c r="G3" s="10" t="inlineStr">
        <is>
          <t>Replacement Househelp</t>
        </is>
      </c>
      <c r="H3" s="10" t="inlineStr">
        <is>
          <t>Replacement Date</t>
        </is>
      </c>
      <c r="I3" s="10" t="inlineStr">
        <is>
          <t>Status</t>
        </is>
      </c>
      <c r="J3" s="10" t="inlineStr">
        <is>
          <t>Notes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2D9ED6"/>
    <outlinePr summaryBelow="1" summaryRight="1"/>
    <pageSetUpPr/>
  </sheetPr>
  <dimension ref="A1:I5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4" customWidth="1" min="9" max="9"/>
  </cols>
  <sheetData>
    <row r="1">
      <c r="A1" s="1" t="inlineStr">
        <is>
          <t>DEE CLEANERS — ATTENDANCE</t>
        </is>
      </c>
    </row>
    <row r="2">
      <c r="A2" s="2" t="inlineStr">
        <is>
          <t>Use the app to add and edit records. IDs are assigned automatically.</t>
        </is>
      </c>
    </row>
    <row r="3">
      <c r="A3" s="10" t="inlineStr">
        <is>
          <t>Attendance ID</t>
        </is>
      </c>
      <c r="B3" s="10" t="inlineStr">
        <is>
          <t>Date</t>
        </is>
      </c>
      <c r="C3" s="10" t="inlineStr">
        <is>
          <t>Person Type</t>
        </is>
      </c>
      <c r="D3" s="10" t="inlineStr">
        <is>
          <t>Person</t>
        </is>
      </c>
      <c r="E3" s="10" t="inlineStr">
        <is>
          <t>Check In</t>
        </is>
      </c>
      <c r="F3" s="10" t="inlineStr">
        <is>
          <t>Check Out</t>
        </is>
      </c>
      <c r="G3" s="10" t="inlineStr">
        <is>
          <t>Hours</t>
        </is>
      </c>
      <c r="H3" s="10" t="inlineStr">
        <is>
          <t>Status</t>
        </is>
      </c>
      <c r="I3" s="10" t="inlineStr">
        <is>
          <t>Notes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88888"/>
    <outlinePr summaryBelow="1" summaryRight="1"/>
    <pageSetUpPr/>
  </sheetPr>
  <dimension ref="A1:V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DEE CLEANERS — ARCHIVED (DELETED) ORDERS</t>
        </is>
      </c>
    </row>
    <row r="2">
      <c r="A2" s="2" t="inlineStr">
        <is>
          <t>Deleted orders are moved here — they are never permanently removed. Google Sheets is the single source of truth.</t>
        </is>
      </c>
    </row>
    <row r="3">
      <c r="A3" s="10" t="inlineStr">
        <is>
          <t>Order ID</t>
        </is>
      </c>
      <c r="B3" s="10" t="inlineStr">
        <is>
          <t>Date</t>
        </is>
      </c>
      <c r="C3" s="10" t="inlineStr">
        <is>
          <t>Customer Name</t>
        </is>
      </c>
      <c r="D3" s="10" t="inlineStr">
        <is>
          <t>Phone</t>
        </is>
      </c>
      <c r="E3" s="10" t="inlineStr">
        <is>
          <t>Email</t>
        </is>
      </c>
      <c r="F3" s="10" t="inlineStr">
        <is>
          <t>Service</t>
        </is>
      </c>
      <c r="G3" s="10" t="inlineStr">
        <is>
          <t>Description</t>
        </is>
      </c>
      <c r="H3" s="10" t="inlineStr">
        <is>
          <t>Quantity</t>
        </is>
      </c>
      <c r="I3" s="10" t="inlineStr">
        <is>
          <t>Unit Price</t>
        </is>
      </c>
      <c r="J3" s="10" t="inlineStr">
        <is>
          <t>Discount</t>
        </is>
      </c>
      <c r="K3" s="10" t="inlineStr">
        <is>
          <t>Total*</t>
        </is>
      </c>
      <c r="L3" s="10" t="inlineStr">
        <is>
          <t>Amount Paid</t>
        </is>
      </c>
      <c r="M3" s="10" t="inlineStr">
        <is>
          <t>Balance*</t>
        </is>
      </c>
      <c r="N3" s="10" t="inlineStr">
        <is>
          <t>Payment Status*</t>
        </is>
      </c>
      <c r="O3" s="10" t="inlineStr">
        <is>
          <t>Order Status</t>
        </is>
      </c>
      <c r="P3" s="10" t="inlineStr">
        <is>
          <t>Transport Fee</t>
        </is>
      </c>
      <c r="Q3" s="10" t="inlineStr">
        <is>
          <t>Direct Expense</t>
        </is>
      </c>
      <c r="R3" s="10" t="inlineStr">
        <is>
          <t>Net Service Profit*</t>
        </is>
      </c>
      <c r="S3" s="10" t="inlineStr">
        <is>
          <t>Notes</t>
        </is>
      </c>
      <c r="T3" s="10" t="inlineStr">
        <is>
          <t>Line Items JSON</t>
        </is>
      </c>
      <c r="U3" s="10" t="inlineStr">
        <is>
          <t>Unique Customer Helper*</t>
        </is>
      </c>
      <c r="V3" s="10" t="inlineStr">
        <is>
          <t>Archived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2026-09-06T07:35:15Z</dcterms:created>
  <dcterms:modified xmlns:dcterms="http://purl.org/dc/terms/" xmlns:xsi="http://www.w3.org/2001/XMLSchema-instance" xsi:type="dcterms:W3CDTF">2026-09-06T07:35:17Z</dcterms:modified>
</cp:coreProperties>
</file>